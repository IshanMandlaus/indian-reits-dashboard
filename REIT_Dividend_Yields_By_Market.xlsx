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Office REITs" sheetId="2" state="visible" r:id="rId4"/>
    <sheet name="Top 3 REI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<sst xmlns="http://schemas.openxmlformats.org/spreadsheetml/2006/main" count="352" uniqueCount="228">
  <si>
    <t xml:space="preserve">Market</t>
  </si>
  <si>
    <t xml:space="preserve">Avg div yield — top 3 REITs</t>
  </si>
  <si>
    <t xml:space="preserve">Office: avg yield (paying)</t>
  </si>
  <si>
    <t xml:space="preserve">Office: median yield (paying)</t>
  </si>
  <si>
    <t xml:space="preserve">Office REITs (paying / listed)</t>
  </si>
  <si>
    <t xml:space="preserve">Sector mkt cap (US$ bn)</t>
  </si>
  <si>
    <t xml:space="preserve">% of Global REIT Index</t>
  </si>
  <si>
    <t xml:space="preserve">Top-3 share of sector</t>
  </si>
  <si>
    <t xml:space="preserve">India</t>
  </si>
  <si>
    <t xml:space="preserve">4 / 5</t>
  </si>
  <si>
    <t xml:space="preserve">USA</t>
  </si>
  <si>
    <t xml:space="preserve">15 / 19</t>
  </si>
  <si>
    <t xml:space="preserve">Japan</t>
  </si>
  <si>
    <t xml:space="preserve">6 / 6</t>
  </si>
  <si>
    <t xml:space="preserve">Australia</t>
  </si>
  <si>
    <t xml:space="preserve">4 / 4</t>
  </si>
  <si>
    <t xml:space="preserve">Singapore</t>
  </si>
  <si>
    <t xml:space="preserve">6 / 7</t>
  </si>
  <si>
    <t xml:space="preserve">UK</t>
  </si>
  <si>
    <t xml:space="preserve">5 / 5</t>
  </si>
  <si>
    <t xml:space="preserve">Hong Kong</t>
  </si>
  <si>
    <t xml:space="preserve">Malaysia</t>
  </si>
  <si>
    <t xml:space="preserve">Yields = trailing-twelve-month distributions / delayed price, stockanalysis.com (S&amp;P Global), retrieved 10-11 Jul 2026.</t>
  </si>
  <si>
    <t xml:space="preserve">Top 3 = three largest REITs by market cap per market (India: largest dividend-paying; Bagmane pre-first-distribution excluded).</t>
  </si>
  <si>
    <t xml:space="preserve">Office columns link to the 'Office REITs' sheet; suspended payers (US: PDM, HPP, CMCT; SG: Manulife US) and NLOP (liquidating) excluded from stats.</t>
  </si>
  <si>
    <t xml:space="preserve">Blue cells are hardcoded estimates: UK sector cap ~GBP60bn ~US$80bn (ValueWalk/UK-REIT data); Malaysia RM63.9bn ~US$15bn (The Edge, Feb 2026);</t>
  </si>
  <si>
    <t xml:space="preserve">index weights = FTSE EPRA Nareit Global REITs proxy via iShares REET country breakdown (UK 3.6%); Malaysia ~0.2% is a free-float estimate (gated FTSE factsheet).</t>
  </si>
  <si>
    <t xml:space="preserve">Top-3 share formulas: UK = (SEGRO+LandSec+British Land)/GBP60bn; Malaysia = (KLCC+IGB+Sunway)/RM63.89bn (Feb-2026 sector total vs Jun-2026 mcaps).</t>
  </si>
  <si>
    <t xml:space="preserve">Country</t>
  </si>
  <si>
    <t xml:space="preserve">Ticker</t>
  </si>
  <si>
    <t xml:space="preserve">Name</t>
  </si>
  <si>
    <t xml:space="preserve">Market cap (bn, local ccy)</t>
  </si>
  <si>
    <t xml:space="preserve">Ccy</t>
  </si>
  <si>
    <t xml:space="preserve">TTM div yield</t>
  </si>
  <si>
    <t xml:space="preserve">Notes / flags</t>
  </si>
  <si>
    <t xml:space="preserve">EMBASSY</t>
  </si>
  <si>
    <t xml:space="preserve">Embassy Office Parks REIT</t>
  </si>
  <si>
    <t xml:space="preserve">INR</t>
  </si>
  <si>
    <t xml:space="preserve">MINDSPACE</t>
  </si>
  <si>
    <t xml:space="preserve">Mindspace Business Parks REIT</t>
  </si>
  <si>
    <t xml:space="preserve">BIRET</t>
  </si>
  <si>
    <t xml:space="preserve">Brookfield India Real Estate Trust</t>
  </si>
  <si>
    <t xml:space="preserve">KRT</t>
  </si>
  <si>
    <t xml:space="preserve">Knowledge Realty Trust</t>
  </si>
  <si>
    <t xml:space="preserve">listed Aug 2025; partial-year TTM</t>
  </si>
  <si>
    <t xml:space="preserve">BAGMANE</t>
  </si>
  <si>
    <t xml:space="preserve">Bagmane Prime Office REIT</t>
  </si>
  <si>
    <t xml:space="preserve">n/a</t>
  </si>
  <si>
    <t xml:space="preserve">no distribution yet (listed 2026) — excluded</t>
  </si>
  <si>
    <t xml:space="preserve">Average — paying office REITs (4)</t>
  </si>
  <si>
    <t xml:space="preserve">Median — paying office REITs (4)</t>
  </si>
  <si>
    <t xml:space="preserve">BXP</t>
  </si>
  <si>
    <t xml:space="preserve">BXP, Inc.</t>
  </si>
  <si>
    <t xml:space="preserve">US$</t>
  </si>
  <si>
    <t xml:space="preserve">ARE</t>
  </si>
  <si>
    <t xml:space="preserve">Alexandria Real Estate Equities</t>
  </si>
  <si>
    <t xml:space="preserve">VNO</t>
  </si>
  <si>
    <t xml:space="preserve">Vornado Realty Trust</t>
  </si>
  <si>
    <t xml:space="preserve">CUZ</t>
  </si>
  <si>
    <t xml:space="preserve">Cousins Properties</t>
  </si>
  <si>
    <t xml:space="preserve">KRC</t>
  </si>
  <si>
    <t xml:space="preserve">Kilroy Realty</t>
  </si>
  <si>
    <t xml:space="preserve">CDP</t>
  </si>
  <si>
    <t xml:space="preserve">COPT Defense Properties</t>
  </si>
  <si>
    <t xml:space="preserve">SLG</t>
  </si>
  <si>
    <t xml:space="preserve">SL Green Realty</t>
  </si>
  <si>
    <t xml:space="preserve">HIW</t>
  </si>
  <si>
    <t xml:space="preserve">Highwoods Properties</t>
  </si>
  <si>
    <t xml:space="preserve">DEI</t>
  </si>
  <si>
    <t xml:space="preserve">Douglas Emmett</t>
  </si>
  <si>
    <t xml:space="preserve">ESBA</t>
  </si>
  <si>
    <t xml:space="preserve">Empire State Realty OP</t>
  </si>
  <si>
    <t xml:space="preserve">OP units of ESRT</t>
  </si>
  <si>
    <t xml:space="preserve">DEA</t>
  </si>
  <si>
    <t xml:space="preserve">Easterly Government Properties</t>
  </si>
  <si>
    <t xml:space="preserve">PSTL</t>
  </si>
  <si>
    <t xml:space="preserve">Postal Realty Trust</t>
  </si>
  <si>
    <t xml:space="preserve">BDN</t>
  </si>
  <si>
    <t xml:space="preserve">Brandywine Realty Trust</t>
  </si>
  <si>
    <t xml:space="preserve">ONL</t>
  </si>
  <si>
    <t xml:space="preserve">Orion Properties</t>
  </si>
  <si>
    <t xml:space="preserve">FSP</t>
  </si>
  <si>
    <t xml:space="preserve">Franklin Street Properties</t>
  </si>
  <si>
    <t xml:space="preserve">token $0.01/qtr; strategic review</t>
  </si>
  <si>
    <t xml:space="preserve">PDM</t>
  </si>
  <si>
    <t xml:space="preserve">Piedmont Realty Trust</t>
  </si>
  <si>
    <t xml:space="preserve">SUSPENDED (last paid Mar 2025) — excluded from stats</t>
  </si>
  <si>
    <t xml:space="preserve">HPP</t>
  </si>
  <si>
    <t xml:space="preserve">Hudson Pacific Properties</t>
  </si>
  <si>
    <t xml:space="preserve">SUSPENDED common since mid-2024 — excluded from stats</t>
  </si>
  <si>
    <t xml:space="preserve">CMCT</t>
  </si>
  <si>
    <t xml:space="preserve">Creative Media &amp; Community Trust</t>
  </si>
  <si>
    <t xml:space="preserve">no common dividend — excluded from stats</t>
  </si>
  <si>
    <t xml:space="preserve">NLOP</t>
  </si>
  <si>
    <t xml:space="preserve">Net Lease Office Properties</t>
  </si>
  <si>
    <t xml:space="preserve">LIQUIDATING; 'yield' ~201% = return of capital — excluded</t>
  </si>
  <si>
    <t xml:space="preserve">Average — paying office REITs (15)</t>
  </si>
  <si>
    <t xml:space="preserve">Median — paying office REITs (15)</t>
  </si>
  <si>
    <t xml:space="preserve">8951</t>
  </si>
  <si>
    <t xml:space="preserve">Nippon Building Fund</t>
  </si>
  <si>
    <t xml:space="preserve">JPY</t>
  </si>
  <si>
    <t xml:space="preserve">8952</t>
  </si>
  <si>
    <t xml:space="preserve">Japan Real Estate Investment</t>
  </si>
  <si>
    <t xml:space="preserve">8976</t>
  </si>
  <si>
    <t xml:space="preserve">Daiwa Office Investment</t>
  </si>
  <si>
    <t xml:space="preserve">8987</t>
  </si>
  <si>
    <t xml:space="preserve">Japan Excellent</t>
  </si>
  <si>
    <t xml:space="preserve">8975</t>
  </si>
  <si>
    <t xml:space="preserve">Ichigo Office REIT</t>
  </si>
  <si>
    <t xml:space="preserve">payout boosted by gains on sale</t>
  </si>
  <si>
    <t xml:space="preserve">8958</t>
  </si>
  <si>
    <t xml:space="preserve">Global One Real Estate</t>
  </si>
  <si>
    <t xml:space="preserve">Average — paying office REITs (6)</t>
  </si>
  <si>
    <t xml:space="preserve">Median — paying office REITs (6)</t>
  </si>
  <si>
    <t xml:space="preserve">DXS</t>
  </si>
  <si>
    <t xml:space="preserve">Dexus</t>
  </si>
  <si>
    <t xml:space="preserve">A$</t>
  </si>
  <si>
    <t xml:space="preserve">CMW</t>
  </si>
  <si>
    <t xml:space="preserve">Cromwell Property Group</t>
  </si>
  <si>
    <t xml:space="preserve">COF</t>
  </si>
  <si>
    <t xml:space="preserve">Centuria Office REIT</t>
  </si>
  <si>
    <t xml:space="preserve">GDI</t>
  </si>
  <si>
    <t xml:space="preserve">GDI Property Group</t>
  </si>
  <si>
    <t xml:space="preserve">office + car parks</t>
  </si>
  <si>
    <t xml:space="preserve">T82U</t>
  </si>
  <si>
    <t xml:space="preserve">Suntec REIT</t>
  </si>
  <si>
    <t xml:space="preserve">S$</t>
  </si>
  <si>
    <t xml:space="preserve">office/retail/convention</t>
  </si>
  <si>
    <t xml:space="preserve">K71U</t>
  </si>
  <si>
    <t xml:space="preserve">Keppel REIT</t>
  </si>
  <si>
    <t xml:space="preserve">TS0U</t>
  </si>
  <si>
    <t xml:space="preserve">OUE REIT</t>
  </si>
  <si>
    <t xml:space="preserve">office/hospitality/retail</t>
  </si>
  <si>
    <t xml:space="preserve">UD1U</t>
  </si>
  <si>
    <t xml:space="preserve">IREIT Global</t>
  </si>
  <si>
    <t xml:space="preserve">European office</t>
  </si>
  <si>
    <t xml:space="preserve">OXMU</t>
  </si>
  <si>
    <t xml:space="preserve">Prime US REIT</t>
  </si>
  <si>
    <t xml:space="preserve">US office; reduced payout policy</t>
  </si>
  <si>
    <t xml:space="preserve">CMOU</t>
  </si>
  <si>
    <t xml:space="preserve">Keppel Pacific Oak US REIT</t>
  </si>
  <si>
    <t xml:space="preserve">US office; resumed small payouts</t>
  </si>
  <si>
    <t xml:space="preserve">BTOU</t>
  </si>
  <si>
    <t xml:space="preserve">Manulife US REIT</t>
  </si>
  <si>
    <t xml:space="preserve">SUSPENDED since Dec 2023 — excluded from stats</t>
  </si>
  <si>
    <t xml:space="preserve">DLN</t>
  </si>
  <si>
    <t xml:space="preserve">Derwent London</t>
  </si>
  <si>
    <t xml:space="preserve">GBP</t>
  </si>
  <si>
    <t xml:space="preserve">GPE</t>
  </si>
  <si>
    <t xml:space="preserve">Great Portland Estates</t>
  </si>
  <si>
    <t xml:space="preserve">WKP</t>
  </si>
  <si>
    <t xml:space="preserve">Workspace Group</t>
  </si>
  <si>
    <t xml:space="preserve">TTM pre-2026 dividend cut</t>
  </si>
  <si>
    <t xml:space="preserve">HLCL</t>
  </si>
  <si>
    <t xml:space="preserve">Helical</t>
  </si>
  <si>
    <t xml:space="preserve">returns capital via specials/buybacks</t>
  </si>
  <si>
    <t xml:space="preserve">RGL</t>
  </si>
  <si>
    <t xml:space="preserve">Regional REIT</t>
  </si>
  <si>
    <t xml:space="preserve">post-2024 recapitalisation</t>
  </si>
  <si>
    <t xml:space="preserve">Average — paying office REITs (5)</t>
  </si>
  <si>
    <t xml:space="preserve">Median — paying office REITs (5)</t>
  </si>
  <si>
    <t xml:space="preserve">2778</t>
  </si>
  <si>
    <t xml:space="preserve">Champion REIT</t>
  </si>
  <si>
    <t xml:space="preserve">HK$</t>
  </si>
  <si>
    <t xml:space="preserve">office/retail hybrid</t>
  </si>
  <si>
    <t xml:space="preserve">0435</t>
  </si>
  <si>
    <t xml:space="preserve">Sunlight REIT</t>
  </si>
  <si>
    <t xml:space="preserve">office/retail</t>
  </si>
  <si>
    <t xml:space="preserve">0808</t>
  </si>
  <si>
    <t xml:space="preserve">Prosperity REIT</t>
  </si>
  <si>
    <t xml:space="preserve">1426</t>
  </si>
  <si>
    <t xml:space="preserve">Spring REIT</t>
  </si>
  <si>
    <t xml:space="preserve">Beijing offices</t>
  </si>
  <si>
    <t xml:space="preserve">IGBCR</t>
  </si>
  <si>
    <t xml:space="preserve">IGB Commercial REIT</t>
  </si>
  <si>
    <t xml:space="preserve">RM</t>
  </si>
  <si>
    <t xml:space="preserve">pure office; largest office M-REIT</t>
  </si>
  <si>
    <t xml:space="preserve">SENTRAL</t>
  </si>
  <si>
    <t xml:space="preserve">Sentral REIT</t>
  </si>
  <si>
    <t xml:space="preserve">UOAREIT</t>
  </si>
  <si>
    <t xml:space="preserve">UOA REIT</t>
  </si>
  <si>
    <t xml:space="preserve">AMFIRST</t>
  </si>
  <si>
    <t xml:space="preserve">AmFirst REIT</t>
  </si>
  <si>
    <t xml:space="preserve">office-majority commercial</t>
  </si>
  <si>
    <t xml:space="preserve">TWRREIT</t>
  </si>
  <si>
    <t xml:space="preserve">Tower REIT</t>
  </si>
  <si>
    <t xml:space="preserve">Source: stockanalysis.com (S&amp;P Global Market Intelligence) quote pages, retrieved 10–11 Jul 2026. Non-US quotes delayed/cached (price dates range mid-May–11 Jul 2026). Classification = 'REIT – Office' industry tag / office-majority portfolios. Suspended payers and NLOP (liquidating) are listed but excluded from average/median.</t>
  </si>
  <si>
    <t xml:space="preserve">Notes</t>
  </si>
  <si>
    <t xml:space="preserve">largest dividend-paying REITs; Bagmane (no distribution yet) excluded</t>
  </si>
  <si>
    <t xml:space="preserve">Average — top 3</t>
  </si>
  <si>
    <t xml:space="preserve">WELL</t>
  </si>
  <si>
    <t xml:space="preserve">Welltower</t>
  </si>
  <si>
    <t xml:space="preserve">PLD</t>
  </si>
  <si>
    <t xml:space="preserve">Prologis</t>
  </si>
  <si>
    <t xml:space="preserve">EQIX</t>
  </si>
  <si>
    <t xml:space="preserve">Equinix</t>
  </si>
  <si>
    <t xml:space="preserve">3283</t>
  </si>
  <si>
    <t xml:space="preserve">Nippon Prologis REIT</t>
  </si>
  <si>
    <t xml:space="preserve">GMG</t>
  </si>
  <si>
    <t xml:space="preserve">Goodman Group</t>
  </si>
  <si>
    <t xml:space="preserve">Vicinity has overtaken Stockland (A$9.4bn) for #3</t>
  </si>
  <si>
    <t xml:space="preserve">SCG</t>
  </si>
  <si>
    <t xml:space="preserve">Scentre Group</t>
  </si>
  <si>
    <t xml:space="preserve">VCX</t>
  </si>
  <si>
    <t xml:space="preserve">Vicinity Centres</t>
  </si>
  <si>
    <t xml:space="preserve">C38U</t>
  </si>
  <si>
    <t xml:space="preserve">CapitaLand Integrated Commercial Trust</t>
  </si>
  <si>
    <t xml:space="preserve">A17U</t>
  </si>
  <si>
    <t xml:space="preserve">CapitaLand Ascendas REIT</t>
  </si>
  <si>
    <t xml:space="preserve">N2IU</t>
  </si>
  <si>
    <t xml:space="preserve">Mapletree Pan Asia Commercial Trust</t>
  </si>
  <si>
    <t xml:space="preserve">SGRO</t>
  </si>
  <si>
    <t xml:space="preserve">SEGRO</t>
  </si>
  <si>
    <t xml:space="preserve">LAND</t>
  </si>
  <si>
    <t xml:space="preserve">Land Securities</t>
  </si>
  <si>
    <t xml:space="preserve">BLND</t>
  </si>
  <si>
    <t xml:space="preserve">British Land</t>
  </si>
  <si>
    <t xml:space="preserve">0823</t>
  </si>
  <si>
    <t xml:space="preserve">Link REIT</t>
  </si>
  <si>
    <t xml:space="preserve">0778</t>
  </si>
  <si>
    <t xml:space="preserve">Fortune REIT</t>
  </si>
  <si>
    <t xml:space="preserve">KLCC</t>
  </si>
  <si>
    <t xml:space="preserve">KLCCP Stapled Group</t>
  </si>
  <si>
    <t xml:space="preserve">IGBREIT</t>
  </si>
  <si>
    <t xml:space="preserve">IGB REIT</t>
  </si>
  <si>
    <t xml:space="preserve">SUNREIT</t>
  </si>
  <si>
    <t xml:space="preserve">Sunway REIT</t>
  </si>
  <si>
    <t xml:space="preserve">Top 3 = three largest REITs by market cap per market. Source: stockanalysis.com, retrieved 10 Jul 2026 (delayed quotes on non-US exchanges; as-of dates range Apr–Jul 2026). Fortune REIT market cap computed from units x price.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</si>
</sst>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"/>
    <numFmt numFmtId="167" formatCode="0.0%"/>
    <numFmt numFmtId="168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F0EE"/>
        <bgColor rgb="FFF2F2F2"/>
      </patternFill>
    </fill>
    <fill>
      <patternFill patternType="solid">
        <fgColor rgb="FF2E6B5E"/>
        <bgColor rgb="FF008080"/>
      </patternFill>
    </fill>
    <fill>
      <patternFill patternType="solid">
        <fgColor rgb="FFF2F2F2"/>
        <bgColor rgb="FFE8F0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5E"/>
      <rgbColor rgb="FFCCCCCC"/>
      <rgbColor rgb="FF808080"/>
      <rgbColor rgb="FF9999FF"/>
      <rgbColor rgb="FF993366"/>
      <rgbColor rgb="FFF2F2F2"/>
      <rgbColor rgb="FFE8F0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16"/>
    <col collapsed="false" customWidth="true" hidden="false" outlineLevel="0" max="5" min="5" style="0" width="15"/>
    <col collapsed="false" customWidth="true" hidden="false" outlineLevel="0" max="8" min="6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n">
        <f aca="false">'Top 3 REITs'!F5</f>
        <v>0.0530666666666667</v>
      </c>
      <c r="C2" s="3" t="n">
        <f aca="false">'Office REITs'!F8</f>
        <v>0.05615</v>
      </c>
      <c r="D2" s="3" t="n">
        <f aca="false">'Office REITs'!F9</f>
        <v>0.0539</v>
      </c>
      <c r="E2" s="4" t="s">
        <v>9</v>
      </c>
      <c r="F2" s="4"/>
      <c r="G2" s="4"/>
      <c r="H2" s="4"/>
    </row>
    <row r="3" customFormat="false" ht="15" hidden="false" customHeight="false" outlineLevel="0" collapsed="false">
      <c r="A3" s="2" t="s">
        <v>10</v>
      </c>
      <c r="B3" s="3" t="n">
        <f aca="false">'Top 3 REITs'!F10</f>
        <v>0.0211333333333333</v>
      </c>
      <c r="C3" s="3" t="n">
        <f aca="false">'Office REITs'!F31</f>
        <v>0.05492</v>
      </c>
      <c r="D3" s="3" t="n">
        <f aca="false">'Office REITs'!F32</f>
        <v>0.0565</v>
      </c>
      <c r="E3" s="4" t="s">
        <v>11</v>
      </c>
      <c r="F3" s="4"/>
      <c r="G3" s="4"/>
      <c r="H3" s="4"/>
    </row>
    <row r="4" customFormat="false" ht="15" hidden="false" customHeight="false" outlineLevel="0" collapsed="false">
      <c r="A4" s="2" t="s">
        <v>12</v>
      </c>
      <c r="B4" s="3" t="n">
        <f aca="false">'Top 3 REITs'!F15</f>
        <v>0.0426333333333333</v>
      </c>
      <c r="C4" s="3" t="n">
        <f aca="false">'Office REITs'!F41</f>
        <v>0.05515</v>
      </c>
      <c r="D4" s="3" t="n">
        <f aca="false">'Office REITs'!F42</f>
        <v>0.04365</v>
      </c>
      <c r="E4" s="4" t="s">
        <v>13</v>
      </c>
      <c r="F4" s="4"/>
      <c r="G4" s="4"/>
      <c r="H4" s="4"/>
    </row>
    <row r="5" customFormat="false" ht="15" hidden="false" customHeight="false" outlineLevel="0" collapsed="false">
      <c r="A5" s="2" t="s">
        <v>14</v>
      </c>
      <c r="B5" s="3" t="n">
        <f aca="false">'Top 3 REITs'!F20</f>
        <v>0.0350666666666667</v>
      </c>
      <c r="C5" s="3" t="n">
        <f aca="false">'Office REITs'!F49</f>
        <v>0.08095</v>
      </c>
      <c r="D5" s="3" t="n">
        <f aca="false">'Office REITs'!F50</f>
        <v>0.0751</v>
      </c>
      <c r="E5" s="4" t="s">
        <v>15</v>
      </c>
      <c r="F5" s="4"/>
      <c r="G5" s="4"/>
      <c r="H5" s="4"/>
    </row>
    <row r="6" customFormat="false" ht="15" hidden="false" customHeight="false" outlineLevel="0" collapsed="false">
      <c r="A6" s="2" t="s">
        <v>16</v>
      </c>
      <c r="B6" s="3" t="n">
        <f aca="false">'Top 3 REITs'!F25</f>
        <v>0.0583666666666667</v>
      </c>
      <c r="C6" s="3" t="n">
        <f aca="false">'Office REITs'!F60</f>
        <v>0.0506333333333333</v>
      </c>
      <c r="D6" s="3" t="n">
        <f aca="false">'Office REITs'!F61</f>
        <v>0.0526</v>
      </c>
      <c r="E6" s="4" t="s">
        <v>17</v>
      </c>
      <c r="F6" s="4"/>
      <c r="G6" s="4"/>
      <c r="H6" s="4"/>
    </row>
    <row r="7" customFormat="false" ht="15" hidden="false" customHeight="false" outlineLevel="0" collapsed="false">
      <c r="A7" s="2" t="s">
        <v>18</v>
      </c>
      <c r="B7" s="3" t="n">
        <f aca="false">'Top 3 REITs'!F30</f>
        <v>0.0559</v>
      </c>
      <c r="C7" s="3" t="n">
        <f aca="false">'Office REITs'!F69</f>
        <v>0.05186</v>
      </c>
      <c r="D7" s="3" t="n">
        <f aca="false">'Office REITs'!F70</f>
        <v>0.0409</v>
      </c>
      <c r="E7" s="4" t="s">
        <v>19</v>
      </c>
      <c r="F7" s="5" t="n">
        <v>80</v>
      </c>
      <c r="G7" s="6" t="n">
        <v>0.036</v>
      </c>
      <c r="H7" s="7" t="n">
        <f aca="false">(10.15+4.78+3.96)/60</f>
        <v>0.314833333333333</v>
      </c>
    </row>
    <row r="8" customFormat="false" ht="15" hidden="false" customHeight="false" outlineLevel="0" collapsed="false">
      <c r="A8" s="2" t="s">
        <v>20</v>
      </c>
      <c r="B8" s="3" t="n">
        <f aca="false">'Top 3 REITs'!F35</f>
        <v>0.0664333333333333</v>
      </c>
      <c r="C8" s="3" t="n">
        <f aca="false">'Office REITs'!F77</f>
        <v>0.07</v>
      </c>
      <c r="D8" s="3" t="n">
        <f aca="false">'Office REITs'!F78</f>
        <v>0.07025</v>
      </c>
      <c r="E8" s="4" t="s">
        <v>15</v>
      </c>
      <c r="F8" s="4"/>
      <c r="G8" s="4"/>
      <c r="H8" s="4"/>
    </row>
    <row r="9" customFormat="false" ht="15" hidden="false" customHeight="false" outlineLevel="0" collapsed="false">
      <c r="A9" s="2" t="s">
        <v>21</v>
      </c>
      <c r="B9" s="3" t="n">
        <f aca="false">'Top 3 REITs'!F40</f>
        <v>0.0533</v>
      </c>
      <c r="C9" s="3" t="n">
        <f aca="false">'Office REITs'!F86</f>
        <v>0.07406</v>
      </c>
      <c r="D9" s="3" t="n">
        <f aca="false">'Office REITs'!F87</f>
        <v>0.0848</v>
      </c>
      <c r="E9" s="4" t="s">
        <v>19</v>
      </c>
      <c r="F9" s="5" t="n">
        <v>15</v>
      </c>
      <c r="G9" s="6" t="n">
        <v>0.002</v>
      </c>
      <c r="H9" s="7" t="n">
        <f aca="false">(16.14+12.03+7.6)/63.89</f>
        <v>0.559868524025669</v>
      </c>
    </row>
    <row r="11" customFormat="false" ht="15" hidden="false" customHeight="false" outlineLevel="0" collapsed="false">
      <c r="A11" s="8" t="s">
        <v>22</v>
      </c>
    </row>
    <row r="12" customFormat="false" ht="15" hidden="false" customHeight="false" outlineLevel="0" collapsed="false">
      <c r="A12" s="8" t="s">
        <v>23</v>
      </c>
    </row>
    <row r="13" customFormat="false" ht="15" hidden="false" customHeight="false" outlineLevel="0" collapsed="false">
      <c r="A13" s="8" t="s">
        <v>24</v>
      </c>
    </row>
    <row r="14" customFormat="false" ht="15" hidden="false" customHeight="false" outlineLevel="0" collapsed="false">
      <c r="A14" s="8" t="s">
        <v>25</v>
      </c>
    </row>
    <row r="15" customFormat="false" ht="15" hidden="false" customHeight="false" outlineLevel="0" collapsed="false">
      <c r="A15" s="8" t="s">
        <v>26</v>
      </c>
    </row>
    <row r="16" customFormat="false" ht="15" hidden="false" customHeight="false" outlineLevel="0" collapsed="false">
      <c r="A16" s="8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</row>
    <row r="2" customFormat="false" ht="15" hidden="false" customHeight="false" outlineLevel="0" collapsed="false">
      <c r="A2" s="10" t="s">
        <v>8</v>
      </c>
      <c r="B2" s="11"/>
      <c r="C2" s="11"/>
      <c r="D2" s="11"/>
      <c r="E2" s="11"/>
      <c r="F2" s="11"/>
      <c r="G2" s="11"/>
    </row>
    <row r="3" customFormat="false" ht="15" hidden="false" customHeight="false" outlineLevel="0" collapsed="false">
      <c r="A3" s="4"/>
      <c r="B3" s="4" t="s">
        <v>35</v>
      </c>
      <c r="C3" s="4" t="s">
        <v>36</v>
      </c>
      <c r="D3" s="12" t="n">
        <v>425.95</v>
      </c>
      <c r="E3" s="4" t="s">
        <v>37</v>
      </c>
      <c r="F3" s="3" t="n">
        <v>0.0514</v>
      </c>
      <c r="G3" s="4"/>
    </row>
    <row r="4" customFormat="false" ht="15" hidden="false" customHeight="false" outlineLevel="0" collapsed="false">
      <c r="A4" s="4"/>
      <c r="B4" s="4" t="s">
        <v>38</v>
      </c>
      <c r="C4" s="4" t="s">
        <v>39</v>
      </c>
      <c r="D4" s="12" t="n">
        <v>305.43</v>
      </c>
      <c r="E4" s="4" t="s">
        <v>37</v>
      </c>
      <c r="F4" s="3" t="n">
        <v>0.0523</v>
      </c>
      <c r="G4" s="4"/>
    </row>
    <row r="5" customFormat="false" ht="15" hidden="false" customHeight="false" outlineLevel="0" collapsed="false">
      <c r="A5" s="4"/>
      <c r="B5" s="4" t="s">
        <v>40</v>
      </c>
      <c r="C5" s="4" t="s">
        <v>41</v>
      </c>
      <c r="D5" s="12" t="n">
        <v>280.23</v>
      </c>
      <c r="E5" s="4" t="s">
        <v>37</v>
      </c>
      <c r="F5" s="3" t="n">
        <v>0.0654</v>
      </c>
      <c r="G5" s="4"/>
    </row>
    <row r="6" customFormat="false" ht="15" hidden="false" customHeight="false" outlineLevel="0" collapsed="false">
      <c r="A6" s="4"/>
      <c r="B6" s="4" t="s">
        <v>42</v>
      </c>
      <c r="C6" s="4" t="s">
        <v>43</v>
      </c>
      <c r="D6" s="12" t="n">
        <v>516.56</v>
      </c>
      <c r="E6" s="4" t="s">
        <v>37</v>
      </c>
      <c r="F6" s="3" t="n">
        <v>0.0555</v>
      </c>
      <c r="G6" s="4" t="s">
        <v>44</v>
      </c>
    </row>
    <row r="7" customFormat="false" ht="15" hidden="false" customHeight="false" outlineLevel="0" collapsed="false">
      <c r="A7" s="4"/>
      <c r="B7" s="4" t="s">
        <v>45</v>
      </c>
      <c r="C7" s="4" t="s">
        <v>46</v>
      </c>
      <c r="D7" s="12" t="n">
        <v>351.8</v>
      </c>
      <c r="E7" s="4" t="s">
        <v>37</v>
      </c>
      <c r="F7" s="3" t="s">
        <v>47</v>
      </c>
      <c r="G7" s="4" t="s">
        <v>48</v>
      </c>
    </row>
    <row r="8" customFormat="false" ht="15" hidden="false" customHeight="false" outlineLevel="0" collapsed="false">
      <c r="A8" s="13"/>
      <c r="B8" s="13"/>
      <c r="C8" s="14" t="s">
        <v>49</v>
      </c>
      <c r="D8" s="13"/>
      <c r="E8" s="13"/>
      <c r="F8" s="15" t="n">
        <f aca="false">AVERAGE(F3:F6)</f>
        <v>0.05615</v>
      </c>
      <c r="G8" s="13"/>
    </row>
    <row r="9" customFormat="false" ht="15" hidden="false" customHeight="false" outlineLevel="0" collapsed="false">
      <c r="A9" s="13"/>
      <c r="B9" s="13"/>
      <c r="C9" s="14" t="s">
        <v>50</v>
      </c>
      <c r="D9" s="13"/>
      <c r="E9" s="13"/>
      <c r="F9" s="15" t="n">
        <f aca="false">MEDIAN(F3:F6)</f>
        <v>0.0539</v>
      </c>
      <c r="G9" s="13"/>
    </row>
    <row r="11" customFormat="false" ht="15" hidden="false" customHeight="false" outlineLevel="0" collapsed="false">
      <c r="A11" s="10" t="s">
        <v>10</v>
      </c>
      <c r="B11" s="11"/>
      <c r="C11" s="11"/>
      <c r="D11" s="11"/>
      <c r="E11" s="11"/>
      <c r="F11" s="11"/>
      <c r="G11" s="11"/>
    </row>
    <row r="12" customFormat="false" ht="15" hidden="false" customHeight="false" outlineLevel="0" collapsed="false">
      <c r="A12" s="4"/>
      <c r="B12" s="4" t="s">
        <v>51</v>
      </c>
      <c r="C12" s="4" t="s">
        <v>52</v>
      </c>
      <c r="D12" s="12" t="n">
        <v>12.36</v>
      </c>
      <c r="E12" s="4" t="s">
        <v>53</v>
      </c>
      <c r="F12" s="3" t="n">
        <v>0.0404</v>
      </c>
      <c r="G12" s="4"/>
    </row>
    <row r="13" customFormat="false" ht="15" hidden="false" customHeight="false" outlineLevel="0" collapsed="false">
      <c r="A13" s="4"/>
      <c r="B13" s="4" t="s">
        <v>54</v>
      </c>
      <c r="C13" s="4" t="s">
        <v>55</v>
      </c>
      <c r="D13" s="12" t="n">
        <v>9.16</v>
      </c>
      <c r="E13" s="4" t="s">
        <v>53</v>
      </c>
      <c r="F13" s="3" t="n">
        <v>0.0956</v>
      </c>
      <c r="G13" s="4"/>
    </row>
    <row r="14" customFormat="false" ht="15" hidden="false" customHeight="false" outlineLevel="0" collapsed="false">
      <c r="A14" s="4"/>
      <c r="B14" s="4" t="s">
        <v>56</v>
      </c>
      <c r="C14" s="4" t="s">
        <v>57</v>
      </c>
      <c r="D14" s="12" t="n">
        <v>8.32</v>
      </c>
      <c r="E14" s="4" t="s">
        <v>53</v>
      </c>
      <c r="F14" s="3" t="n">
        <v>0.0182</v>
      </c>
      <c r="G14" s="4"/>
    </row>
    <row r="15" customFormat="false" ht="15" hidden="false" customHeight="false" outlineLevel="0" collapsed="false">
      <c r="A15" s="4"/>
      <c r="B15" s="4" t="s">
        <v>58</v>
      </c>
      <c r="C15" s="4" t="s">
        <v>59</v>
      </c>
      <c r="D15" s="12" t="n">
        <v>5.11</v>
      </c>
      <c r="E15" s="4" t="s">
        <v>53</v>
      </c>
      <c r="F15" s="3" t="n">
        <v>0.0454</v>
      </c>
      <c r="G15" s="4"/>
    </row>
    <row r="16" customFormat="false" ht="15" hidden="false" customHeight="false" outlineLevel="0" collapsed="false">
      <c r="A16" s="4"/>
      <c r="B16" s="4" t="s">
        <v>60</v>
      </c>
      <c r="C16" s="4" t="s">
        <v>61</v>
      </c>
      <c r="D16" s="12" t="n">
        <v>4.62</v>
      </c>
      <c r="E16" s="4" t="s">
        <v>53</v>
      </c>
      <c r="F16" s="3" t="n">
        <v>0.0565</v>
      </c>
      <c r="G16" s="4"/>
    </row>
    <row r="17" customFormat="false" ht="15" hidden="false" customHeight="false" outlineLevel="0" collapsed="false">
      <c r="A17" s="4"/>
      <c r="B17" s="4" t="s">
        <v>62</v>
      </c>
      <c r="C17" s="4" t="s">
        <v>63</v>
      </c>
      <c r="D17" s="12" t="n">
        <v>4.34</v>
      </c>
      <c r="E17" s="4" t="s">
        <v>53</v>
      </c>
      <c r="F17" s="3" t="n">
        <v>0.0379</v>
      </c>
      <c r="G17" s="4"/>
    </row>
    <row r="18" customFormat="false" ht="15" hidden="false" customHeight="false" outlineLevel="0" collapsed="false">
      <c r="A18" s="4"/>
      <c r="B18" s="4" t="s">
        <v>64</v>
      </c>
      <c r="C18" s="4" t="s">
        <v>65</v>
      </c>
      <c r="D18" s="12" t="n">
        <v>4.11</v>
      </c>
      <c r="E18" s="4" t="s">
        <v>53</v>
      </c>
      <c r="F18" s="3" t="n">
        <v>0.0636</v>
      </c>
      <c r="G18" s="4"/>
    </row>
    <row r="19" customFormat="false" ht="15" hidden="false" customHeight="false" outlineLevel="0" collapsed="false">
      <c r="A19" s="4"/>
      <c r="B19" s="4" t="s">
        <v>66</v>
      </c>
      <c r="C19" s="4" t="s">
        <v>67</v>
      </c>
      <c r="D19" s="12" t="n">
        <v>3.58</v>
      </c>
      <c r="E19" s="4" t="s">
        <v>53</v>
      </c>
      <c r="F19" s="3" t="n">
        <v>0.0691</v>
      </c>
      <c r="G19" s="4"/>
    </row>
    <row r="20" customFormat="false" ht="15" hidden="false" customHeight="false" outlineLevel="0" collapsed="false">
      <c r="A20" s="4"/>
      <c r="B20" s="4" t="s">
        <v>68</v>
      </c>
      <c r="C20" s="4" t="s">
        <v>69</v>
      </c>
      <c r="D20" s="12" t="n">
        <v>2.57</v>
      </c>
      <c r="E20" s="4" t="s">
        <v>53</v>
      </c>
      <c r="F20" s="3" t="n">
        <v>0.0663</v>
      </c>
      <c r="G20" s="4"/>
    </row>
    <row r="21" customFormat="false" ht="15" hidden="false" customHeight="false" outlineLevel="0" collapsed="false">
      <c r="A21" s="4"/>
      <c r="B21" s="4" t="s">
        <v>70</v>
      </c>
      <c r="C21" s="4" t="s">
        <v>71</v>
      </c>
      <c r="D21" s="12" t="n">
        <v>1.6</v>
      </c>
      <c r="E21" s="4" t="s">
        <v>53</v>
      </c>
      <c r="F21" s="3" t="n">
        <v>0.0247</v>
      </c>
      <c r="G21" s="4" t="s">
        <v>72</v>
      </c>
    </row>
    <row r="22" customFormat="false" ht="15" hidden="false" customHeight="false" outlineLevel="0" collapsed="false">
      <c r="A22" s="4"/>
      <c r="B22" s="4" t="s">
        <v>73</v>
      </c>
      <c r="C22" s="4" t="s">
        <v>74</v>
      </c>
      <c r="D22" s="12" t="n">
        <v>1.31</v>
      </c>
      <c r="E22" s="4" t="s">
        <v>53</v>
      </c>
      <c r="F22" s="3" t="n">
        <v>0.0762</v>
      </c>
      <c r="G22" s="4"/>
    </row>
    <row r="23" customFormat="false" ht="15" hidden="false" customHeight="false" outlineLevel="0" collapsed="false">
      <c r="A23" s="4"/>
      <c r="B23" s="4" t="s">
        <v>75</v>
      </c>
      <c r="C23" s="4" t="s">
        <v>76</v>
      </c>
      <c r="D23" s="12" t="n">
        <v>0.87</v>
      </c>
      <c r="E23" s="4" t="s">
        <v>53</v>
      </c>
      <c r="F23" s="3" t="n">
        <v>0.0395</v>
      </c>
      <c r="G23" s="4"/>
    </row>
    <row r="24" customFormat="false" ht="15" hidden="false" customHeight="false" outlineLevel="0" collapsed="false">
      <c r="A24" s="4"/>
      <c r="B24" s="4" t="s">
        <v>77</v>
      </c>
      <c r="C24" s="4" t="s">
        <v>78</v>
      </c>
      <c r="D24" s="12" t="n">
        <v>0.56</v>
      </c>
      <c r="E24" s="4" t="s">
        <v>53</v>
      </c>
      <c r="F24" s="3" t="n">
        <v>0.1041</v>
      </c>
      <c r="G24" s="4"/>
    </row>
    <row r="25" customFormat="false" ht="15" hidden="false" customHeight="false" outlineLevel="0" collapsed="false">
      <c r="A25" s="4"/>
      <c r="B25" s="4" t="s">
        <v>79</v>
      </c>
      <c r="C25" s="4" t="s">
        <v>80</v>
      </c>
      <c r="D25" s="12" t="n">
        <v>0.16</v>
      </c>
      <c r="E25" s="4" t="s">
        <v>53</v>
      </c>
      <c r="F25" s="3" t="n">
        <v>0.0275</v>
      </c>
      <c r="G25" s="4"/>
    </row>
    <row r="26" customFormat="false" ht="15" hidden="false" customHeight="false" outlineLevel="0" collapsed="false">
      <c r="A26" s="4"/>
      <c r="B26" s="4" t="s">
        <v>81</v>
      </c>
      <c r="C26" s="4" t="s">
        <v>82</v>
      </c>
      <c r="D26" s="12" t="n">
        <v>0.05</v>
      </c>
      <c r="E26" s="4" t="s">
        <v>53</v>
      </c>
      <c r="F26" s="3" t="n">
        <v>0.0588</v>
      </c>
      <c r="G26" s="4" t="s">
        <v>83</v>
      </c>
    </row>
    <row r="27" customFormat="false" ht="15" hidden="false" customHeight="false" outlineLevel="0" collapsed="false">
      <c r="A27" s="4"/>
      <c r="B27" s="4" t="s">
        <v>84</v>
      </c>
      <c r="C27" s="4" t="s">
        <v>85</v>
      </c>
      <c r="D27" s="12" t="n">
        <v>1.2</v>
      </c>
      <c r="E27" s="4" t="s">
        <v>53</v>
      </c>
      <c r="F27" s="3" t="n">
        <v>0</v>
      </c>
      <c r="G27" s="4" t="s">
        <v>86</v>
      </c>
    </row>
    <row r="28" customFormat="false" ht="15" hidden="false" customHeight="false" outlineLevel="0" collapsed="false">
      <c r="A28" s="4"/>
      <c r="B28" s="4" t="s">
        <v>87</v>
      </c>
      <c r="C28" s="4" t="s">
        <v>88</v>
      </c>
      <c r="D28" s="12" t="n">
        <v>0.94</v>
      </c>
      <c r="E28" s="4" t="s">
        <v>53</v>
      </c>
      <c r="F28" s="3" t="n">
        <v>0</v>
      </c>
      <c r="G28" s="4" t="s">
        <v>89</v>
      </c>
    </row>
    <row r="29" customFormat="false" ht="15" hidden="false" customHeight="false" outlineLevel="0" collapsed="false">
      <c r="A29" s="4"/>
      <c r="B29" s="4" t="s">
        <v>90</v>
      </c>
      <c r="C29" s="4" t="s">
        <v>91</v>
      </c>
      <c r="D29" s="12" t="n">
        <v>0.01</v>
      </c>
      <c r="E29" s="4" t="s">
        <v>53</v>
      </c>
      <c r="F29" s="3" t="n">
        <v>0</v>
      </c>
      <c r="G29" s="4" t="s">
        <v>92</v>
      </c>
    </row>
    <row r="30" customFormat="false" ht="15" hidden="false" customHeight="false" outlineLevel="0" collapsed="false">
      <c r="A30" s="4"/>
      <c r="B30" s="4" t="s">
        <v>93</v>
      </c>
      <c r="C30" s="4" t="s">
        <v>94</v>
      </c>
      <c r="D30" s="12" t="n">
        <v>0.17</v>
      </c>
      <c r="E30" s="4" t="s">
        <v>53</v>
      </c>
      <c r="F30" s="3" t="s">
        <v>47</v>
      </c>
      <c r="G30" s="4" t="s">
        <v>95</v>
      </c>
    </row>
    <row r="31" customFormat="false" ht="15" hidden="false" customHeight="false" outlineLevel="0" collapsed="false">
      <c r="A31" s="13"/>
      <c r="B31" s="13"/>
      <c r="C31" s="14" t="s">
        <v>96</v>
      </c>
      <c r="D31" s="13"/>
      <c r="E31" s="13"/>
      <c r="F31" s="15" t="n">
        <f aca="false">AVERAGE(F12:F26)</f>
        <v>0.05492</v>
      </c>
      <c r="G31" s="13"/>
    </row>
    <row r="32" customFormat="false" ht="15" hidden="false" customHeight="false" outlineLevel="0" collapsed="false">
      <c r="A32" s="13"/>
      <c r="B32" s="13"/>
      <c r="C32" s="14" t="s">
        <v>97</v>
      </c>
      <c r="D32" s="13"/>
      <c r="E32" s="13"/>
      <c r="F32" s="15" t="n">
        <f aca="false">MEDIAN(F12:F26)</f>
        <v>0.0565</v>
      </c>
      <c r="G32" s="13"/>
    </row>
    <row r="34" customFormat="false" ht="15" hidden="false" customHeight="false" outlineLevel="0" collapsed="false">
      <c r="A34" s="10" t="s">
        <v>12</v>
      </c>
      <c r="B34" s="11"/>
      <c r="C34" s="11"/>
      <c r="D34" s="11"/>
      <c r="E34" s="11"/>
      <c r="F34" s="11"/>
      <c r="G34" s="11"/>
    </row>
    <row r="35" customFormat="false" ht="15" hidden="false" customHeight="false" outlineLevel="0" collapsed="false">
      <c r="A35" s="4"/>
      <c r="B35" s="4" t="s">
        <v>98</v>
      </c>
      <c r="C35" s="4" t="s">
        <v>99</v>
      </c>
      <c r="D35" s="12" t="n">
        <v>1050</v>
      </c>
      <c r="E35" s="4" t="s">
        <v>100</v>
      </c>
      <c r="F35" s="3" t="n">
        <v>0.0412</v>
      </c>
      <c r="G35" s="4"/>
    </row>
    <row r="36" customFormat="false" ht="15" hidden="false" customHeight="false" outlineLevel="0" collapsed="false">
      <c r="A36" s="4"/>
      <c r="B36" s="4" t="s">
        <v>101</v>
      </c>
      <c r="C36" s="4" t="s">
        <v>102</v>
      </c>
      <c r="D36" s="12" t="n">
        <v>868.2</v>
      </c>
      <c r="E36" s="4" t="s">
        <v>100</v>
      </c>
      <c r="F36" s="3" t="n">
        <v>0.0432</v>
      </c>
      <c r="G36" s="4"/>
    </row>
    <row r="37" customFormat="false" ht="15" hidden="false" customHeight="false" outlineLevel="0" collapsed="false">
      <c r="A37" s="4"/>
      <c r="B37" s="4" t="s">
        <v>103</v>
      </c>
      <c r="C37" s="4" t="s">
        <v>104</v>
      </c>
      <c r="D37" s="12" t="n">
        <v>309.9</v>
      </c>
      <c r="E37" s="4" t="s">
        <v>100</v>
      </c>
      <c r="F37" s="3" t="n">
        <v>0.0432</v>
      </c>
      <c r="G37" s="4"/>
    </row>
    <row r="38" customFormat="false" ht="15" hidden="false" customHeight="false" outlineLevel="0" collapsed="false">
      <c r="A38" s="4"/>
      <c r="B38" s="4" t="s">
        <v>105</v>
      </c>
      <c r="C38" s="4" t="s">
        <v>106</v>
      </c>
      <c r="D38" s="12" t="n">
        <v>179.6</v>
      </c>
      <c r="E38" s="4" t="s">
        <v>100</v>
      </c>
      <c r="F38" s="3" t="n">
        <v>0.0441</v>
      </c>
      <c r="G38" s="4"/>
    </row>
    <row r="39" customFormat="false" ht="15" hidden="false" customHeight="false" outlineLevel="0" collapsed="false">
      <c r="A39" s="4"/>
      <c r="B39" s="4" t="s">
        <v>107</v>
      </c>
      <c r="C39" s="4" t="s">
        <v>108</v>
      </c>
      <c r="D39" s="12" t="n">
        <v>138</v>
      </c>
      <c r="E39" s="4" t="s">
        <v>100</v>
      </c>
      <c r="F39" s="3" t="n">
        <v>0.0844</v>
      </c>
      <c r="G39" s="4" t="s">
        <v>109</v>
      </c>
    </row>
    <row r="40" customFormat="false" ht="15" hidden="false" customHeight="false" outlineLevel="0" collapsed="false">
      <c r="A40" s="4"/>
      <c r="B40" s="4" t="s">
        <v>110</v>
      </c>
      <c r="C40" s="4" t="s">
        <v>111</v>
      </c>
      <c r="D40" s="12" t="n">
        <v>118.5</v>
      </c>
      <c r="E40" s="4" t="s">
        <v>100</v>
      </c>
      <c r="F40" s="3" t="n">
        <v>0.0748</v>
      </c>
      <c r="G40" s="4" t="s">
        <v>109</v>
      </c>
    </row>
    <row r="41" customFormat="false" ht="15" hidden="false" customHeight="false" outlineLevel="0" collapsed="false">
      <c r="A41" s="13"/>
      <c r="B41" s="13"/>
      <c r="C41" s="14" t="s">
        <v>112</v>
      </c>
      <c r="D41" s="13"/>
      <c r="E41" s="13"/>
      <c r="F41" s="15" t="n">
        <f aca="false">AVERAGE(F35:F40)</f>
        <v>0.05515</v>
      </c>
      <c r="G41" s="13"/>
    </row>
    <row r="42" customFormat="false" ht="15" hidden="false" customHeight="false" outlineLevel="0" collapsed="false">
      <c r="A42" s="13"/>
      <c r="B42" s="13"/>
      <c r="C42" s="14" t="s">
        <v>113</v>
      </c>
      <c r="D42" s="13"/>
      <c r="E42" s="13"/>
      <c r="F42" s="15" t="n">
        <f aca="false">MEDIAN(F35:F40)</f>
        <v>0.04365</v>
      </c>
      <c r="G42" s="13"/>
    </row>
    <row r="44" customFormat="false" ht="15" hidden="false" customHeight="false" outlineLevel="0" collapsed="false">
      <c r="A44" s="10" t="s">
        <v>14</v>
      </c>
      <c r="B44" s="11"/>
      <c r="C44" s="11"/>
      <c r="D44" s="11"/>
      <c r="E44" s="11"/>
      <c r="F44" s="11"/>
      <c r="G44" s="11"/>
    </row>
    <row r="45" customFormat="false" ht="15" hidden="false" customHeight="false" outlineLevel="0" collapsed="false">
      <c r="A45" s="4"/>
      <c r="B45" s="4" t="s">
        <v>114</v>
      </c>
      <c r="C45" s="4" t="s">
        <v>115</v>
      </c>
      <c r="D45" s="12" t="n">
        <v>6.42</v>
      </c>
      <c r="E45" s="4" t="s">
        <v>116</v>
      </c>
      <c r="F45" s="3" t="n">
        <v>0.0601</v>
      </c>
      <c r="G45" s="4"/>
    </row>
    <row r="46" customFormat="false" ht="15" hidden="false" customHeight="false" outlineLevel="0" collapsed="false">
      <c r="A46" s="4"/>
      <c r="B46" s="4" t="s">
        <v>117</v>
      </c>
      <c r="C46" s="4" t="s">
        <v>118</v>
      </c>
      <c r="D46" s="12" t="n">
        <v>1.18</v>
      </c>
      <c r="E46" s="4" t="s">
        <v>116</v>
      </c>
      <c r="F46" s="3" t="n">
        <v>0.0682</v>
      </c>
      <c r="G46" s="4"/>
    </row>
    <row r="47" customFormat="false" ht="15" hidden="false" customHeight="false" outlineLevel="0" collapsed="false">
      <c r="A47" s="4"/>
      <c r="B47" s="4" t="s">
        <v>119</v>
      </c>
      <c r="C47" s="4" t="s">
        <v>120</v>
      </c>
      <c r="D47" s="12" t="n">
        <v>0.53</v>
      </c>
      <c r="E47" s="4" t="s">
        <v>116</v>
      </c>
      <c r="F47" s="3" t="n">
        <v>0.1135</v>
      </c>
      <c r="G47" s="4"/>
    </row>
    <row r="48" customFormat="false" ht="15" hidden="false" customHeight="false" outlineLevel="0" collapsed="false">
      <c r="A48" s="4"/>
      <c r="B48" s="4" t="s">
        <v>121</v>
      </c>
      <c r="C48" s="4" t="s">
        <v>122</v>
      </c>
      <c r="D48" s="12" t="n">
        <v>0.33</v>
      </c>
      <c r="E48" s="4" t="s">
        <v>116</v>
      </c>
      <c r="F48" s="3" t="n">
        <v>0.082</v>
      </c>
      <c r="G48" s="4" t="s">
        <v>123</v>
      </c>
    </row>
    <row r="49" customFormat="false" ht="15" hidden="false" customHeight="false" outlineLevel="0" collapsed="false">
      <c r="A49" s="13"/>
      <c r="B49" s="13"/>
      <c r="C49" s="14" t="s">
        <v>49</v>
      </c>
      <c r="D49" s="13"/>
      <c r="E49" s="13"/>
      <c r="F49" s="15" t="n">
        <f aca="false">AVERAGE(F45:F48)</f>
        <v>0.08095</v>
      </c>
      <c r="G49" s="13"/>
    </row>
    <row r="50" customFormat="false" ht="15" hidden="false" customHeight="false" outlineLevel="0" collapsed="false">
      <c r="A50" s="13"/>
      <c r="B50" s="13"/>
      <c r="C50" s="14" t="s">
        <v>50</v>
      </c>
      <c r="D50" s="13"/>
      <c r="E50" s="13"/>
      <c r="F50" s="15" t="n">
        <f aca="false">MEDIAN(F45:F48)</f>
        <v>0.0751</v>
      </c>
      <c r="G50" s="13"/>
    </row>
    <row r="52" customFormat="false" ht="15" hidden="false" customHeight="false" outlineLevel="0" collapsed="false">
      <c r="A52" s="10" t="s">
        <v>16</v>
      </c>
      <c r="B52" s="11"/>
      <c r="C52" s="11"/>
      <c r="D52" s="11"/>
      <c r="E52" s="11"/>
      <c r="F52" s="11"/>
      <c r="G52" s="11"/>
    </row>
    <row r="53" customFormat="false" ht="15" hidden="false" customHeight="false" outlineLevel="0" collapsed="false">
      <c r="A53" s="4"/>
      <c r="B53" s="4" t="s">
        <v>124</v>
      </c>
      <c r="C53" s="4" t="s">
        <v>125</v>
      </c>
      <c r="D53" s="12" t="n">
        <v>4.4</v>
      </c>
      <c r="E53" s="4" t="s">
        <v>126</v>
      </c>
      <c r="F53" s="3" t="n">
        <v>0.0472</v>
      </c>
      <c r="G53" s="4" t="s">
        <v>127</v>
      </c>
    </row>
    <row r="54" customFormat="false" ht="15" hidden="false" customHeight="false" outlineLevel="0" collapsed="false">
      <c r="A54" s="4"/>
      <c r="B54" s="4" t="s">
        <v>128</v>
      </c>
      <c r="C54" s="4" t="s">
        <v>129</v>
      </c>
      <c r="D54" s="12" t="n">
        <v>4.25</v>
      </c>
      <c r="E54" s="4" t="s">
        <v>126</v>
      </c>
      <c r="F54" s="3" t="n">
        <v>0.058</v>
      </c>
      <c r="G54" s="4"/>
    </row>
    <row r="55" customFormat="false" ht="15" hidden="false" customHeight="false" outlineLevel="0" collapsed="false">
      <c r="A55" s="4"/>
      <c r="B55" s="4" t="s">
        <v>130</v>
      </c>
      <c r="C55" s="4" t="s">
        <v>131</v>
      </c>
      <c r="D55" s="12" t="n">
        <v>1.96</v>
      </c>
      <c r="E55" s="4" t="s">
        <v>126</v>
      </c>
      <c r="F55" s="3" t="n">
        <v>0.0628</v>
      </c>
      <c r="G55" s="4" t="s">
        <v>132</v>
      </c>
    </row>
    <row r="56" customFormat="false" ht="15" hidden="false" customHeight="false" outlineLevel="0" collapsed="false">
      <c r="A56" s="4"/>
      <c r="B56" s="4" t="s">
        <v>133</v>
      </c>
      <c r="C56" s="4" t="s">
        <v>134</v>
      </c>
      <c r="D56" s="12" t="n">
        <v>0.31</v>
      </c>
      <c r="E56" s="4" t="s">
        <v>126</v>
      </c>
      <c r="F56" s="3" t="n">
        <v>0.0691</v>
      </c>
      <c r="G56" s="4" t="s">
        <v>135</v>
      </c>
    </row>
    <row r="57" customFormat="false" ht="15" hidden="false" customHeight="false" outlineLevel="0" collapsed="false">
      <c r="A57" s="4"/>
      <c r="B57" s="4" t="s">
        <v>136</v>
      </c>
      <c r="C57" s="4" t="s">
        <v>137</v>
      </c>
      <c r="D57" s="12" t="n">
        <v>0.3</v>
      </c>
      <c r="E57" s="4" t="s">
        <v>126</v>
      </c>
      <c r="F57" s="3" t="n">
        <v>0.0386</v>
      </c>
      <c r="G57" s="4" t="s">
        <v>138</v>
      </c>
    </row>
    <row r="58" customFormat="false" ht="15" hidden="false" customHeight="false" outlineLevel="0" collapsed="false">
      <c r="A58" s="4"/>
      <c r="B58" s="4" t="s">
        <v>139</v>
      </c>
      <c r="C58" s="4" t="s">
        <v>140</v>
      </c>
      <c r="D58" s="12" t="n">
        <v>0.24</v>
      </c>
      <c r="E58" s="4" t="s">
        <v>126</v>
      </c>
      <c r="F58" s="3" t="n">
        <v>0.0281</v>
      </c>
      <c r="G58" s="4" t="s">
        <v>141</v>
      </c>
    </row>
    <row r="59" customFormat="false" ht="15" hidden="false" customHeight="false" outlineLevel="0" collapsed="false">
      <c r="A59" s="4"/>
      <c r="B59" s="4" t="s">
        <v>142</v>
      </c>
      <c r="C59" s="4" t="s">
        <v>143</v>
      </c>
      <c r="D59" s="12" t="n">
        <v>0.12</v>
      </c>
      <c r="E59" s="4" t="s">
        <v>126</v>
      </c>
      <c r="F59" s="3" t="n">
        <v>0</v>
      </c>
      <c r="G59" s="4" t="s">
        <v>144</v>
      </c>
    </row>
    <row r="60" customFormat="false" ht="15" hidden="false" customHeight="false" outlineLevel="0" collapsed="false">
      <c r="A60" s="13"/>
      <c r="B60" s="13"/>
      <c r="C60" s="14" t="s">
        <v>112</v>
      </c>
      <c r="D60" s="13"/>
      <c r="E60" s="13"/>
      <c r="F60" s="15" t="n">
        <f aca="false">AVERAGE(F53:F58)</f>
        <v>0.0506333333333333</v>
      </c>
      <c r="G60" s="13"/>
    </row>
    <row r="61" customFormat="false" ht="15" hidden="false" customHeight="false" outlineLevel="0" collapsed="false">
      <c r="A61" s="13"/>
      <c r="B61" s="13"/>
      <c r="C61" s="14" t="s">
        <v>113</v>
      </c>
      <c r="D61" s="13"/>
      <c r="E61" s="13"/>
      <c r="F61" s="15" t="n">
        <f aca="false">MEDIAN(F53:F58)</f>
        <v>0.0526</v>
      </c>
      <c r="G61" s="13"/>
    </row>
    <row r="63" customFormat="false" ht="15" hidden="false" customHeight="false" outlineLevel="0" collapsed="false">
      <c r="A63" s="10" t="s">
        <v>18</v>
      </c>
      <c r="B63" s="11"/>
      <c r="C63" s="11"/>
      <c r="D63" s="11"/>
      <c r="E63" s="11"/>
      <c r="F63" s="11"/>
      <c r="G63" s="11"/>
    </row>
    <row r="64" customFormat="false" ht="15" hidden="false" customHeight="false" outlineLevel="0" collapsed="false">
      <c r="A64" s="4"/>
      <c r="B64" s="4" t="s">
        <v>145</v>
      </c>
      <c r="C64" s="4" t="s">
        <v>146</v>
      </c>
      <c r="D64" s="12" t="n">
        <v>2.18</v>
      </c>
      <c r="E64" s="4" t="s">
        <v>147</v>
      </c>
      <c r="F64" s="3" t="n">
        <v>0.0409</v>
      </c>
      <c r="G64" s="4"/>
    </row>
    <row r="65" customFormat="false" ht="15" hidden="false" customHeight="false" outlineLevel="0" collapsed="false">
      <c r="A65" s="4"/>
      <c r="B65" s="4" t="s">
        <v>148</v>
      </c>
      <c r="C65" s="4" t="s">
        <v>149</v>
      </c>
      <c r="D65" s="12" t="n">
        <v>1.32</v>
      </c>
      <c r="E65" s="4" t="s">
        <v>147</v>
      </c>
      <c r="F65" s="3" t="n">
        <v>0.0244</v>
      </c>
      <c r="G65" s="4"/>
    </row>
    <row r="66" customFormat="false" ht="15" hidden="false" customHeight="false" outlineLevel="0" collapsed="false">
      <c r="A66" s="4"/>
      <c r="B66" s="4" t="s">
        <v>150</v>
      </c>
      <c r="C66" s="4" t="s">
        <v>151</v>
      </c>
      <c r="D66" s="12" t="n">
        <v>0.66</v>
      </c>
      <c r="E66" s="4" t="s">
        <v>147</v>
      </c>
      <c r="F66" s="3" t="n">
        <v>0.076</v>
      </c>
      <c r="G66" s="4" t="s">
        <v>152</v>
      </c>
    </row>
    <row r="67" customFormat="false" ht="15" hidden="false" customHeight="false" outlineLevel="0" collapsed="false">
      <c r="A67" s="4"/>
      <c r="B67" s="4" t="s">
        <v>153</v>
      </c>
      <c r="C67" s="4" t="s">
        <v>154</v>
      </c>
      <c r="D67" s="12" t="n">
        <v>0.23</v>
      </c>
      <c r="E67" s="4" t="s">
        <v>147</v>
      </c>
      <c r="F67" s="3" t="n">
        <v>0.0128</v>
      </c>
      <c r="G67" s="4" t="s">
        <v>155</v>
      </c>
    </row>
    <row r="68" customFormat="false" ht="15" hidden="false" customHeight="false" outlineLevel="0" collapsed="false">
      <c r="A68" s="4"/>
      <c r="B68" s="4" t="s">
        <v>156</v>
      </c>
      <c r="C68" s="4" t="s">
        <v>157</v>
      </c>
      <c r="D68" s="12" t="n">
        <v>0.15</v>
      </c>
      <c r="E68" s="4" t="s">
        <v>147</v>
      </c>
      <c r="F68" s="3" t="n">
        <v>0.1052</v>
      </c>
      <c r="G68" s="4" t="s">
        <v>158</v>
      </c>
    </row>
    <row r="69" customFormat="false" ht="15" hidden="false" customHeight="false" outlineLevel="0" collapsed="false">
      <c r="A69" s="13"/>
      <c r="B69" s="13"/>
      <c r="C69" s="14" t="s">
        <v>159</v>
      </c>
      <c r="D69" s="13"/>
      <c r="E69" s="13"/>
      <c r="F69" s="15" t="n">
        <f aca="false">AVERAGE(F64:F68)</f>
        <v>0.05186</v>
      </c>
      <c r="G69" s="13"/>
    </row>
    <row r="70" customFormat="false" ht="15" hidden="false" customHeight="false" outlineLevel="0" collapsed="false">
      <c r="A70" s="13"/>
      <c r="B70" s="13"/>
      <c r="C70" s="14" t="s">
        <v>160</v>
      </c>
      <c r="D70" s="13"/>
      <c r="E70" s="13"/>
      <c r="F70" s="15" t="n">
        <f aca="false">MEDIAN(F64:F68)</f>
        <v>0.0409</v>
      </c>
      <c r="G70" s="13"/>
    </row>
    <row r="72" customFormat="false" ht="15" hidden="false" customHeight="false" outlineLevel="0" collapsed="false">
      <c r="A72" s="10" t="s">
        <v>20</v>
      </c>
      <c r="B72" s="11"/>
      <c r="C72" s="11"/>
      <c r="D72" s="11"/>
      <c r="E72" s="11"/>
      <c r="F72" s="11"/>
      <c r="G72" s="11"/>
    </row>
    <row r="73" customFormat="false" ht="15" hidden="false" customHeight="false" outlineLevel="0" collapsed="false">
      <c r="A73" s="4"/>
      <c r="B73" s="4" t="s">
        <v>161</v>
      </c>
      <c r="C73" s="4" t="s">
        <v>162</v>
      </c>
      <c r="D73" s="12" t="n">
        <v>12.67</v>
      </c>
      <c r="E73" s="4" t="s">
        <v>163</v>
      </c>
      <c r="F73" s="3" t="n">
        <v>0.0613</v>
      </c>
      <c r="G73" s="4" t="s">
        <v>164</v>
      </c>
    </row>
    <row r="74" customFormat="false" ht="15" hidden="false" customHeight="false" outlineLevel="0" collapsed="false">
      <c r="A74" s="4"/>
      <c r="B74" s="4" t="s">
        <v>165</v>
      </c>
      <c r="C74" s="4" t="s">
        <v>166</v>
      </c>
      <c r="D74" s="12" t="n">
        <v>3.92</v>
      </c>
      <c r="E74" s="4" t="s">
        <v>163</v>
      </c>
      <c r="F74" s="3" t="n">
        <v>0.0824</v>
      </c>
      <c r="G74" s="4" t="s">
        <v>167</v>
      </c>
    </row>
    <row r="75" customFormat="false" ht="15" hidden="false" customHeight="false" outlineLevel="0" collapsed="false">
      <c r="A75" s="4"/>
      <c r="B75" s="4" t="s">
        <v>168</v>
      </c>
      <c r="C75" s="4" t="s">
        <v>169</v>
      </c>
      <c r="D75" s="12" t="n">
        <v>2.36</v>
      </c>
      <c r="E75" s="4" t="s">
        <v>163</v>
      </c>
      <c r="F75" s="3" t="n">
        <v>0.0792</v>
      </c>
      <c r="G75" s="4"/>
    </row>
    <row r="76" customFormat="false" ht="15" hidden="false" customHeight="false" outlineLevel="0" collapsed="false">
      <c r="A76" s="4"/>
      <c r="B76" s="4" t="s">
        <v>170</v>
      </c>
      <c r="C76" s="4" t="s">
        <v>171</v>
      </c>
      <c r="D76" s="12" t="n">
        <v>1.87</v>
      </c>
      <c r="E76" s="4" t="s">
        <v>163</v>
      </c>
      <c r="F76" s="3" t="n">
        <v>0.0571</v>
      </c>
      <c r="G76" s="4" t="s">
        <v>172</v>
      </c>
    </row>
    <row r="77" customFormat="false" ht="15" hidden="false" customHeight="false" outlineLevel="0" collapsed="false">
      <c r="A77" s="13"/>
      <c r="B77" s="13"/>
      <c r="C77" s="14" t="s">
        <v>49</v>
      </c>
      <c r="D77" s="13"/>
      <c r="E77" s="13"/>
      <c r="F77" s="15" t="n">
        <f aca="false">AVERAGE(F73:F76)</f>
        <v>0.07</v>
      </c>
      <c r="G77" s="13"/>
    </row>
    <row r="78" customFormat="false" ht="15" hidden="false" customHeight="false" outlineLevel="0" collapsed="false">
      <c r="A78" s="13"/>
      <c r="B78" s="13"/>
      <c r="C78" s="14" t="s">
        <v>50</v>
      </c>
      <c r="D78" s="13"/>
      <c r="E78" s="13"/>
      <c r="F78" s="15" t="n">
        <f aca="false">MEDIAN(F73:F76)</f>
        <v>0.07025</v>
      </c>
      <c r="G78" s="13"/>
    </row>
    <row r="80" customFormat="false" ht="15" hidden="false" customHeight="false" outlineLevel="0" collapsed="false">
      <c r="A80" s="10" t="s">
        <v>21</v>
      </c>
      <c r="B80" s="11"/>
      <c r="C80" s="11"/>
      <c r="D80" s="11"/>
      <c r="E80" s="11"/>
      <c r="F80" s="11"/>
      <c r="G80" s="11"/>
    </row>
    <row r="81" customFormat="false" ht="15" hidden="false" customHeight="false" outlineLevel="0" collapsed="false">
      <c r="A81" s="4"/>
      <c r="B81" s="4" t="s">
        <v>173</v>
      </c>
      <c r="C81" s="4" t="s">
        <v>174</v>
      </c>
      <c r="D81" s="12" t="n">
        <v>1.47</v>
      </c>
      <c r="E81" s="4" t="s">
        <v>175</v>
      </c>
      <c r="F81" s="3" t="n">
        <v>0.0705</v>
      </c>
      <c r="G81" s="4" t="s">
        <v>176</v>
      </c>
    </row>
    <row r="82" customFormat="false" ht="15" hidden="false" customHeight="false" outlineLevel="0" collapsed="false">
      <c r="A82" s="4"/>
      <c r="B82" s="4" t="s">
        <v>177</v>
      </c>
      <c r="C82" s="4" t="s">
        <v>178</v>
      </c>
      <c r="D82" s="12" t="n">
        <v>0.84</v>
      </c>
      <c r="E82" s="4" t="s">
        <v>175</v>
      </c>
      <c r="F82" s="3" t="n">
        <v>0.0866</v>
      </c>
      <c r="G82" s="4"/>
    </row>
    <row r="83" customFormat="false" ht="15" hidden="false" customHeight="false" outlineLevel="0" collapsed="false">
      <c r="A83" s="4"/>
      <c r="B83" s="4" t="s">
        <v>179</v>
      </c>
      <c r="C83" s="4" t="s">
        <v>180</v>
      </c>
      <c r="D83" s="12" t="n">
        <v>0.56</v>
      </c>
      <c r="E83" s="4" t="s">
        <v>175</v>
      </c>
      <c r="F83" s="3" t="n">
        <v>0.0848</v>
      </c>
      <c r="G83" s="4"/>
    </row>
    <row r="84" customFormat="false" ht="15" hidden="false" customHeight="false" outlineLevel="0" collapsed="false">
      <c r="A84" s="4"/>
      <c r="B84" s="4" t="s">
        <v>181</v>
      </c>
      <c r="C84" s="4" t="s">
        <v>182</v>
      </c>
      <c r="D84" s="12" t="n">
        <v>0.21</v>
      </c>
      <c r="E84" s="4" t="s">
        <v>175</v>
      </c>
      <c r="F84" s="3" t="n">
        <v>0.089</v>
      </c>
      <c r="G84" s="4" t="s">
        <v>183</v>
      </c>
    </row>
    <row r="85" customFormat="false" ht="15" hidden="false" customHeight="false" outlineLevel="0" collapsed="false">
      <c r="A85" s="4"/>
      <c r="B85" s="4" t="s">
        <v>184</v>
      </c>
      <c r="C85" s="4" t="s">
        <v>185</v>
      </c>
      <c r="D85" s="12" t="n">
        <v>0.15</v>
      </c>
      <c r="E85" s="4" t="s">
        <v>175</v>
      </c>
      <c r="F85" s="3" t="n">
        <v>0.0394</v>
      </c>
      <c r="G85" s="4"/>
    </row>
    <row r="86" customFormat="false" ht="15" hidden="false" customHeight="false" outlineLevel="0" collapsed="false">
      <c r="A86" s="13"/>
      <c r="B86" s="13"/>
      <c r="C86" s="14" t="s">
        <v>159</v>
      </c>
      <c r="D86" s="13"/>
      <c r="E86" s="13"/>
      <c r="F86" s="15" t="n">
        <f aca="false">AVERAGE(F81:F85)</f>
        <v>0.07406</v>
      </c>
      <c r="G86" s="13"/>
    </row>
    <row r="87" customFormat="false" ht="15" hidden="false" customHeight="false" outlineLevel="0" collapsed="false">
      <c r="A87" s="13"/>
      <c r="B87" s="13"/>
      <c r="C87" s="14" t="s">
        <v>160</v>
      </c>
      <c r="D87" s="13"/>
      <c r="E87" s="13"/>
      <c r="F87" s="15" t="n">
        <f aca="false">MEDIAN(F81:F85)</f>
        <v>0.0848</v>
      </c>
      <c r="G87" s="13"/>
    </row>
    <row r="89" customFormat="false" ht="15" hidden="false" customHeight="false" outlineLevel="0" collapsed="false">
      <c r="A89" s="8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187</v>
      </c>
    </row>
    <row r="2" customFormat="false" ht="15" hidden="false" customHeight="false" outlineLevel="0" collapsed="false">
      <c r="A2" s="4" t="s">
        <v>8</v>
      </c>
      <c r="B2" s="4" t="s">
        <v>42</v>
      </c>
      <c r="C2" s="4" t="s">
        <v>43</v>
      </c>
      <c r="D2" s="12" t="n">
        <v>516.56</v>
      </c>
      <c r="E2" s="4" t="s">
        <v>37</v>
      </c>
      <c r="F2" s="3" t="n">
        <v>0.0555</v>
      </c>
      <c r="G2" s="4" t="s">
        <v>188</v>
      </c>
    </row>
    <row r="3" customFormat="false" ht="15" hidden="false" customHeight="false" outlineLevel="0" collapsed="false">
      <c r="A3" s="4"/>
      <c r="B3" s="4" t="s">
        <v>35</v>
      </c>
      <c r="C3" s="4" t="s">
        <v>36</v>
      </c>
      <c r="D3" s="12" t="n">
        <v>425.95</v>
      </c>
      <c r="E3" s="4" t="s">
        <v>37</v>
      </c>
      <c r="F3" s="3" t="n">
        <v>0.0514</v>
      </c>
      <c r="G3" s="4"/>
    </row>
    <row r="4" customFormat="false" ht="15" hidden="false" customHeight="false" outlineLevel="0" collapsed="false">
      <c r="A4" s="4"/>
      <c r="B4" s="4" t="s">
        <v>38</v>
      </c>
      <c r="C4" s="4" t="s">
        <v>39</v>
      </c>
      <c r="D4" s="12" t="n">
        <v>305.43</v>
      </c>
      <c r="E4" s="4" t="s">
        <v>37</v>
      </c>
      <c r="F4" s="3" t="n">
        <v>0.0523</v>
      </c>
      <c r="G4" s="4"/>
    </row>
    <row r="5" customFormat="false" ht="15" hidden="false" customHeight="false" outlineLevel="0" collapsed="false">
      <c r="A5" s="13"/>
      <c r="B5" s="13"/>
      <c r="C5" s="14" t="s">
        <v>189</v>
      </c>
      <c r="D5" s="13"/>
      <c r="E5" s="13"/>
      <c r="F5" s="15" t="n">
        <f aca="false">AVERAGE(F2:F4)</f>
        <v>0.0530666666666667</v>
      </c>
      <c r="G5" s="13"/>
    </row>
    <row r="7" customFormat="false" ht="15" hidden="false" customHeight="false" outlineLevel="0" collapsed="false">
      <c r="A7" s="4" t="s">
        <v>10</v>
      </c>
      <c r="B7" s="4" t="s">
        <v>190</v>
      </c>
      <c r="C7" s="4" t="s">
        <v>191</v>
      </c>
      <c r="D7" s="12" t="n">
        <v>163.86</v>
      </c>
      <c r="E7" s="4" t="s">
        <v>53</v>
      </c>
      <c r="F7" s="3" t="n">
        <v>0.0127</v>
      </c>
      <c r="G7" s="4"/>
    </row>
    <row r="8" customFormat="false" ht="15" hidden="false" customHeight="false" outlineLevel="0" collapsed="false">
      <c r="A8" s="4"/>
      <c r="B8" s="4" t="s">
        <v>192</v>
      </c>
      <c r="C8" s="4" t="s">
        <v>193</v>
      </c>
      <c r="D8" s="12" t="n">
        <v>134.72</v>
      </c>
      <c r="E8" s="4" t="s">
        <v>53</v>
      </c>
      <c r="F8" s="3" t="n">
        <v>0.0304</v>
      </c>
      <c r="G8" s="4"/>
    </row>
    <row r="9" customFormat="false" ht="15" hidden="false" customHeight="false" outlineLevel="0" collapsed="false">
      <c r="A9" s="4"/>
      <c r="B9" s="4" t="s">
        <v>194</v>
      </c>
      <c r="C9" s="4" t="s">
        <v>195</v>
      </c>
      <c r="D9" s="12" t="n">
        <v>102.06</v>
      </c>
      <c r="E9" s="4" t="s">
        <v>53</v>
      </c>
      <c r="F9" s="3" t="n">
        <v>0.0203</v>
      </c>
      <c r="G9" s="4"/>
    </row>
    <row r="10" customFormat="false" ht="15" hidden="false" customHeight="false" outlineLevel="0" collapsed="false">
      <c r="A10" s="13"/>
      <c r="B10" s="13"/>
      <c r="C10" s="14" t="s">
        <v>189</v>
      </c>
      <c r="D10" s="13"/>
      <c r="E10" s="13"/>
      <c r="F10" s="15" t="n">
        <f aca="false">AVERAGE(F7:F9)</f>
        <v>0.0211333333333333</v>
      </c>
      <c r="G10" s="13"/>
    </row>
    <row r="12" customFormat="false" ht="15" hidden="false" customHeight="false" outlineLevel="0" collapsed="false">
      <c r="A12" s="4" t="s">
        <v>12</v>
      </c>
      <c r="B12" s="4" t="s">
        <v>98</v>
      </c>
      <c r="C12" s="4" t="s">
        <v>99</v>
      </c>
      <c r="D12" s="12" t="n">
        <v>1050</v>
      </c>
      <c r="E12" s="4" t="s">
        <v>100</v>
      </c>
      <c r="F12" s="3" t="n">
        <v>0.0412</v>
      </c>
      <c r="G12" s="4"/>
    </row>
    <row r="13" customFormat="false" ht="15" hidden="false" customHeight="false" outlineLevel="0" collapsed="false">
      <c r="A13" s="4"/>
      <c r="B13" s="4" t="s">
        <v>101</v>
      </c>
      <c r="C13" s="4" t="s">
        <v>102</v>
      </c>
      <c r="D13" s="12" t="n">
        <v>868.2</v>
      </c>
      <c r="E13" s="4" t="s">
        <v>100</v>
      </c>
      <c r="F13" s="3" t="n">
        <v>0.0432</v>
      </c>
      <c r="G13" s="4"/>
    </row>
    <row r="14" customFormat="false" ht="15" hidden="false" customHeight="false" outlineLevel="0" collapsed="false">
      <c r="A14" s="4"/>
      <c r="B14" s="4" t="s">
        <v>196</v>
      </c>
      <c r="C14" s="4" t="s">
        <v>197</v>
      </c>
      <c r="D14" s="12" t="n">
        <v>748.31</v>
      </c>
      <c r="E14" s="4" t="s">
        <v>100</v>
      </c>
      <c r="F14" s="3" t="n">
        <v>0.0435</v>
      </c>
      <c r="G14" s="4"/>
    </row>
    <row r="15" customFormat="false" ht="15" hidden="false" customHeight="false" outlineLevel="0" collapsed="false">
      <c r="A15" s="13"/>
      <c r="B15" s="13"/>
      <c r="C15" s="14" t="s">
        <v>189</v>
      </c>
      <c r="D15" s="13"/>
      <c r="E15" s="13"/>
      <c r="F15" s="15" t="n">
        <f aca="false">AVERAGE(F12:F14)</f>
        <v>0.0426333333333333</v>
      </c>
      <c r="G15" s="13"/>
    </row>
    <row r="17" customFormat="false" ht="15" hidden="false" customHeight="false" outlineLevel="0" collapsed="false">
      <c r="A17" s="4" t="s">
        <v>14</v>
      </c>
      <c r="B17" s="4" t="s">
        <v>198</v>
      </c>
      <c r="C17" s="4" t="s">
        <v>199</v>
      </c>
      <c r="D17" s="12" t="n">
        <v>60.16</v>
      </c>
      <c r="E17" s="4" t="s">
        <v>116</v>
      </c>
      <c r="F17" s="3" t="n">
        <v>0.0103</v>
      </c>
      <c r="G17" s="4" t="s">
        <v>200</v>
      </c>
    </row>
    <row r="18" customFormat="false" ht="15" hidden="false" customHeight="false" outlineLevel="0" collapsed="false">
      <c r="A18" s="4"/>
      <c r="B18" s="4" t="s">
        <v>201</v>
      </c>
      <c r="C18" s="4" t="s">
        <v>202</v>
      </c>
      <c r="D18" s="12" t="n">
        <v>20.11</v>
      </c>
      <c r="E18" s="4" t="s">
        <v>116</v>
      </c>
      <c r="F18" s="3" t="n">
        <v>0.0467</v>
      </c>
      <c r="G18" s="4"/>
    </row>
    <row r="19" customFormat="false" ht="15" hidden="false" customHeight="false" outlineLevel="0" collapsed="false">
      <c r="A19" s="4"/>
      <c r="B19" s="4" t="s">
        <v>203</v>
      </c>
      <c r="C19" s="4" t="s">
        <v>204</v>
      </c>
      <c r="D19" s="12" t="n">
        <v>11.93</v>
      </c>
      <c r="E19" s="4" t="s">
        <v>116</v>
      </c>
      <c r="F19" s="3" t="n">
        <v>0.0482</v>
      </c>
      <c r="G19" s="4"/>
    </row>
    <row r="20" customFormat="false" ht="15" hidden="false" customHeight="false" outlineLevel="0" collapsed="false">
      <c r="A20" s="13"/>
      <c r="B20" s="13"/>
      <c r="C20" s="14" t="s">
        <v>189</v>
      </c>
      <c r="D20" s="13"/>
      <c r="E20" s="13"/>
      <c r="F20" s="15" t="n">
        <f aca="false">AVERAGE(F17:F19)</f>
        <v>0.0350666666666667</v>
      </c>
      <c r="G20" s="13"/>
    </row>
    <row r="22" customFormat="false" ht="15" hidden="false" customHeight="false" outlineLevel="0" collapsed="false">
      <c r="A22" s="4" t="s">
        <v>16</v>
      </c>
      <c r="B22" s="4" t="s">
        <v>205</v>
      </c>
      <c r="C22" s="4" t="s">
        <v>206</v>
      </c>
      <c r="D22" s="12" t="n">
        <v>18.13</v>
      </c>
      <c r="E22" s="4" t="s">
        <v>126</v>
      </c>
      <c r="F22" s="3" t="n">
        <v>0.0523</v>
      </c>
      <c r="G22" s="4"/>
    </row>
    <row r="23" customFormat="false" ht="15" hidden="false" customHeight="false" outlineLevel="0" collapsed="false">
      <c r="A23" s="4"/>
      <c r="B23" s="4" t="s">
        <v>207</v>
      </c>
      <c r="C23" s="4" t="s">
        <v>208</v>
      </c>
      <c r="D23" s="12" t="n">
        <v>12.48</v>
      </c>
      <c r="E23" s="4" t="s">
        <v>126</v>
      </c>
      <c r="F23" s="3" t="n">
        <v>0.06</v>
      </c>
      <c r="G23" s="4"/>
    </row>
    <row r="24" customFormat="false" ht="15" hidden="false" customHeight="false" outlineLevel="0" collapsed="false">
      <c r="A24" s="4"/>
      <c r="B24" s="4" t="s">
        <v>209</v>
      </c>
      <c r="C24" s="4" t="s">
        <v>210</v>
      </c>
      <c r="D24" s="12" t="n">
        <v>6.71</v>
      </c>
      <c r="E24" s="4" t="s">
        <v>126</v>
      </c>
      <c r="F24" s="3" t="n">
        <v>0.0628</v>
      </c>
      <c r="G24" s="4"/>
    </row>
    <row r="25" customFormat="false" ht="15" hidden="false" customHeight="false" outlineLevel="0" collapsed="false">
      <c r="A25" s="13"/>
      <c r="B25" s="13"/>
      <c r="C25" s="14" t="s">
        <v>189</v>
      </c>
      <c r="D25" s="13"/>
      <c r="E25" s="13"/>
      <c r="F25" s="15" t="n">
        <f aca="false">AVERAGE(F22:F24)</f>
        <v>0.0583666666666667</v>
      </c>
      <c r="G25" s="13"/>
    </row>
    <row r="27" customFormat="false" ht="15" hidden="false" customHeight="false" outlineLevel="0" collapsed="false">
      <c r="A27" s="4" t="s">
        <v>18</v>
      </c>
      <c r="B27" s="4" t="s">
        <v>211</v>
      </c>
      <c r="C27" s="4" t="s">
        <v>212</v>
      </c>
      <c r="D27" s="12" t="n">
        <v>10.15</v>
      </c>
      <c r="E27" s="4" t="s">
        <v>147</v>
      </c>
      <c r="F27" s="3" t="n">
        <v>0.0414</v>
      </c>
      <c r="G27" s="4"/>
    </row>
    <row r="28" customFormat="false" ht="15" hidden="false" customHeight="false" outlineLevel="0" collapsed="false">
      <c r="A28" s="4"/>
      <c r="B28" s="4" t="s">
        <v>213</v>
      </c>
      <c r="C28" s="4" t="s">
        <v>214</v>
      </c>
      <c r="D28" s="12" t="n">
        <v>4.78</v>
      </c>
      <c r="E28" s="4" t="s">
        <v>147</v>
      </c>
      <c r="F28" s="3" t="n">
        <v>0.0685</v>
      </c>
      <c r="G28" s="4"/>
    </row>
    <row r="29" customFormat="false" ht="15" hidden="false" customHeight="false" outlineLevel="0" collapsed="false">
      <c r="A29" s="4"/>
      <c r="B29" s="4" t="s">
        <v>215</v>
      </c>
      <c r="C29" s="4" t="s">
        <v>216</v>
      </c>
      <c r="D29" s="12" t="n">
        <v>3.96</v>
      </c>
      <c r="E29" s="4" t="s">
        <v>147</v>
      </c>
      <c r="F29" s="3" t="n">
        <v>0.0578</v>
      </c>
      <c r="G29" s="4"/>
    </row>
    <row r="30" customFormat="false" ht="15" hidden="false" customHeight="false" outlineLevel="0" collapsed="false">
      <c r="A30" s="13"/>
      <c r="B30" s="13"/>
      <c r="C30" s="14" t="s">
        <v>189</v>
      </c>
      <c r="D30" s="13"/>
      <c r="E30" s="13"/>
      <c r="F30" s="15" t="n">
        <f aca="false">AVERAGE(F27:F29)</f>
        <v>0.0559</v>
      </c>
      <c r="G30" s="13"/>
    </row>
    <row r="32" customFormat="false" ht="15" hidden="false" customHeight="false" outlineLevel="0" collapsed="false">
      <c r="A32" s="4" t="s">
        <v>20</v>
      </c>
      <c r="B32" s="4" t="s">
        <v>217</v>
      </c>
      <c r="C32" s="4" t="s">
        <v>218</v>
      </c>
      <c r="D32" s="12" t="n">
        <v>103.91</v>
      </c>
      <c r="E32" s="4" t="s">
        <v>163</v>
      </c>
      <c r="F32" s="3" t="n">
        <v>0.0654</v>
      </c>
      <c r="G32" s="4"/>
    </row>
    <row r="33" customFormat="false" ht="15" hidden="false" customHeight="false" outlineLevel="0" collapsed="false">
      <c r="A33" s="4"/>
      <c r="B33" s="4" t="s">
        <v>161</v>
      </c>
      <c r="C33" s="4" t="s">
        <v>162</v>
      </c>
      <c r="D33" s="12" t="n">
        <v>12.67</v>
      </c>
      <c r="E33" s="4" t="s">
        <v>163</v>
      </c>
      <c r="F33" s="3" t="n">
        <v>0.0613</v>
      </c>
      <c r="G33" s="4"/>
    </row>
    <row r="34" customFormat="false" ht="15" hidden="false" customHeight="false" outlineLevel="0" collapsed="false">
      <c r="A34" s="4"/>
      <c r="B34" s="4" t="s">
        <v>219</v>
      </c>
      <c r="C34" s="4" t="s">
        <v>220</v>
      </c>
      <c r="D34" s="12" t="n">
        <v>9.4</v>
      </c>
      <c r="E34" s="4" t="s">
        <v>163</v>
      </c>
      <c r="F34" s="3" t="n">
        <v>0.0726</v>
      </c>
      <c r="G34" s="4"/>
    </row>
    <row r="35" customFormat="false" ht="15" hidden="false" customHeight="false" outlineLevel="0" collapsed="false">
      <c r="A35" s="13"/>
      <c r="B35" s="13"/>
      <c r="C35" s="14" t="s">
        <v>189</v>
      </c>
      <c r="D35" s="13"/>
      <c r="E35" s="13"/>
      <c r="F35" s="15" t="n">
        <f aca="false">AVERAGE(F32:F34)</f>
        <v>0.0664333333333333</v>
      </c>
      <c r="G35" s="13"/>
    </row>
    <row r="37" customFormat="false" ht="15" hidden="false" customHeight="false" outlineLevel="0" collapsed="false">
      <c r="A37" s="4" t="s">
        <v>21</v>
      </c>
      <c r="B37" s="4" t="s">
        <v>221</v>
      </c>
      <c r="C37" s="4" t="s">
        <v>222</v>
      </c>
      <c r="D37" s="12" t="n">
        <v>16.14</v>
      </c>
      <c r="E37" s="4" t="s">
        <v>175</v>
      </c>
      <c r="F37" s="3" t="n">
        <v>0.0526</v>
      </c>
      <c r="G37" s="4"/>
    </row>
    <row r="38" customFormat="false" ht="15" hidden="false" customHeight="false" outlineLevel="0" collapsed="false">
      <c r="A38" s="4"/>
      <c r="B38" s="4" t="s">
        <v>223</v>
      </c>
      <c r="C38" s="4" t="s">
        <v>224</v>
      </c>
      <c r="D38" s="12" t="n">
        <v>12.03</v>
      </c>
      <c r="E38" s="4" t="s">
        <v>175</v>
      </c>
      <c r="F38" s="3" t="n">
        <v>0.0427</v>
      </c>
      <c r="G38" s="4"/>
    </row>
    <row r="39" customFormat="false" ht="15" hidden="false" customHeight="false" outlineLevel="0" collapsed="false">
      <c r="A39" s="4"/>
      <c r="B39" s="4" t="s">
        <v>225</v>
      </c>
      <c r="C39" s="4" t="s">
        <v>226</v>
      </c>
      <c r="D39" s="12" t="n">
        <v>7.6</v>
      </c>
      <c r="E39" s="4" t="s">
        <v>175</v>
      </c>
      <c r="F39" s="3" t="n">
        <v>0.0646</v>
      </c>
      <c r="G39" s="4"/>
    </row>
    <row r="40" customFormat="false" ht="15" hidden="false" customHeight="false" outlineLevel="0" collapsed="false">
      <c r="A40" s="13"/>
      <c r="B40" s="13"/>
      <c r="C40" s="14" t="s">
        <v>189</v>
      </c>
      <c r="D40" s="13"/>
      <c r="E40" s="13"/>
      <c r="F40" s="15" t="n">
        <f aca="false">AVERAGE(F37:F39)</f>
        <v>0.0533</v>
      </c>
      <c r="G40" s="13"/>
    </row>
    <row r="42" customFormat="false" ht="15" hidden="false" customHeight="false" outlineLevel="0" collapsed="false">
      <c r="A42" s="8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2026-07-12T10:33:28Z</dcterms:created>
  <dc:creator>openpyxl</dc:creator>
  <dc:description/>
  <dc:language>en-US</dc:language>
  <cp:lastModifiedBy/>
  <dcterms:modified xsi:type="dcterms:W3CDTF">2026-07-12T10:33:28Z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