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drawings/drawing3.xml" ContentType="application/vnd.openxmlformats-officedocument.drawing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drawings/drawing4.xml" ContentType="application/vnd.openxmlformats-officedocument.drawing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xmlns:r="http://schemas.openxmlformats.org/officeDocument/2006/relationships" name="Comparison" sheetId="1" state="visible" r:id="rId1"/>
    <sheet xmlns:r="http://schemas.openxmlformats.org/officeDocument/2006/relationships" name="Embassy" sheetId="2" state="visible" r:id="rId2"/>
    <sheet xmlns:r="http://schemas.openxmlformats.org/officeDocument/2006/relationships" name="Mindspace" sheetId="3" state="visible" r:id="rId3"/>
    <sheet xmlns:r="http://schemas.openxmlformats.org/officeDocument/2006/relationships" name="Brookfield" sheetId="4" state="visible" r:id="rId4"/>
    <sheet xmlns:r="http://schemas.openxmlformats.org/officeDocument/2006/relationships" name="Nexus" sheetId="5" state="visible" r:id="rId5"/>
    <sheet xmlns:r="http://schemas.openxmlformats.org/officeDocument/2006/relationships" name="Knowledge (KRT)" sheetId="6" state="visible" r:id="rId6"/>
    <sheet xmlns:r="http://schemas.openxmlformats.org/officeDocument/2006/relationships" name="Bagmane" sheetId="7" state="visible" r:id="rId7"/>
    <sheet xmlns:r="http://schemas.openxmlformats.org/officeDocument/2006/relationships" name="Notes &amp; Definitions" sheetId="8" state="visible" r:id="rId8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#,##0;\(#,##0\);\-"/>
    <numFmt numFmtId="165" formatCode="0.0%;\(0.0%\);\-"/>
    <numFmt numFmtId="166" formatCode="#,##0.0"/>
    <numFmt numFmtId="167" formatCode="#,##0.00\x"/>
  </numFmts>
  <fonts count="22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1F4E78"/>
      <sz val="12"/>
    </font>
    <font>
      <name val="Cambria"/>
      <charset val="1"/>
      <family val="0"/>
      <b val="1"/>
      <sz val="11"/>
    </font>
    <font>
      <name val="Cambria"/>
      <charset val="1"/>
      <family val="0"/>
      <b val="1"/>
      <color rgb="FF1F4E78"/>
      <sz val="11"/>
    </font>
    <font>
      <name val="Cambria"/>
      <charset val="1"/>
      <family val="0"/>
      <i val="1"/>
      <sz val="8"/>
    </font>
    <font>
      <name val="Cambria"/>
      <charset val="1"/>
      <family val="0"/>
      <b val="1"/>
      <color rgb="FFFFFFFF"/>
      <sz val="9"/>
    </font>
    <font>
      <name val="Cambria"/>
      <charset val="1"/>
      <family val="0"/>
      <sz val="9"/>
    </font>
    <font>
      <name val="Cambria"/>
      <charset val="1"/>
      <family val="0"/>
      <i val="1"/>
      <color rgb="FF808080"/>
      <sz val="8"/>
    </font>
    <font>
      <name val="Cambria"/>
      <charset val="1"/>
      <family val="0"/>
      <i val="1"/>
      <color rgb="FF595959"/>
      <sz val="9"/>
    </font>
    <font>
      <name val="Cambria"/>
      <charset val="1"/>
      <family val="0"/>
      <b val="1"/>
      <color rgb="FF1F4E78"/>
      <sz val="9"/>
    </font>
    <font>
      <name val="Cambria"/>
      <charset val="1"/>
      <family val="0"/>
      <color rgb="FF0563C1"/>
      <sz val="9"/>
    </font>
    <font>
      <name val="Cambria"/>
      <charset val="1"/>
      <family val="0"/>
      <i val="1"/>
      <color rgb="FFB0B0B0"/>
      <sz val="8"/>
    </font>
    <font>
      <name val="Cambria"/>
      <charset val="1"/>
      <family val="0"/>
      <b val="1"/>
      <color rgb="FF843C0C"/>
      <sz val="9"/>
    </font>
    <font>
      <name val="Arial"/>
      <family val="2"/>
      <sz val="10"/>
    </font>
    <font>
      <name val="Arial"/>
      <family val="2"/>
      <color rgb="FF000000"/>
      <sz val="13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Arial"/>
      <charset val="1"/>
      <family val="2"/>
      <color rgb="FF3F6C88"/>
      <sz val="7"/>
    </font>
    <font>
      <name val="Arial"/>
      <charset val="1"/>
      <family val="2"/>
      <color theme="1"/>
      <sz val="8"/>
    </font>
  </fonts>
  <fills count="6">
    <fill>
      <patternFill/>
    </fill>
    <fill>
      <patternFill patternType="gray125"/>
    </fill>
    <fill>
      <patternFill patternType="solid">
        <fgColor rgb="FF1F4E78"/>
        <bgColor rgb="FF004586"/>
      </patternFill>
    </fill>
    <fill>
      <patternFill patternType="solid">
        <fgColor rgb="FFDDEBF7"/>
        <bgColor rgb="FFCCFFFF"/>
      </patternFill>
    </fill>
    <fill>
      <patternFill patternType="solid">
        <fgColor rgb="FFFCE4D6"/>
        <bgColor rgb="FFDDEBF7"/>
      </patternFill>
    </fill>
    <fill>
      <patternFill patternType="solid">
        <fgColor rgb="FF843C0C"/>
        <bgColor rgb="FF993366"/>
      </patternFill>
    </fill>
  </fills>
  <borders count="1">
    <border>
      <left/>
      <right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76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2" fontId="13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4" fontId="13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left" vertical="bottom"/>
    </xf>
    <xf numFmtId="0" fontId="8" fillId="5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0" fontId="21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7" fillId="0" borderId="0" applyAlignment="1" pivotButton="0" quotePrefix="0" xfId="0">
      <alignment horizontal="general" vertical="bottom"/>
    </xf>
    <xf numFmtId="0" fontId="8" fillId="2" borderId="0" applyAlignment="1" pivotButton="0" quotePrefix="0" xfId="0">
      <alignment horizontal="left" vertical="bottom"/>
    </xf>
    <xf numFmtId="0" fontId="8" fillId="2" borderId="0" applyAlignment="1" pivotButton="0" quotePrefix="0" xfId="0">
      <alignment horizontal="center" vertical="bottom"/>
    </xf>
    <xf numFmtId="0" fontId="9" fillId="0" borderId="0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164" fontId="11" fillId="0" borderId="0" applyAlignment="1" pivotButton="0" quotePrefix="0" xfId="0">
      <alignment horizontal="general" vertical="bottom"/>
    </xf>
    <xf numFmtId="165" fontId="11" fillId="0" borderId="0" applyAlignment="1" pivotButton="0" quotePrefix="0" xfId="0">
      <alignment horizontal="general" vertical="bottom"/>
    </xf>
    <xf numFmtId="4" fontId="11" fillId="0" borderId="0" applyAlignment="1" pivotButton="0" quotePrefix="0" xfId="0">
      <alignment horizontal="general" vertical="bottom"/>
    </xf>
    <xf numFmtId="166" fontId="11" fillId="0" borderId="0" applyAlignment="1" pivotButton="0" quotePrefix="0" xfId="0">
      <alignment horizontal="general" vertical="bottom"/>
    </xf>
    <xf numFmtId="0" fontId="12" fillId="0" borderId="0" applyAlignment="1" pivotButton="0" quotePrefix="0" xfId="0">
      <alignment horizontal="general" vertical="bottom"/>
    </xf>
    <xf numFmtId="0" fontId="12" fillId="3" borderId="0" applyAlignment="1" pivotButton="0" quotePrefix="0" xfId="0">
      <alignment horizontal="general" vertical="bottom"/>
    </xf>
    <xf numFmtId="0" fontId="0" fillId="3" borderId="0" applyAlignment="1" pivotButton="0" quotePrefix="0" xfId="0">
      <alignment horizontal="general" vertical="bottom"/>
    </xf>
    <xf numFmtId="2" fontId="13" fillId="0" borderId="0" applyAlignment="1" pivotButton="0" quotePrefix="0" xfId="0">
      <alignment horizontal="general" vertical="bottom"/>
    </xf>
    <xf numFmtId="164" fontId="9" fillId="0" borderId="0" applyAlignment="1" pivotButton="0" quotePrefix="0" xfId="0">
      <alignment horizontal="general" vertical="bottom"/>
    </xf>
    <xf numFmtId="164" fontId="13" fillId="0" borderId="0" applyAlignment="1" pivotButton="0" quotePrefix="0" xfId="0">
      <alignment horizontal="general" vertical="bottom"/>
    </xf>
    <xf numFmtId="0" fontId="14" fillId="0" borderId="0" applyAlignment="1" pivotButton="0" quotePrefix="0" xfId="0">
      <alignment horizontal="general" vertical="bottom"/>
    </xf>
    <xf numFmtId="4" fontId="9" fillId="0" borderId="0" applyAlignment="1" pivotButton="0" quotePrefix="0" xfId="0">
      <alignment horizontal="general" vertical="bottom"/>
    </xf>
    <xf numFmtId="4" fontId="13" fillId="0" borderId="0" applyAlignment="1" pivotButton="0" quotePrefix="0" xfId="0">
      <alignment horizontal="general" vertical="bottom"/>
    </xf>
    <xf numFmtId="165" fontId="9" fillId="0" borderId="0" applyAlignment="1" pivotButton="0" quotePrefix="0" xfId="0">
      <alignment horizontal="general" vertical="bottom"/>
    </xf>
    <xf numFmtId="165" fontId="13" fillId="0" borderId="0" applyAlignment="1" pivotButton="0" quotePrefix="0" xfId="0">
      <alignment horizontal="general" vertical="bottom"/>
    </xf>
    <xf numFmtId="166" fontId="13" fillId="0" borderId="0" applyAlignment="1" pivotButton="0" quotePrefix="0" xfId="0">
      <alignment horizontal="general" vertical="bottom"/>
    </xf>
    <xf numFmtId="3" fontId="13" fillId="0" borderId="0" applyAlignment="1" pivotButton="0" quotePrefix="0" xfId="0">
      <alignment horizontal="general" vertical="bottom"/>
    </xf>
    <xf numFmtId="0" fontId="15" fillId="4" borderId="0" applyAlignment="1" pivotButton="0" quotePrefix="0" xfId="0">
      <alignment horizontal="general" vertical="bottom"/>
    </xf>
    <xf numFmtId="0" fontId="0" fillId="4" borderId="0" applyAlignment="1" pivotButton="0" quotePrefix="0" xfId="0">
      <alignment horizontal="general" vertical="bottom"/>
    </xf>
    <xf numFmtId="0" fontId="8" fillId="5" borderId="0" applyAlignment="1" pivotButton="0" quotePrefix="0" xfId="0">
      <alignment horizontal="left" vertical="bottom"/>
    </xf>
    <xf numFmtId="0" fontId="8" fillId="5" borderId="0" applyAlignment="1" pivotButton="0" quotePrefix="0" xfId="0">
      <alignment horizontal="center" vertical="bottom"/>
    </xf>
    <xf numFmtId="0" fontId="15" fillId="0" borderId="0" applyAlignment="1" pivotButton="0" quotePrefix="0" xfId="0">
      <alignment horizontal="general" vertical="bottom"/>
    </xf>
    <xf numFmtId="166" fontId="9" fillId="0" borderId="0" applyAlignment="1" pivotButton="0" quotePrefix="0" xfId="0">
      <alignment horizontal="general" vertical="bottom"/>
    </xf>
    <xf numFmtId="167" fontId="11" fillId="0" borderId="0" applyAlignment="1" pivotButton="0" quotePrefix="0" xfId="0">
      <alignment horizontal="general" vertical="bottom"/>
    </xf>
    <xf numFmtId="3" fontId="9" fillId="0" borderId="0" applyAlignment="1" pivotButton="0" quotePrefix="0" xfId="0">
      <alignment horizontal="general" vertical="bottom"/>
    </xf>
    <xf numFmtId="10" fontId="0" fillId="0" borderId="0" applyAlignment="1" pivotButton="0" quotePrefix="0" xfId="0">
      <alignment horizontal="general" vertical="bottom"/>
    </xf>
    <xf numFmtId="0" fontId="20" fillId="0" borderId="0" applyAlignment="1" pivotButton="0" quotePrefix="0" xfId="0">
      <alignment horizontal="general" vertical="bottom"/>
    </xf>
    <xf numFmtId="10" fontId="21" fillId="0" borderId="0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3B3B3"/>
      <rgbColor rgb="FF808080"/>
      <rgbColor rgb="FF9999FF"/>
      <rgbColor rgb="FF993366"/>
      <rgbColor rgb="FFFCE4D6"/>
      <rgbColor rgb="FFDDEBF7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D320"/>
      <rgbColor rgb="FFFF9900"/>
      <rgbColor rgb="FFFF420E"/>
      <rgbColor rgb="FF3F6C88"/>
      <rgbColor rgb="FFB0B0B0"/>
      <rgbColor rgb="FF004586"/>
      <rgbColor rgb="FF339966"/>
      <rgbColor rgb="FF003300"/>
      <rgbColor rgb="FF333300"/>
      <rgbColor rgb="FF843C0C"/>
      <rgbColor rgb="FF993366"/>
      <rgbColor rgb="FF1F4E78"/>
      <rgbColor rgb="FF595959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300" b="0" strike="noStrike">
                <a:solidFill>
                  <a:srgbClr val="000000"/>
                </a:solidFill>
                <a:uFillTx/>
                <a:latin typeface="Arial"/>
              </a:rPr>
              <a:t>Embassy REIT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Embassy!$S$56:$T$56</f>
              <strCache>
                <ptCount val="1"/>
                <pt idx="0">
                  <v>Metric Unit</v>
                </pt>
              </strCache>
            </strRef>
          </tx>
          <spPr>
            <a:solidFill xmlns:a="http://schemas.openxmlformats.org/drawingml/2006/main">
              <a:srgbClr val="00458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Embassy!$U$56:$AB$56</f>
              <strCache>
                <ptCount val="8"/>
                <pt idx="0">
                  <v>FY2019</v>
                </pt>
                <pt idx="1">
                  <v>FY2020</v>
                </pt>
                <pt idx="2">
                  <v>FY2021</v>
                </pt>
                <pt idx="3">
                  <v>FY2022</v>
                </pt>
                <pt idx="4">
                  <v>FY2023</v>
                </pt>
                <pt idx="5">
                  <v>FY2024</v>
                </pt>
                <pt idx="6">
                  <v>FY2025</v>
                </pt>
                <pt idx="7">
                  <v>FY2026</v>
                </pt>
              </strCache>
            </strRef>
          </cat>
          <val>
            <numRef>
              <f>Embassy!$U$56:$AB$56</f>
              <numCache>
                <formatCode>General</formatCode>
                <ptCount val="8"/>
              </numCache>
            </numRef>
          </val>
        </ser>
        <ser>
          <idx val="1"/>
          <order val="1"/>
          <tx>
            <strRef>
              <f>Embassy!$S$57:$T$57</f>
              <strCache>
                <ptCount val="1"/>
                <pt idx="0">
                  <v>In-place / Physical Occupancy %</v>
                </pt>
              </strCache>
            </strRef>
          </tx>
          <spPr>
            <a:solidFill xmlns:a="http://schemas.openxmlformats.org/drawingml/2006/main">
              <a:srgbClr val="FF420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Embassy!$U$56:$AB$56</f>
              <strCache>
                <ptCount val="8"/>
                <pt idx="0">
                  <v>FY2019</v>
                </pt>
                <pt idx="1">
                  <v>FY2020</v>
                </pt>
                <pt idx="2">
                  <v>FY2021</v>
                </pt>
                <pt idx="3">
                  <v>FY2022</v>
                </pt>
                <pt idx="4">
                  <v>FY2023</v>
                </pt>
                <pt idx="5">
                  <v>FY2024</v>
                </pt>
                <pt idx="6">
                  <v>FY2025</v>
                </pt>
                <pt idx="7">
                  <v>FY2026</v>
                </pt>
              </strCache>
            </strRef>
          </cat>
          <val>
            <numRef>
              <f>Embassy!$U$57:$AB$57</f>
              <numCache>
                <formatCode>0.0%;\(0.0%\);\-</formatCode>
                <ptCount val="8"/>
                <pt idx="0">
                  <v>9.43</v>
                </pt>
                <pt idx="1">
                  <v>9.279999999999999</v>
                </pt>
                <pt idx="2">
                  <v>8.890000000000001</v>
                </pt>
                <pt idx="3">
                  <v>8.710000000000001</v>
                </pt>
                <pt idx="4">
                  <v>8.6</v>
                </pt>
                <pt idx="5">
                  <v>8.5</v>
                </pt>
                <pt idx="6">
                  <v>8.699999999999999</v>
                </pt>
                <pt idx="7">
                  <v>9</v>
                </pt>
              </numCache>
            </numRef>
          </val>
        </ser>
        <ser>
          <idx val="2"/>
          <order val="2"/>
          <tx>
            <strRef>
              <f>Embassy!$S$58:$T$58</f>
              <strCache>
                <ptCount val="1"/>
                <pt idx="0">
                  <v>WALE years</v>
                </pt>
              </strCache>
            </strRef>
          </tx>
          <spPr>
            <a:solidFill xmlns:a="http://schemas.openxmlformats.org/drawingml/2006/main">
              <a:srgbClr val="FFD320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Embassy!$U$56:$AB$56</f>
              <strCache>
                <ptCount val="8"/>
                <pt idx="0">
                  <v>FY2019</v>
                </pt>
                <pt idx="1">
                  <v>FY2020</v>
                </pt>
                <pt idx="2">
                  <v>FY2021</v>
                </pt>
                <pt idx="3">
                  <v>FY2022</v>
                </pt>
                <pt idx="4">
                  <v>FY2023</v>
                </pt>
                <pt idx="5">
                  <v>FY2024</v>
                </pt>
                <pt idx="6">
                  <v>FY2025</v>
                </pt>
                <pt idx="7">
                  <v>FY2026</v>
                </pt>
              </strCache>
            </strRef>
          </cat>
          <val>
            <numRef>
              <f>Embassy!$U$58:$AB$58</f>
              <numCache>
                <formatCode>#,##0.0</formatCode>
                <ptCount val="8"/>
                <pt idx="0">
                  <v>7</v>
                </pt>
                <pt idx="1">
                  <v>7</v>
                </pt>
                <pt idx="2">
                  <v>7</v>
                </pt>
                <pt idx="3">
                  <v>7</v>
                </pt>
                <pt idx="4">
                  <v>6.6</v>
                </pt>
                <pt idx="5">
                  <v>6.8</v>
                </pt>
                <pt idx="6">
                  <v>8.4</v>
                </pt>
                <pt idx="7">
                  <v>8.5</v>
                </pt>
              </numCache>
            </numRef>
          </val>
        </ser>
        <gapWidth val="100"/>
        <overlap val="0"/>
        <axId val="19668443"/>
        <axId val="23656404"/>
      </barChart>
      <catAx>
        <axId val="19668443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>None</a:t>
            </a:r>
          </a:p>
        </txPr>
        <crossAx val="23656404"/>
        <crosses val="autoZero"/>
        <auto val="1"/>
        <lblAlgn val="ctr"/>
        <lblOffset val="100"/>
        <noMultiLvlLbl val="0"/>
      </catAx>
      <valAx>
        <axId val="23656404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900" b="0" strike="noStrike">
                    <a:solidFill>
                      <a:srgbClr val="000000"/>
                    </a:solidFill>
                    <a:uFillTx/>
                    <a:latin typeface="Arial"/>
                  </a:rPr>
                  <a:t>years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out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>None</a:t>
            </a:r>
          </a:p>
        </txPr>
        <crossAx val="19668443"/>
        <crosses val="autoZero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300" b="0" strike="noStrike">
                <a:solidFill>
                  <a:srgbClr val="000000"/>
                </a:solidFill>
                <a:uFillTx/>
                <a:latin typeface="Arial"/>
              </a:rPr>
              <a:t>MindSpace REIT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Mindspace!$S$57:$T$57</f>
              <strCache>
                <ptCount val="1"/>
                <pt idx="0">
                  <v>In-place / Physical Occupancy %</v>
                </pt>
              </strCache>
            </strRef>
          </tx>
          <spPr>
            <a:solidFill xmlns:a="http://schemas.openxmlformats.org/drawingml/2006/main">
              <a:srgbClr val="00458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Mindspace!$U$56:$Z$56</f>
              <strCache>
                <ptCount val="6"/>
                <pt idx="0">
                  <v>FY2021</v>
                </pt>
                <pt idx="1">
                  <v>FY2022</v>
                </pt>
                <pt idx="2">
                  <v>FY2023</v>
                </pt>
                <pt idx="3">
                  <v>FY2024</v>
                </pt>
                <pt idx="4">
                  <v>FY2025</v>
                </pt>
                <pt idx="5">
                  <v>FY2026</v>
                </pt>
              </strCache>
            </strRef>
          </cat>
          <val>
            <numRef>
              <f>Mindspace!$U$57:$Z$57</f>
              <numCache>
                <formatCode>0.0%;\(0.0%\);\-</formatCode>
                <ptCount val="6"/>
                <pt idx="0">
                  <v>8.4</v>
                </pt>
                <pt idx="1">
                  <v>8.220000000000001</v>
                </pt>
                <pt idx="2">
                  <v>9.04833</v>
                </pt>
                <pt idx="3">
                  <v>8.380000000000001</v>
                </pt>
                <pt idx="4">
                  <v>8.4</v>
                </pt>
                <pt idx="5">
                  <v>9.1</v>
                </pt>
              </numCache>
            </numRef>
          </val>
        </ser>
        <ser>
          <idx val="1"/>
          <order val="1"/>
          <tx>
            <strRef>
              <f>Mindspace!$S$58:$T$58</f>
              <strCache>
                <ptCount val="1"/>
                <pt idx="0">
                  <v>WALE years</v>
                </pt>
              </strCache>
            </strRef>
          </tx>
          <spPr>
            <a:solidFill xmlns:a="http://schemas.openxmlformats.org/drawingml/2006/main">
              <a:srgbClr val="FF420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Mindspace!$U$56:$Z$56</f>
              <strCache>
                <ptCount val="6"/>
                <pt idx="0">
                  <v>FY2021</v>
                </pt>
                <pt idx="1">
                  <v>FY2022</v>
                </pt>
                <pt idx="2">
                  <v>FY2023</v>
                </pt>
                <pt idx="3">
                  <v>FY2024</v>
                </pt>
                <pt idx="4">
                  <v>FY2025</v>
                </pt>
                <pt idx="5">
                  <v>FY2026</v>
                </pt>
              </strCache>
            </strRef>
          </cat>
          <val>
            <numRef>
              <f>Mindspace!$U$58:$Z$58</f>
              <numCache>
                <formatCode>#,##0.0</formatCode>
                <ptCount val="6"/>
                <pt idx="0">
                  <v>6</v>
                </pt>
                <pt idx="1">
                  <v>6.9</v>
                </pt>
                <pt idx="2">
                  <v>6.7</v>
                </pt>
                <pt idx="3">
                  <v>6.8</v>
                </pt>
                <pt idx="4">
                  <v>7.4</v>
                </pt>
                <pt idx="5">
                  <v>7.1</v>
                </pt>
              </numCache>
            </numRef>
          </val>
        </ser>
        <gapWidth val="100"/>
        <overlap val="0"/>
        <axId val="16531025"/>
        <axId val="14022974"/>
      </barChart>
      <catAx>
        <axId val="16531025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>None</a:t>
            </a:r>
          </a:p>
        </txPr>
        <crossAx val="14022974"/>
        <crosses val="autoZero"/>
        <auto val="1"/>
        <lblAlgn val="ctr"/>
        <lblOffset val="100"/>
        <noMultiLvlLbl val="0"/>
      </catAx>
      <valAx>
        <axId val="14022974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900" b="0" strike="noStrike">
                    <a:solidFill>
                      <a:srgbClr val="000000"/>
                    </a:solidFill>
                    <a:uFillTx/>
                    <a:latin typeface="Arial"/>
                  </a:rPr>
                  <a:t>Years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out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>None</a:t>
            </a:r>
          </a:p>
        </txPr>
        <crossAx val="16531025"/>
        <crossesAt val="0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charts/chart3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300" b="0" strike="noStrike">
                <a:solidFill>
                  <a:srgbClr val="000000"/>
                </a:solidFill>
                <a:uFillTx/>
                <a:latin typeface="Arial"/>
              </a:rPr>
              <a:t>Brookfield REIT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Brookfield!$S$57:$T$57</f>
              <strCache>
                <ptCount val="1"/>
                <pt idx="0">
                  <v>In-place / Physical Occupancy %</v>
                </pt>
              </strCache>
            </strRef>
          </tx>
          <spPr>
            <a:solidFill xmlns:a="http://schemas.openxmlformats.org/drawingml/2006/main">
              <a:srgbClr val="00458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Brookfield!$U$56:$Y$56</f>
              <strCache>
                <ptCount val="5"/>
                <pt idx="0">
                  <v>FY2022</v>
                </pt>
                <pt idx="1">
                  <v>FY2023</v>
                </pt>
                <pt idx="2">
                  <v>FY2024</v>
                </pt>
                <pt idx="3">
                  <v>FY2025</v>
                </pt>
                <pt idx="4">
                  <v>FY2026</v>
                </pt>
              </strCache>
            </strRef>
          </cat>
          <val>
            <numRef>
              <f>Brookfield!$U$57:$Y$57</f>
              <numCache>
                <formatCode>0.0%;\(0.0%\);\-</formatCode>
                <ptCount val="5"/>
                <pt idx="0">
                  <v>8.699999999999999</v>
                </pt>
                <pt idx="1">
                  <v>8.9</v>
                </pt>
                <pt idx="2">
                  <v>8.699999999999999</v>
                </pt>
                <pt idx="3">
                  <v>8.800000000000001</v>
                </pt>
                <pt idx="4">
                  <v>9.289999999999999</v>
                </pt>
              </numCache>
            </numRef>
          </val>
        </ser>
        <ser>
          <idx val="1"/>
          <order val="1"/>
          <tx>
            <strRef>
              <f>Brookfield!$S$58:$T$58</f>
              <strCache>
                <ptCount val="1"/>
                <pt idx="0">
                  <v>WALE years</v>
                </pt>
              </strCache>
            </strRef>
          </tx>
          <spPr>
            <a:solidFill xmlns:a="http://schemas.openxmlformats.org/drawingml/2006/main">
              <a:srgbClr val="FF420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Brookfield!$U$56:$Y$56</f>
              <strCache>
                <ptCount val="5"/>
                <pt idx="0">
                  <v>FY2022</v>
                </pt>
                <pt idx="1">
                  <v>FY2023</v>
                </pt>
                <pt idx="2">
                  <v>FY2024</v>
                </pt>
                <pt idx="3">
                  <v>FY2025</v>
                </pt>
                <pt idx="4">
                  <v>FY2026</v>
                </pt>
              </strCache>
            </strRef>
          </cat>
          <val>
            <numRef>
              <f>Brookfield!$U$58:$Y$58</f>
              <numCache>
                <formatCode>#,##0.0</formatCode>
                <ptCount val="5"/>
                <pt idx="0">
                  <v>7.1</v>
                </pt>
                <pt idx="1">
                  <v>7.9</v>
                </pt>
                <pt idx="2">
                  <v>7.6</v>
                </pt>
                <pt idx="3">
                  <v>7</v>
                </pt>
                <pt idx="4">
                  <v>6.7</v>
                </pt>
              </numCache>
            </numRef>
          </val>
        </ser>
        <gapWidth val="100"/>
        <overlap val="0"/>
        <axId val="93637828"/>
        <axId val="94616637"/>
      </barChart>
      <catAx>
        <axId val="93637828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>None</a:t>
            </a:r>
          </a:p>
        </txPr>
        <crossAx val="94616637"/>
        <crosses val="autoZero"/>
        <auto val="1"/>
        <lblAlgn val="ctr"/>
        <lblOffset val="100"/>
        <noMultiLvlLbl val="0"/>
      </catAx>
      <valAx>
        <axId val="94616637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900" b="0" strike="noStrike">
                    <a:solidFill>
                      <a:srgbClr val="000000"/>
                    </a:solidFill>
                    <a:uFillTx/>
                    <a:latin typeface="Arial"/>
                  </a:rPr>
                  <a:t>Years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out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>None</a:t>
            </a:r>
          </a:p>
        </txPr>
        <crossAx val="93637828"/>
        <crossesAt val="0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charts/chart4.xml><?xml version="1.0" encoding="utf-8"?>
<chartSpace xmlns="http://schemas.openxmlformats.org/drawingml/2006/chart">
  <chart>
    <title>
      <tx>
        <rich>
          <a:bodyPr xmlns:a="http://schemas.openxmlformats.org/drawingml/2006/main" rot="0"/>
          <a:lstStyle xmlns:a="http://schemas.openxmlformats.org/drawingml/2006/main"/>
          <a:p xmlns:a="http://schemas.openxmlformats.org/drawingml/2006/main">
            <a:pPr>
              <a:defRPr sz="1300" b="0" strike="noStrike">
                <a:uFillTx/>
                <a:latin typeface="Arial"/>
              </a:defRPr>
            </a:pPr>
            <a:r>
              <a:rPr sz="1300" b="0" strike="noStrike">
                <a:solidFill>
                  <a:srgbClr val="000000"/>
                </a:solidFill>
                <a:uFillTx/>
                <a:latin typeface="Arial"/>
              </a:rPr>
              <a:t>Nexus REIT</a:t>
            </a:r>
          </a:p>
        </rich>
      </tx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</title>
    <plotArea>
      <barChart>
        <barDir val="col"/>
        <grouping val="clustered"/>
        <varyColors val="0"/>
        <ser>
          <idx val="0"/>
          <order val="0"/>
          <tx>
            <strRef>
              <f>Nexus!$S$57:$T$57</f>
              <strCache>
                <ptCount val="1"/>
                <pt idx="0">
                  <v>In-place / Physical Occupancy %</v>
                </pt>
              </strCache>
            </strRef>
          </tx>
          <spPr>
            <a:solidFill xmlns:a="http://schemas.openxmlformats.org/drawingml/2006/main">
              <a:srgbClr val="004586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Nexus!$U$56:$W$56</f>
              <strCache>
                <ptCount val="3"/>
                <pt idx="0">
                  <v>FY2024</v>
                </pt>
                <pt idx="1">
                  <v>FY2025</v>
                </pt>
                <pt idx="2">
                  <v>FY2026</v>
                </pt>
              </strCache>
            </strRef>
          </cat>
          <val>
            <numRef>
              <f>Nexus!$U$57:$W$57</f>
              <numCache>
                <formatCode>0.0%;\(0.0%\);\-</formatCode>
                <ptCount val="3"/>
                <pt idx="0">
                  <v>9.6</v>
                </pt>
                <pt idx="1">
                  <v>8.800000000000001</v>
                </pt>
                <pt idx="2">
                  <v>9.289999999999999</v>
                </pt>
              </numCache>
            </numRef>
          </val>
        </ser>
        <ser>
          <idx val="1"/>
          <order val="1"/>
          <tx>
            <strRef>
              <f>Nexus!$S$58:$T$58</f>
              <strCache>
                <ptCount val="1"/>
                <pt idx="0">
                  <v>WALE years</v>
                </pt>
              </strCache>
            </strRef>
          </tx>
          <spPr>
            <a:solidFill xmlns:a="http://schemas.openxmlformats.org/drawingml/2006/main">
              <a:srgbClr val="FF420E"/>
            </a:solidFill>
            <a:ln xmlns:a="http://schemas.openxmlformats.org/drawingml/2006/main" w="0">
              <a:noFill/>
              <a:prstDash val="solid"/>
            </a:ln>
          </spPr>
          <invertIfNegative val="0"/>
          <dLbls>
            <txPr>
              <a:bodyPr xmlns:a="http://schemas.openxmlformats.org/drawingml/2006/main" wrap="square"/>
              <a:lstStyle xmlns:a="http://schemas.openxmlformats.org/drawingml/2006/main"/>
              <a:p xmlns:a="http://schemas.openxmlformats.org/drawingml/2006/main">
                <a:pPr>
                  <a:defRPr sz="1000" b="0" strike="noStrike">
                    <a:solidFill>
                      <a:srgbClr val="000000"/>
                    </a:solidFill>
                    <a:uFillTx/>
                    <a:latin typeface="Arial"/>
                  </a:defRPr>
                </a:pPr>
                <a:r>
                  <a:t>None</a:t>
                </a:r>
              </a:p>
            </txPr>
            <dLblPos val="outEnd"/>
            <showLegendKey val="0"/>
            <showVal val="0"/>
            <showCatName val="0"/>
            <showSerName val="0"/>
            <showPercent val="0"/>
            <showLeaderLines val="1"/>
          </dLbls>
          <cat>
            <strRef>
              <f>Nexus!$U$56:$W$56</f>
              <strCache>
                <ptCount val="3"/>
                <pt idx="0">
                  <v>FY2024</v>
                </pt>
                <pt idx="1">
                  <v>FY2025</v>
                </pt>
                <pt idx="2">
                  <v>FY2026</v>
                </pt>
              </strCache>
            </strRef>
          </cat>
          <val>
            <numRef>
              <f>Nexus!$U$58:$W$58</f>
              <numCache>
                <formatCode>#,##0.0</formatCode>
                <ptCount val="3"/>
                <pt idx="0">
                  <v>5.1</v>
                </pt>
                <pt idx="1">
                  <v>4.9</v>
                </pt>
                <pt idx="2">
                  <v>4.7</v>
                </pt>
              </numCache>
            </numRef>
          </val>
        </ser>
        <gapWidth val="100"/>
        <overlap val="0"/>
        <axId val="48938500"/>
        <axId val="24647162"/>
      </barChart>
      <catAx>
        <axId val="48938500"/>
        <scaling>
          <orientation val="minMax"/>
        </scaling>
        <delete val="0"/>
        <axPos val="b"/>
        <numFmt formatCode="General" sourceLinked="0"/>
        <majorTickMark val="out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>None</a:t>
            </a:r>
          </a:p>
        </txPr>
        <crossAx val="24647162"/>
        <crosses val="autoZero"/>
        <auto val="1"/>
        <lblAlgn val="ctr"/>
        <lblOffset val="100"/>
        <noMultiLvlLbl val="0"/>
      </catAx>
      <valAx>
        <axId val="24647162"/>
        <scaling>
          <orientation val="minMax"/>
        </scaling>
        <delete val="0"/>
        <axPos val="l"/>
        <majorGridlines>
          <spPr>
            <a:ln xmlns:a="http://schemas.openxmlformats.org/drawingml/2006/main" w="0">
              <a:solidFill>
                <a:srgbClr val="B3B3B3"/>
              </a:solidFill>
              <a:prstDash val="solid"/>
            </a:ln>
          </spPr>
        </majorGridlines>
        <title>
          <tx>
            <rich>
              <a:bodyPr xmlns:a="http://schemas.openxmlformats.org/drawingml/2006/main" rot="-5400000"/>
              <a:lstStyle xmlns:a="http://schemas.openxmlformats.org/drawingml/2006/main"/>
              <a:p xmlns:a="http://schemas.openxmlformats.org/drawingml/2006/main">
                <a:pPr>
                  <a:defRPr sz="1300" b="0" strike="noStrike">
                    <a:uFillTx/>
                    <a:latin typeface="Arial"/>
                  </a:defRPr>
                </a:pPr>
                <a:r>
                  <a:rPr sz="900" b="0" strike="noStrike">
                    <a:solidFill>
                      <a:srgbClr val="000000"/>
                    </a:solidFill>
                    <a:uFillTx/>
                    <a:latin typeface="Arial"/>
                  </a:rPr>
                  <a:t>Years</a:t>
                </a:r>
              </a:p>
            </rich>
          </tx>
          <overlay val="0"/>
          <spPr>
            <a:noFill xmlns:a="http://schemas.openxmlformats.org/drawingml/2006/main"/>
            <a:ln xmlns:a="http://schemas.openxmlformats.org/drawingml/2006/main" w="0">
              <a:noFill/>
              <a:prstDash val="solid"/>
            </a:ln>
          </spPr>
        </title>
        <numFmt formatCode="General" sourceLinked="0"/>
        <majorTickMark val="out"/>
        <minorTickMark val="none"/>
        <tickLblPos val="nextTo"/>
        <spPr>
          <a:ln xmlns:a="http://schemas.openxmlformats.org/drawingml/2006/main" w="0">
            <a:solidFill>
              <a:srgbClr val="B3B3B3"/>
            </a:solidFill>
            <a:prstDash val="solid"/>
          </a:ln>
        </spPr>
        <txPr>
          <a:bodyPr xmlns:a="http://schemas.openxmlformats.org/drawingml/2006/main"/>
          <a:lstStyle xmlns:a="http://schemas.openxmlformats.org/drawingml/2006/main"/>
          <a:p xmlns:a="http://schemas.openxmlformats.org/drawingml/2006/main">
            <a:pPr>
              <a:defRPr sz="1000" b="0" strike="noStrike">
                <a:solidFill>
                  <a:srgbClr val="000000"/>
                </a:solidFill>
                <a:uFillTx/>
                <a:latin typeface="Arial"/>
              </a:defRPr>
            </a:pPr>
            <a:r>
              <a:t>None</a:t>
            </a:r>
          </a:p>
        </txPr>
        <crossAx val="48938500"/>
        <crossesAt val="0"/>
        <crossBetween val="between"/>
      </valAx>
    </plotArea>
    <legend>
      <legendPos val="r"/>
      <overlay val="0"/>
      <spPr>
        <a:noFill xmlns:a="http://schemas.openxmlformats.org/drawingml/2006/main"/>
        <a:ln xmlns:a="http://schemas.openxmlformats.org/drawingml/2006/main" w="0">
          <a:noFill/>
          <a:prstDash val="solid"/>
        </a:ln>
      </spPr>
      <txPr>
        <a:bodyPr xmlns:a="http://schemas.openxmlformats.org/drawingml/2006/main"/>
        <a:lstStyle xmlns:a="http://schemas.openxmlformats.org/drawingml/2006/main"/>
        <a:p xmlns:a="http://schemas.openxmlformats.org/drawingml/2006/main">
          <a:pPr>
            <a:defRPr sz="1000" b="0" strike="noStrike">
              <a:solidFill>
                <a:srgbClr val="000000"/>
              </a:solidFill>
              <a:uFillTx/>
              <a:latin typeface="Arial"/>
            </a:defRPr>
          </a:pPr>
          <a:r>
            <a:t>None</a:t>
          </a:r>
        </a:p>
      </txPr>
    </legend>
    <plotVisOnly val="1"/>
    <dispBlanksAs val="gap"/>
  </chart>
  <spPr>
    <a:solidFill xmlns:a="http://schemas.openxmlformats.org/drawingml/2006/main">
      <a:srgbClr val="FFFFFF"/>
    </a:solidFill>
    <a:ln xmlns:a="http://schemas.openxmlformats.org/drawingml/2006/main" w="0">
      <a:noFill/>
      <a:prstDash val="solid"/>
    </a:ln>
  </spPr>
</chartSpace>
</file>

<file path=xl/comments/comment1.xml><?xml version="1.0" encoding="utf-8"?>
<comments xmlns="http://schemas.openxmlformats.org/spreadsheetml/2006/main">
  <authors>
    <author>Source</author>
  </authors>
  <commentList>
    <comment ref="C9" authorId="0" shapeId="0">
      <text>
        <t>4q-fy2019-condensed-combined-financial-statements.pdf (Combined Statement of Profit and Loss); orig:'Revenue from operations 18,770.81' (Rs. millions; year ended 31 March 2019; pre-IPO combined group)</t>
      </text>
    </comment>
    <comment ref="D9" authorId="0" shapeId="0">
      <text>
        <t>4q-fy2020-condensed-consolidated-financial-statements.pdf (Consolidated Statement of Profit and Loss); orig:'Revenue from operations 21,449.22' (Rs. millions; year ended 31 March 2020, Audited)</t>
      </text>
    </comment>
    <comment ref="E9" authorId="0" shapeId="0">
      <text>
        <t>embassy_reit_ar_2021_web.pdf (Consolidated Statement of Profit and Loss); orig:'Revenue from operations 23,603.20' (Rs. million; year ended 31 March 2021)</t>
      </text>
    </comment>
    <comment ref="F9" authorId="0" shapeId="0">
      <text>
        <t>4_reit_detailed_consol_fy_22.pdf (Consolidated Statement of Profit and Loss); orig:'Revenue from operations 29,626.05' (Rs. million; year ended 31 March 2022)</t>
      </text>
    </comment>
    <comment ref="G9" authorId="0" shapeId="0">
      <text>
        <t>1reit_consol_condensed_mar23.pdf p.2 (Consolidated Statement of Profit and Loss); orig:'Revenue from operations 34,195.43' (Rs. million; year ended 31 March 2023)</t>
      </text>
    </comment>
    <comment ref="H9" authorId="0" shapeId="0">
      <text>
        <t>Embassy | consolidated FY2024
condensed_consolidated_fs.pdf p.8; orig: 'Revenue from operations 36,851.82' (Rs. million; year ended 31 March 2024)</t>
      </text>
    </comment>
    <comment ref="I9" authorId="0" shapeId="0">
      <text>
        <t>Embassy | consolidated FY2025
reit_consol_fs_and_ar_mar_2026.pdf p.10; orig: 'Revenue from operations 40,389.32' (Rs. million; year ended 31 March 2025)</t>
      </text>
    </comment>
    <comment ref="J9" authorId="0" shapeId="0">
      <text>
        <t>Embassy | consolidated FY2026
reit_consol_fs_and_ar_mar_2026.pdf p.10; orig: 'Revenue from operations 45,823.56' (Rs. million; year ended 31 March 2026)</t>
      </text>
    </comment>
    <comment ref="C10" authorId="0" shapeId="0">
      <text>
        <t>4q-fy2019-condensed-combined-financial-statements.pdf (Combined P&amp;L); orig:'Other income 1,539.27' (Rs. millions; year ended 31 March 2019)</t>
      </text>
    </comment>
    <comment ref="D10" authorId="0" shapeId="0">
      <text>
        <t>4q-fy2020-condensed-consolidated-financial-statements.pdf (Consolidated P&amp;L); orig:'Interest 477.35 + Other income 513.00 = 990.35' (Rs. millions; year ended 31 March 2020)</t>
      </text>
    </comment>
    <comment ref="E10" authorId="0" shapeId="0">
      <text>
        <t>embassy_reit_ar_2021_web.pdf (Consolidated P&amp;L); orig:'Interest 971.20 + Other income 214.06 = 1,185.26' (Rs. million; FY2021)</t>
      </text>
    </comment>
    <comment ref="F10" authorId="0" shapeId="0">
      <text>
        <t>4_reit_detailed_consol_fy_22.pdf (Consolidated P&amp;L); orig:'Interest 899.81 + Other income 369.46 = 1,269.27' (Rs. million; FY2022)</t>
      </text>
    </comment>
    <comment ref="G10" authorId="0" shapeId="0">
      <text>
        <t>1reit_consol_condensed_mar23.pdf p.2 (Consolidated P&amp;L); orig:'Interest income 1,123.37 + Other income 317.87 = 1,441.24' (Rs. million; FY2023)</t>
      </text>
    </comment>
    <comment ref="H10" authorId="0" shapeId="0">
      <text>
        <t>Embassy | consolidated FY2024
condensed_consolidated_fs.pdf p.8; orig: 'Interest income 1,305.60' + 'Other income 725.24' (Rs. million; year ended 31 March 2024) = 2,030.84</t>
      </text>
    </comment>
    <comment ref="I10" authorId="0" shapeId="0">
      <text>
        <t>Embassy | consolidated FY2025
reit_consol_fs_and_ar_mar_2026.pdf p.10; orig: 'Other income 1,423.67' (Rs. million; year ended 31 March 2025; combines interest 876.86 + other 546.81)</t>
      </text>
    </comment>
    <comment ref="J10" authorId="0" shapeId="0">
      <text>
        <t>Embassy | consolidated FY2026
reit_consol_fs_and_ar_mar_2026.pdf p.10; orig: 'Other income 934.88' (Rs. million; year ended 31 March 2026)</t>
      </text>
    </comment>
    <comment ref="N10" authorId="0" shapeId="0">
      <text>
        <t>embassy_reit_ar_2021_web.pdf (Standalone P&amp;L); orig:'Interest 9,427.24 + Other income 47.51 = 9,474.75; Total income incl dividend 2,781.76 = 12,256.51' (Rs. million; FY2021)</t>
      </text>
    </comment>
    <comment ref="O10" authorId="0" shapeId="0">
      <text>
        <t>2_reit_detailed_standalone_fy_22.pdf (Standalone P&amp;L); orig:'Total Income 21,136.05' (Dividend 9,475.00 + Interest 11,579.53 + Other 81.52) (Rs. million; FY2022)</t>
      </text>
    </comment>
    <comment ref="P10" authorId="0" shapeId="0">
      <text>
        <t>3reit_standalone_condesned_mar23.pdf p.2 (Standalone P&amp;L); orig:'Total Income 20,619.86' (Dividend 9,707.00 + Interest 10,841.61 + Other 71.25) (Rs. million; FY2023)</t>
      </text>
    </comment>
    <comment ref="Q10" authorId="0" shapeId="0">
      <text>
        <t>Embassy | standalone FY2024
condensed_standalone.pdf p.5; orig: 'Total Income 19,054.53' (dividend 6,986.99 + interest 12,026.49 + other 41.05) (Rs. million; year ended 31 March 2024)</t>
      </text>
    </comment>
    <comment ref="R10" authorId="0" shapeId="0">
      <text>
        <t>Embassy | standalone FY2025
reit_sa_fs_and_ar_mar_2026.pdf p.8; orig: 'Other income 16,335.17 / Total Income 16,335.17' (Rs. million; year ended 31 March 2025)</t>
      </text>
    </comment>
    <comment ref="S10" authorId="0" shapeId="0">
      <text>
        <t>Embassy | standalone FY2026
reit_sa_fs_and_ar_mar_2026.pdf p.8; orig: 'Other income 21,735.32 / Total Income 21,735.32' (Rs. million; year ended 31 March 2026)</t>
      </text>
    </comment>
    <comment ref="C12" authorId="0" shapeId="0">
      <text>
        <t>4q-fy2019-condensed-combined-financial-statements.pdf (Combined P&amp;L); orig:'Operating and maintenance expenses 2,376.56' (Rs. millions; FY2019; repairs grouped within other expenses 2,532.46 in combined presentation)</t>
      </text>
    </comment>
    <comment ref="D12" authorId="0" shapeId="0">
      <text>
        <t>4q-fy2020-condensed-consolidated-financial-statements.pdf (Consolidated P&amp;L); orig:'Operating and maintenance expenses 627.46 + Repairs and maintenance 1,215.38 = 1,842.84' (Rs. millions; FY2020)</t>
      </text>
    </comment>
    <comment ref="E12" authorId="0" shapeId="0">
      <text>
        <t>embassy_reit_ar_2021_web.pdf (Consolidated P&amp;L); orig:'Operating and maintenance 413.81 + Repairs and maintenance 1,794.20 = 2,208.01' (Rs. million; FY2021)</t>
      </text>
    </comment>
    <comment ref="F12" authorId="0" shapeId="0">
      <text>
        <t>4_reit_detailed_consol_fy_22.pdf (Consolidated P&amp;L); orig:'Operating and maintenance 585.64 + Repairs and maintenance 2,657.67 = 3,243.31' (Rs. million; FY2022)</t>
      </text>
    </comment>
    <comment ref="G12" authorId="0" shapeId="0">
      <text>
        <t>1reit_consol_condensed_mar23.pdf p.2 (Consolidated P&amp;L); orig:'Operating and maintenance 968.22 + Repairs and maintenance 3,028.11 = 3,996.33' (Rs. million; FY2023)</t>
      </text>
    </comment>
    <comment ref="H12" authorId="0" shapeId="0">
      <text>
        <t>Embassy | consolidated FY2024 (corrected for comparability)
annual_report_2025.pdf (Embassy Office Parks REIT FY2024-25 audited consolidated financial statements, year ended 31 March 2025) p.219 notes 37 &amp; 39 + p.220 note 44, FY2024 (31 March 2024) comparative column. Reconstructed on the FY2026 'Operating and maintenance expenses' (note 36) broad grouping by summing the same components: Power and fuel (net) 830.16 + Operating consumables 80.50 + Investment management fees 1,003.98 (= Property Management fee 765.62 + REIT Management fee 238.36, p.220 note 44) + Repairs and maintenance 3,334.31 (common area maintenance 2,425.55 + buildings 78.52 + machinery 574.68 + others 255.56, p.219 note 39) = 5,248.95 INR mn.
basis: RECONSTRUCTED, not a single stated line. Embassy regrouped its P&amp;L between the FY2025 and FY2026 reports: the FY2026 file (reit_consol_fs_and_ar_mar_2026.pdf p.11 / note 36 p.66) reports a BROAD 'Operating and maintenance expenses' = 5,855.26 (FY2026) / 5,613.66 (FY2025), comprising Power &amp; fuel + Operating consumables + Investment management fees + Repairs &amp; maintenance. The FY2025 audited report (annual_report_2025.pdf p.178, note 37) still used the OLD NARROW 'Operating and maintenance expenses' = 859.81 (FY2025) / 910.66 (FY2024) = only Power &amp; fuel + Operating consumables (830.16+80.50=910.66, confirming the audit's 910.66). To obtain a like-for-like FY2024 figure on the FY2026 broad basis, the four broad components were summed from their individually-audited FY2024 disclosures in the FY2025 report. Validation: the identical reconstruction for FY2025 (774.49 + 85.32 + 1,108.53 + 3,645.32) = 5,613.66, exactly matching the FY2026 report's stated FY2025 figure — confirming the component mapping. Thus FY2024 comparable broad opex = 5,248.95 INR mn.
[was 910.66 = narrow O&amp;M line; replaced with broad grouping matching FY2025/26]</t>
      </text>
    </comment>
    <comment ref="I12" authorId="0" shapeId="0">
      <text>
        <t>Embassy | consolidated FY2025
reit_consol_fs_and_ar_mar_2026.pdf p.10; orig: 'Operating and maintenance expenses 5,613.66' (Rs. million; year ended 31 March 2025). FY2026 report re-grouped O&amp;M to include repairs &amp; maintenance</t>
      </text>
    </comment>
    <comment ref="J12" authorId="0" shapeId="0">
      <text>
        <t>Embassy | consolidated FY2026
reit_consol_fs_and_ar_mar_2026.pdf p.10; orig: 'Operating and maintenance expenses 5,855.26' (Rs. million; year ended 31 March 2026)</t>
      </text>
    </comment>
    <comment ref="C13" authorId="0" shapeId="0">
      <text>
        <t>4q-fy2019-earnings-presentation.pdf (FY2019 results slide); orig:'NOI ₹15,741' (Rs. million; FY2019; excludes Embassy GolfLinks 50%-owned)</t>
      </text>
    </comment>
    <comment ref="D13" authorId="0" shapeId="0">
      <text>
        <t>4q-fy2020-earnings-materials.pdf (FY2020 results slide); orig:'NOI ₹18,170' (Rs. million; FY2020; excludes Embassy GolfLinks). GolfLinks NOI ₹3,585 mn separately</t>
      </text>
    </comment>
    <comment ref="F13" authorId="0" shapeId="0">
      <text>
        <t>final_annual_report.pdf (FY2022 key highlights); orig:'₹24,911 million Net operating income (+23% YoY)' (Rs. million; FY2022)</t>
      </text>
    </comment>
    <comment ref="G13" authorId="0" shapeId="0">
      <text>
        <t>embassy_reit_-_annual_report_-_fy_2022-23.pdf p.130 (MD&amp;A); orig:'Net operating income 27,662.80' (Rs. million; FY2023)</t>
      </text>
    </comment>
    <comment ref="H13" authorId="0" shapeId="0">
      <text>
        <t>Embassy | consolidated FY2024 (AR, 3rd pass)
embassy_reit_ar_2024_final.pdf p.13 (KPI) &amp; p.66 (MD&amp;A); orig:'Net operating income 29,819' (H mn) / MD&amp;A 'Net Operating Income 29,819.47'; full-year FY2024 (yr ended 31 Mar 2024)</t>
      </text>
    </comment>
    <comment ref="I13" authorId="0" shapeId="0">
      <text>
        <t>Embassy | consolidated FY2025 (AR, 3rd pass)
annual_report_2025.pdf p.19 (KPI); orig:'Net Operating Income (H in mn) ... 32,835'; full-year FY2025 (yr ended 31 Mar 2025); 10% Y-o-Y growth stated</t>
      </text>
    </comment>
    <comment ref="J13" authorId="0" shapeId="0">
      <text>
        <t>Embassy | consolidated FY2026 (investor presentation)
earnings_presentation_q4_fy26_v1.pdf p.31; orig:'Net Operating Income ... 3,760' (FY2026 full-year column, ₹ crs); as-at FY ended 31 Mar 2026</t>
      </text>
    </comment>
    <comment ref="C15" authorId="0" shapeId="0">
      <text>
        <t>4q-fy2019-condensed-combined-financial-statements.pdf (Combined P&amp;L); orig:'Earnings before finance costs, depreciation, amortisation and income tax excluding share of profit of equity accounted investee 15,136.56' (Rs. millions; FY2019)</t>
      </text>
    </comment>
    <comment ref="D15" authorId="0" shapeId="0">
      <text>
        <t>4q-fy2020-condensed-consolidated-financial-statements.pdf (Consolidated P&amp;L); orig:'Earnings/(loss) before finance costs, depreciation, amortisation, impairment loss and tax 17,646.77' (Rs. millions; FY2020)</t>
      </text>
    </comment>
    <comment ref="E15" authorId="0" shapeId="0">
      <text>
        <t>embassy_reit_ar_2021_web.pdf (Consolidated P&amp;L); orig:'Earnings before finance costs, depreciation, amortisation, impairment loss and tax 19,693.21' (Rs. million; FY2021)</t>
      </text>
    </comment>
    <comment ref="F15" authorId="0" shapeId="0">
      <text>
        <t>4_reit_detailed_consol_fy_22.pdf (Consolidated P&amp;L); orig:'Earnings before finance costs, depreciation, amortisation, impairment loss and tax 24,250.17' (Rs. million; FY2022)</t>
      </text>
    </comment>
    <comment ref="G15" authorId="0" shapeId="0">
      <text>
        <t>1reit_consol_condensed_mar23.pdf p.2 (Consolidated P&amp;L); orig:'Earnings before finance costs, depreciation, amortisation and tax 26,884.99' (Rs. million; FY2023)</t>
      </text>
    </comment>
    <comment ref="H15" authorId="0" shapeId="0">
      <text>
        <t>Embassy | consolidated FY2024
condensed_consolidated_fs.pdf p.8; orig: 'Earnings before share of profit of equity accounted investee, finance costs, depreciation, amortisation, impairment and tax 29,724.11' (Rs. million; year ended 31 March 2024)</t>
      </text>
    </comment>
    <comment ref="I15" authorId="0" shapeId="0">
      <text>
        <t>Embassy | consolidated FY2025
reit_consol_fs_and_ar_mar_2026.pdf p.10; orig: 'Earnings before share of profit of equity accounted investee, finance costs, depreciation, amortisation, impairment, exceptional item and tax 31,887.50' (Rs. million; year ended 31 March 2025)</t>
      </text>
    </comment>
    <comment ref="J15" authorId="0" shapeId="0">
      <text>
        <t>Embassy | consolidated FY2026
reit_consol_fs_and_ar_mar_2026.pdf p.10; orig: 'Earnings before ... 36,022.34' (Rs. million; year ended 31 March 2026)</t>
      </text>
    </comment>
    <comment ref="L15" authorId="0" shapeId="0">
      <text>
        <t>4q-fy2019-standalone-financial-statements.pdf (Standalone P&amp;L); orig:'Loss before finance costs, depreciation, amortization and income tax (94.47)' (Rs. millions; FY2019; Trust-level, only expense)</t>
      </text>
    </comment>
    <comment ref="N15" authorId="0" shapeId="0">
      <text>
        <t>embassy_reit_ar_2021_web.pdf (Standalone P&amp;L); orig:'Earnings before finance costs, impairment loss and tax 11,898.96' (Rs. million; FY2021; Trust-level, no operating EBITDA)</t>
      </text>
    </comment>
    <comment ref="O15" authorId="0" shapeId="0">
      <text>
        <t>2_reit_detailed_standalone_fy_22.pdf (Standalone P&amp;L); orig:'Earnings before finance costs, impairment loss and tax 20,762.55' (Rs. million; FY2022; Trust-level)</t>
      </text>
    </comment>
    <comment ref="P15" authorId="0" shapeId="0">
      <text>
        <t>3reit_standalone_condesned_mar23.pdf p.2 (Standalone P&amp;L); orig:'Earnings before finance costs, impairment loss and tax 20,132.82' (Rs. million; FY2023; Trust-level)</t>
      </text>
    </comment>
    <comment ref="C17" authorId="0" shapeId="0">
      <text>
        <t>4q-fy2019-condensed-combined-financial-statements.pdf (Combined P&amp;L); orig:'Finance costs (net) 7,059.81' (Rs. millions; FY2019)</t>
      </text>
    </comment>
    <comment ref="D17" authorId="0" shapeId="0">
      <text>
        <t>4q-fy2020-condensed-consolidated-financial-statements.pdf (Consolidated P&amp;L); orig:'Finance costs 3,803.54' (Rs. millions; FY2020)</t>
      </text>
    </comment>
    <comment ref="E17" authorId="0" shapeId="0">
      <text>
        <t>embassy_reit_ar_2021_web.pdf (Consolidated P&amp;L); orig:'Finance costs 6,452.89' (Rs. million; FY2021)</t>
      </text>
    </comment>
    <comment ref="F17" authorId="0" shapeId="0">
      <text>
        <t>4_reit_detailed_consol_fy_22.pdf (Consolidated P&amp;L); orig:'Finance costs (net) 8,285.28' (Rs. million; FY2022)</t>
      </text>
    </comment>
    <comment ref="G17" authorId="0" shapeId="0">
      <text>
        <t>1reit_consol_condensed_mar23.pdf p.2 (Consolidated P&amp;L); orig:'Finance costs (net) 9,760.63' (Rs. million; FY2023)</t>
      </text>
    </comment>
    <comment ref="H17" authorId="0" shapeId="0">
      <text>
        <t>Embassy | consolidated FY2024
condensed_consolidated_fs.pdf p.8; orig: 'Finance costs (net) 10,872.35' (Rs. million; year ended 31 March 2024)</t>
      </text>
    </comment>
    <comment ref="I17" authorId="0" shapeId="0">
      <text>
        <t>Embassy | consolidated FY2025
reit_consol_fs_and_ar_mar_2026.pdf p.10; orig: 'Finance costs (net) 13,286.25' (Rs. million; year ended 31 March 2025)</t>
      </text>
    </comment>
    <comment ref="J17" authorId="0" shapeId="0">
      <text>
        <t>Embassy | consolidated FY2026
reit_consol_fs_and_ar_mar_2026.pdf p.10; orig: 'Finance costs (net) 14,950.42' (Rs. million; year ended 31 March 2026)</t>
      </text>
    </comment>
    <comment ref="L17" authorId="0" shapeId="0">
      <text>
        <t>4q-fy2019-standalone-financial-statements.pdf (Standalone P&amp;L); orig:'Finance costs -' (nil; FY2019)</t>
      </text>
    </comment>
    <comment ref="N17" authorId="0" shapeId="0">
      <text>
        <t>embassy_reit_ar_2021_web.pdf (Standalone P&amp;L); orig:'Finance costs 4,698.65' (Rs. million; FY2021)</t>
      </text>
    </comment>
    <comment ref="O17" authorId="0" shapeId="0">
      <text>
        <t>2_reit_detailed_standalone_fy_22.pdf (Standalone P&amp;L); orig:'Finance costs 6,462.30' (Rs. million; FY2022)</t>
      </text>
    </comment>
    <comment ref="P17" authorId="0" shapeId="0">
      <text>
        <t>3reit_standalone_condesned_mar23.pdf p.2 (Standalone P&amp;L); orig:'Finance costs 6,017.63' (Rs. million; FY2023)</t>
      </text>
    </comment>
    <comment ref="Q17" authorId="0" shapeId="0">
      <text>
        <t>Embassy | standalone FY2024
condensed_standalone.pdf p.5; orig: 'Finance costs 7,207.17' (Rs. million; year ended 31 March 2024)</t>
      </text>
    </comment>
    <comment ref="R17" authorId="0" shapeId="0">
      <text>
        <t>Embassy | standalone FY2025
reit_sa_fs_and_ar_mar_2026.pdf p.8; orig: 'Finance costs 6,520.53' (Rs. million; year ended 31 March 2025)</t>
      </text>
    </comment>
    <comment ref="S17" authorId="0" shapeId="0">
      <text>
        <t>Embassy | standalone FY2026
reit_sa_fs_and_ar_mar_2026.pdf p.8; orig: 'Finance costs 8,104.13' (Rs. million; year ended 31 March 2026)</t>
      </text>
    </comment>
    <comment ref="C18" authorId="0" shapeId="0">
      <text>
        <t>4q-fy2019-condensed-combined-financial-statements.pdf (Combined P&amp;L); orig:'Depreciation and amortisation expense and impairment 3,563.19' (Rs. millions; FY2019; impairment nil that year)</t>
      </text>
    </comment>
    <comment ref="D18" authorId="0" shapeId="0">
      <text>
        <t>4q-fy2020-condensed-consolidated-financial-statements.pdf (Consolidated P&amp;L); orig:'Depreciation expense 5,120.00 + Amortisation expense 161.24 = 5,281.24' (Rs. millions; FY2020; excl separate impairment loss 1,775.98)</t>
      </text>
    </comment>
    <comment ref="E18" authorId="0" shapeId="0">
      <text>
        <t>embassy_reit_ar_2021_web.pdf (Consolidated P&amp;L); orig:'Depreciation 4,940.15 + Amortisation 766.82 = 5,706.97' (Rs. million; FY2021)</t>
      </text>
    </comment>
    <comment ref="F18" authorId="0" shapeId="0">
      <text>
        <t>4_reit_detailed_consol_fy_22.pdf (Consolidated P&amp;L); orig:'Depreciation 5,996.08 + Amortisation 1,968.55 = 7,964.63' (Rs. million; FY2022)</t>
      </text>
    </comment>
    <comment ref="G18" authorId="0" shapeId="0">
      <text>
        <t>1reit_consol_condensed_mar23.pdf p.2 (Consolidated P&amp;L); orig:'Depreciation 9,164.92 + Amortisation 2,119.24 = 11,284.16' (Rs. million; FY2023)</t>
      </text>
    </comment>
    <comment ref="H18" authorId="0" shapeId="0">
      <text>
        <t>Embassy | consolidated FY2024
condensed_consolidated_fs.pdf p.8; orig: 'Depreciation expense 7,572.24' + 'Amortisation expense 2,117.65' (Rs. million; year ended 31 March 2024) = 9,689.89</t>
      </text>
    </comment>
    <comment ref="I18" authorId="0" shapeId="0">
      <text>
        <t>Embassy | consolidated FY2025
reit_consol_fs_and_ar_mar_2026.pdf p.10; orig: 'Depreciation expense 9,297.97' + 'Amortisation expense 2,117.18' (Rs. million; year ended 31 March 2025) = 11,415.15</t>
      </text>
    </comment>
    <comment ref="J18" authorId="0" shapeId="0">
      <text>
        <t>Embassy | consolidated FY2026
reit_consol_fs_and_ar_mar_2026.pdf p.10; orig: 'Depreciation expense 11,229.56' + 'Amortisation expense 1,428.29' (Rs. million; year ended 31 March 2026) = 12,657.85</t>
      </text>
    </comment>
    <comment ref="C19" authorId="0" shapeId="0">
      <text>
        <t>4q-fy2019-condensed-combined-financial-statements.pdf (Combined P&amp;L); orig:'Profit before income tax 5,665.09' (Rs. millions; FY2019; incl share of profit of equity accounted investee 1,151.53)</t>
      </text>
    </comment>
    <comment ref="D19" authorId="0" shapeId="0">
      <text>
        <t>4q-fy2020-condensed-consolidated-financial-statements.pdf (Consolidated P&amp;L); orig:'Profit/(loss) before tax 7,955.34' (Rs. millions; FY2020)</t>
      </text>
    </comment>
    <comment ref="E19" authorId="0" shapeId="0">
      <text>
        <t>embassy_reit_ar_2021_web.pdf (Consolidated P&amp;L); orig:'Profit before tax 7,538.87' (Rs. million; FY2021)</t>
      </text>
    </comment>
    <comment ref="F19" authorId="0" shapeId="0">
      <text>
        <t>4_reit_detailed_consol_fy_22.pdf (Consolidated P&amp;L); orig:'Profit before tax 8,962.40' (Rs. million; FY2022)</t>
      </text>
    </comment>
    <comment ref="G19" authorId="0" shapeId="0">
      <text>
        <t>1reit_consol_condensed_mar23.pdf p.2 (Consolidated P&amp;L); orig:'Profit before tax 6,617.70' (Rs. million; FY2023)</t>
      </text>
    </comment>
    <comment ref="H19" authorId="0" shapeId="0">
      <text>
        <t>Embassy | consolidated FY2024
condensed_consolidated_fs.pdf p.8; orig: 'Profit before tax 10,890.73' (Rs. million; year ended 31 March 2024)</t>
      </text>
    </comment>
    <comment ref="I19" authorId="0" shapeId="0">
      <text>
        <t>Embassy | consolidated FY2025
reit_consol_fs_and_ar_mar_2026.pdf p.10; orig: 'Profit before tax 1,930.42' (Rs. million; year ended 31 March 2025)</t>
      </text>
    </comment>
    <comment ref="J19" authorId="0" shapeId="0">
      <text>
        <t>Embassy | consolidated FY2026
reit_consol_fs_and_ar_mar_2026.pdf p.10; orig: 'Profit before tax 11,335.71' (Rs. million; year ended 31 March 2026)</t>
      </text>
    </comment>
    <comment ref="L19" authorId="0" shapeId="0">
      <text>
        <t>4q-fy2019-standalone-financial-statements.pdf (Standalone P&amp;L); orig:'Loss before tax (94.47)' (Rs. millions; FY2019)</t>
      </text>
    </comment>
    <comment ref="N19" authorId="0" shapeId="0">
      <text>
        <t>embassy_reit_ar_2021_web.pdf (Standalone P&amp;L); orig:'Profit before tax 4,512.20' (Rs. million; FY2021)</t>
      </text>
    </comment>
    <comment ref="O19" authorId="0" shapeId="0">
      <text>
        <t>2_reit_detailed_standalone_fy_22.pdf (Standalone P&amp;L); orig:'Profit before tax 13,442.77' (Rs. million; FY2022)</t>
      </text>
    </comment>
    <comment ref="P19" authorId="0" shapeId="0">
      <text>
        <t>3reit_standalone_condesned_mar23.pdf p.2 (Standalone P&amp;L); orig:'Profit before tax 12,820.07' (Rs. million; FY2023)</t>
      </text>
    </comment>
    <comment ref="Q19" authorId="0" shapeId="0">
      <text>
        <t>Embassy | standalone FY2024
condensed_standalone.pdf p.5; orig: 'Profit/(loss) before tax 12,085.76' (Rs. million; year ended 31 March 2024)</t>
      </text>
    </comment>
    <comment ref="R19" authorId="0" shapeId="0">
      <text>
        <t>Embassy | standalone FY2025
reit_sa_fs_and_ar_mar_2026.pdf p.8; orig: 'Profit before tax 6,314.00' (Rs. million; year ended 31 March 2025)</t>
      </text>
    </comment>
    <comment ref="S19" authorId="0" shapeId="0">
      <text>
        <t>Embassy | standalone FY2026
reit_sa_fs_and_ar_mar_2026.pdf p.8; orig: 'Profit before tax 13,149.27' (Rs. million; year ended 31 March 2026)</t>
      </text>
    </comment>
    <comment ref="C20" authorId="0" shapeId="0">
      <text>
        <t>4q-fy2019-condensed-combined-financial-statements.pdf (Combined P&amp;L); orig:'Profit for the year 3,653.29' (Rs. millions; FY2019)</t>
      </text>
    </comment>
    <comment ref="D20" authorId="0" shapeId="0">
      <text>
        <t>4q-fy2020-condensed-consolidated-financial-statements.pdf (Consolidated P&amp;L); orig:'Profit/(loss) for the period/year 7,655.34' (Rs. millions; FY2020)</t>
      </text>
    </comment>
    <comment ref="E20" authorId="0" shapeId="0">
      <text>
        <t>embassy_reit_ar_2021_web.pdf (Consolidated P&amp;L); orig:'Profit for the year 6,983.53' (Rs. million; FY2021)</t>
      </text>
    </comment>
    <comment ref="F20" authorId="0" shapeId="0">
      <text>
        <t>4_reit_detailed_consol_fy_22.pdf (Consolidated P&amp;L); orig:'Profit for the year 8,883.85' (Rs. million; FY2022)</t>
      </text>
    </comment>
    <comment ref="G20" authorId="0" shapeId="0">
      <text>
        <t>1reit_consol_condensed_mar23.pdf p.2 (Consolidated P&amp;L); orig:'Profit for the period/year 5,059.58' (Rs. million; FY2023)</t>
      </text>
    </comment>
    <comment ref="H20" authorId="0" shapeId="0">
      <text>
        <t>Embassy | consolidated FY2024
condensed_consolidated_fs.pdf p.8; orig: 'Profit for the year/period 9,640.28' (Rs. million; year ended 31 March 2024)</t>
      </text>
    </comment>
    <comment ref="I20" authorId="0" shapeId="0">
      <text>
        <t>Embassy | consolidated FY2025
reit_consol_fs_and_ar_mar_2026.pdf p.10; orig: 'Profit for the year 16,244.36' (Rs. million; year ended 31 March 2025)</t>
      </text>
    </comment>
    <comment ref="J20" authorId="0" shapeId="0">
      <text>
        <t>Embassy | consolidated FY2026
reit_consol_fs_and_ar_mar_2026.pdf p.10; orig: 'Profit for the year 3,385.45' (Rs. million; year ended 31 March 2026)</t>
      </text>
    </comment>
    <comment ref="L20" authorId="0" shapeId="0">
      <text>
        <t>4q-fy2019-standalone-financial-statements.pdf (Standalone P&amp;L); orig:'Loss for the year (94.47)' (Rs. millions; FY2019)</t>
      </text>
    </comment>
    <comment ref="N20" authorId="0" shapeId="0">
      <text>
        <t>embassy_reit_ar_2021_web.pdf (Standalone P&amp;L); orig:'Profit for the year 4,474.42' (Rs. million; FY2021)</t>
      </text>
    </comment>
    <comment ref="O20" authorId="0" shapeId="0">
      <text>
        <t>2_reit_detailed_standalone_fy_22.pdf (Standalone P&amp;L); orig:'Profit for the year 13,397.42' (Rs. million; FY2022)</t>
      </text>
    </comment>
    <comment ref="P20" authorId="0" shapeId="0">
      <text>
        <t>3reit_standalone_condesned_mar23.pdf p.2 (Standalone P&amp;L); orig:'Profit for the period/year 12,791.48' (Rs. million; FY2023)</t>
      </text>
    </comment>
    <comment ref="Q20" authorId="0" shapeId="0">
      <text>
        <t>Embassy | standalone FY2024
condensed_standalone.pdf p.5; orig: 'Profit for the period/ year 12,068.24' (Rs. million; year ended 31 March 2024)</t>
      </text>
    </comment>
    <comment ref="R20" authorId="0" shapeId="0">
      <text>
        <t>Embassy | standalone FY2025
reit_sa_fs_and_ar_mar_2026.pdf p.8; orig: 'Profit for the year 6,311.52' (Rs. million; year ended 31 March 2025)</t>
      </text>
    </comment>
    <comment ref="S20" authorId="0" shapeId="0">
      <text>
        <t>Embassy | standalone FY2026
reit_sa_fs_and_ar_mar_2026.pdf p.8; orig: 'Profit for the year 13,134.95' (Rs. million; year ended 31 March 2026)</t>
      </text>
    </comment>
    <comment ref="D23" authorId="0" shapeId="0">
      <text>
        <t>4q-fy2020-condensed-consolidated-financial-statements.pdf (Statement of NDCF); orig:'Net Distributable Cash Flows 18,865.92' (Rs. millions; year ended 31 March 2020)</t>
      </text>
    </comment>
    <comment ref="E23" authorId="0" shapeId="0">
      <text>
        <t>embassy_reit_ar_2021_web.pdf (Statement of NDCF, Trust level); orig:'Net Distributable Cash Flows 18,356.20' (Rs. million; FY2021)</t>
      </text>
    </comment>
    <comment ref="F23" authorId="0" shapeId="0">
      <text>
        <t>4_reit_detailed_consol_fy_22.pdf (Statement of NDCF, REIT level); orig:'Net Distributable Cash Flows at REIT level 20,638.19' (Rs. million; FY2022)</t>
      </text>
    </comment>
    <comment ref="G23" authorId="0" shapeId="0">
      <text>
        <t>1reit_consol_condensed_mar23.pdf (Statement of NDCF, REIT level); orig:'Net Distributable Cash Flows at REIT level 20,608.19' (Rs. million; FY2023)</t>
      </text>
    </comment>
    <comment ref="H23" authorId="0" shapeId="0">
      <text>
        <t>Embassy | consolidated FY2024 (2nd pass)
standalone_reit_fs_condensed_mar_24.pdf p.7 (printed 'Page 7' = PDF physical page 11), Statement of Net Distributable Cash Flows (NDCF); orig:'Net Distributable Cash Flows ... For the year ended 31 March 2024 ... 20,246.65' (Rs. million). REIT/Trust-level NDCF (the figure driving distributions). Cross-check: H1(30 Sep 2023)=10,347.66 + H2(31 Mar 2024 half-year)=9,898.99 = 20,246.65. FY2023 comparative = 20,608.19.</t>
      </text>
    </comment>
    <comment ref="I23" authorId="0" shapeId="0">
      <text>
        <t>Embassy | consolidated FY2025
reit_consol_fs_and_ar_mar_2026.pdf (consol_results_-_march_2026.pdf) p.10; orig: 'NDCF at Trust Level 21,845.53' (Rs. million; year ended 31 March 2025); also condensed_standalone.pdf p.10 'Net Distributable Cash Flows at Trust level ... 21,845.53'</t>
      </text>
    </comment>
    <comment ref="J23" authorId="0" shapeId="0">
      <text>
        <t>Embassy | consolidated FY2026
consol_results_-_march_2026.pdf p.9; orig: 'NDCF at Trust Level 24,008.31' (Rs. million; year ended 31 March 2026)</t>
      </text>
    </comment>
    <comment ref="D24" authorId="0" shapeId="0">
      <text>
        <t>4q-fy2020-earnings-materials.pdf (Distribution Overview) &amp; 4q-fy2020-condensed-consolidated-financial-statements.pdf; orig:'cumulative distribution for FY2020 totals ₹18,821 million or ₹24.39 per unit' (Apr'19-Mar'20)</t>
      </text>
    </comment>
    <comment ref="E24" authorId="0" shapeId="0">
      <text>
        <t>embassy_reit_ar_2021_web.pdf (MD&amp;A/NDCF notes); orig:'cumulative distribution for the year ended March 31, 2021 ... ₹18,364.09 million' (Rs. million)</t>
      </text>
    </comment>
    <comment ref="F24" authorId="0" shapeId="0">
      <text>
        <t>4_reit_detailed_consol_fy_22.pdf (NDCF notes); orig:'cumulative distribution for the year ended 31 March 2022 aggregates to Rs.20,626.17 million/ Rs.21.76 per unit'</t>
      </text>
    </comment>
    <comment ref="G24" authorId="0" shapeId="0">
      <text>
        <t>1reit_consol_condensed_mar23.pdf (NDCF notes) &amp; FY2023 AR p.11; orig:'cumulative distribution for the year ended 31 March 2023 aggregates to Rs.20,578.77 million/ Rs.21.71 per unit'</t>
      </text>
    </comment>
    <comment ref="H24" authorId="0" shapeId="0">
      <text>
        <t>Embassy | consolidated FY2024 (2nd pass)
consol_reit_fs_condensed_mar_24.pdf Note 53 Distributions (pdftotext lines 3760-3761); orig:'the cumulative distribution for the year ended 31 March 2024 aggregates to Rs.20,218.58 million/ Rs.21.33 per unit' (Rs. million) = distribution DECLARED FOR FY2024 (all 4 FY2024 quarters). NOTE prior value 20,588.25 is a DIFFERENT measure: 'Distribution to Unitholders during the year ended 31 March 2024' per Statement of Changes in Unitholders' Equity (cash PAID during the year; excludes Q4 FY2024, includes Q4 FY2023) - verbatim 'Less: Distribution to Unitholders during the year ended 31 March 2024*^^ (20,588.25)' (consol pdftotext line 375; standalone PDF physical p.9). 20,588.25 is verified as the paid-during-year figure; 20,218.58 is the for-FY2024 figure matching DPU 21.33.
[corrected to match DPU; prior value 20,588.25 = distribution paid DURING the year]</t>
      </text>
    </comment>
    <comment ref="I24" authorId="0" shapeId="0">
      <text>
        <t>Embassy | consolidated FY2025
condensed_standalone.pdf p.10; orig: 'cumulative distribution for the year ended 31 March 2025 aggregates to Rs.21,811.03 million / Rs.23.01 per unit' (Rs. million)</t>
      </text>
    </comment>
    <comment ref="J24" authorId="0" shapeId="0">
      <text>
        <t>Embassy | consolidated FY2026
consol_results_-_march_2026.pdf p.9; orig: 'cumulative distribution for the year ended 31 March 2026 aggregates to Rs.23,962.75 million/ Rs.25.28 per unit' (Rs. million)</t>
      </text>
    </comment>
    <comment ref="D25" authorId="0" shapeId="0">
      <text>
        <t>4q-fy2020-condensed-consolidated-financial-statements.pdf (NDCF note 1) &amp; 4q-fy2020-earnings-materials.pdf; orig:'cumulative distribution for the year ended 31 March 2020 aggregates to Rs. 24.39 per unit' (INR/unit)</t>
      </text>
    </comment>
    <comment ref="E25" authorId="0" shapeId="0">
      <text>
        <t>embassy_reit_ar_2021_web.pdf (MD&amp;A); orig:'cumulative distribution of ₹21.48 per unit for FY21' (INR/unit)</t>
      </text>
    </comment>
    <comment ref="F25" authorId="0" shapeId="0">
      <text>
        <t>4_reit_detailed_consol_fy_22.pdf (NDCF notes); orig:'Rs.20,626.17 million/ Rs.21.76 per unit' (INR/unit; full year FY2022)</t>
      </text>
    </comment>
    <comment ref="G25" authorId="0" shapeId="0">
      <text>
        <t>embassy_reit_-_annual_report_-_fy_2022-23.pdf p.11; orig:'distributions of ₹20,579 Mn or ₹21.71 per unit' (INR/unit; full year FY2023)</t>
      </text>
    </comment>
    <comment ref="H25" authorId="0" shapeId="0">
      <text>
        <t>Embassy | consolidated FY2024 (2nd pass)
consol_reit_fs_condensed_mar_24.pdf Note 53 (pdftotext lines 3760-3761) and standalone_reit_fs_condensed_mar_24.pdf p.7; orig:'the cumulative distribution for the year ended 31 March 2024 aggregates to Rs.20,218.58 million/ Rs.21.33 per unit' (Rs/unit). Distribution relating to/for FY2024 (4 quarters incl. Q4 FY2024 declared 25 Apr 2024).</t>
      </text>
    </comment>
    <comment ref="I25" authorId="0" shapeId="0">
      <text>
        <t>Embassy | consolidated FY2025
condensed_standalone.pdf p.10; orig: 'cumulative distribution for the year ended 31 March 2025 aggregates to Rs.21,811.03 million/ Rs.23.01 per unit' (INR/unit)</t>
      </text>
    </comment>
    <comment ref="J25" authorId="0" shapeId="0">
      <text>
        <t>Embassy | consolidated FY2026
consol_results_-_march_2026.pdf p.9; orig: 'cumulative distribution for the year ended 31 March 2026 aggregates to Rs.23,962.75 million/ Rs.25.28 per unit' (INR/unit)</t>
      </text>
    </comment>
    <comment ref="C28" authorId="0" shapeId="0">
      <text>
        <t>4q-fy2019-earnings-presentation.pdf (Portfolio table &amp; cover); orig:'GAV ₹316,124 mn' (total portfolio GAV as at 31 Mar 2019, IPO valuation; NAV-table GAV ₹313,529 mn). Pre-listing</t>
      </text>
    </comment>
    <comment ref="D28" authorId="0" shapeId="0">
      <text>
        <t>4q-fy2020-condensed-consolidated-financial-statements.pdf (Statement of Net Assets - property-wise fair value); orig:'Fair value of investment property etc Total 304,668.60 + Investment in GLSP 25,077.65 = 329,746.25' (Rs. millions; 31 Mar 2020). Earnings deck cites '₹332 bn' GAV</t>
      </text>
    </comment>
    <comment ref="E28" authorId="0" shapeId="0">
      <text>
        <t>embassy_reit_ar_2021_web.pdf (valuation/NAV section); orig:'Gross asset value (GAV) 466,051.25' (Rs. million; as of 31 Mar 2021, post Embassy TechVillage acquisition)</t>
      </text>
    </comment>
    <comment ref="F28" authorId="0" shapeId="0">
      <text>
        <t>final_annual_report.pdf (NAV table, Capital Markets); orig:'Gross Asset Value (GAV) 4,90,078' (Rs. million; Mar'22 iVAS valuation)</t>
      </text>
    </comment>
    <comment ref="G28" authorId="0" shapeId="0">
      <text>
        <t>embassy_reit_-_annual_report_-_fy_2022-23.pdf p.131 (Statement of Net Assets at Fair Value); orig:'Gross asset value (GAV) 514,141.14' (Rs. million; Mar'23)</t>
      </text>
    </comment>
    <comment ref="H28" authorId="0" shapeId="0">
      <text>
        <t>Embassy | consolidated FY2024
consol_reit_fs_condensed_mar_24.pdf p.11 (Consolidated Statement of Net Assets at fair value); orig: total 'Fair value of investment properties... + Investment in GLSP' 517,765.26 + 31,349.52 = 549,114.78 (Rs. million as at 31 March 2024). Total assets at fair value = 620,584.65</t>
      </text>
    </comment>
    <comment ref="I28" authorId="0" shapeId="0">
      <text>
        <t>Embassy | consolidated FY2025
reit_consol_fs_and_ar_mar_2026.pdf p.18; orig: property fair value Total 573,454.90 + Investment in GLSP 32,217.96 = 605,672.86 (Rs. million as at 31 March 2025). Total assets at fair value = 661,876.56</t>
      </text>
    </comment>
    <comment ref="J28" authorId="0" shapeId="0">
      <text>
        <t>Embassy | consolidated FY2026
reit_consol_fs_and_ar_mar_2026.pdf p.17; orig: property fair value Total 662,930.90 + Investment in GLSP 36,506.47 = 699,437.37 (Rs. million as at 31 March 2026). Total assets at fair value = 757,417.63</t>
      </text>
    </comment>
    <comment ref="C29" authorId="0" shapeId="0">
      <text>
        <t>4q-fy2019-condensed-combined-financial-statements.pdf (Combined Balance Sheet); orig:'Non-current Borrowings 68,033.29 + Current Borrowings 3,212.36 = 71,245.65' (Rs. millions; as at 31 Mar 2019, combined group pre-IPO debt structure)</t>
      </text>
    </comment>
    <comment ref="D29" authorId="0" shapeId="0">
      <text>
        <t>4q-fy2020-condensed-consolidated-financial-statements.pdf (Consolidated Balance Sheet); orig:'Non-current Borrowings 56,170.51 + Current Borrowings nil = 56,170.51' (Rs. millions; as at 31 Mar 2020)</t>
      </text>
    </comment>
    <comment ref="E29" authorId="0" shapeId="0">
      <text>
        <t>embassy_reit_ar_2021_web.pdf (debt analysis / NAV table); orig:'Gross debt 106,223' (Rs. million; as at 31 Mar 2021; balance-sheet non-current Borrowings 106,023.33)</t>
      </text>
    </comment>
    <comment ref="F29" authorId="0" shapeId="0">
      <text>
        <t>4_reit_detailed_consol_fy_22.pdf (Consolidated Balance Sheet); orig:'Non-current Borrowings 120,739.79 + Current Borrowings 273.73 = 121,013.52' (Rs. million; 31 Mar 2022)</t>
      </text>
    </comment>
    <comment ref="G29" authorId="0" shapeId="0">
      <text>
        <t>1reit_consol_condensed_mar23.pdf p.1 (Balance Sheet); orig:'Non-current Borrowings 104,206.84 + Current Borrowings 43,848.12 = 148,054.96' (Rs. million; 31 Mar 2023)</t>
      </text>
    </comment>
    <comment ref="H29" authorId="0" shapeId="0">
      <text>
        <t>Embassy | consolidated FY2024
consol_reit_fs_condensed_mar_24.pdf p.6; orig: non-current Borrowings 130,892.71 + current Borrowings 37,186.82 = 168,079.53 (Rs. million as at 31 March 2024)</t>
      </text>
    </comment>
    <comment ref="I29" authorId="0" shapeId="0">
      <text>
        <t>Embassy | consolidated FY2025
reit_consol_fs_and_ar_mar_2026.pdf p.9; orig: non-current Borrowings 141,196.64 + current Borrowings 56,876.40 = 198,073.04 (Rs. million as at 31 March 2025)</t>
      </text>
    </comment>
    <comment ref="J29" authorId="0" shapeId="0">
      <text>
        <t>Embassy | consolidated FY2026
reit_consol_fs_and_ar_mar_2026.pdf p.9; orig: non-current Borrowings 172,107.45 + current Borrowings 51,740.44 = 223,847.89 (Rs. million as at 31 March 2026)</t>
      </text>
    </comment>
    <comment ref="L29" authorId="0" shapeId="0">
      <text>
        <t>4q-fy2019-standalone-financial-statements.pdf (Standalone Balance Sheet); orig: no borrowings line; Trust had only Unit capital + current liabilities (31 Mar 2019)</t>
      </text>
    </comment>
    <comment ref="N29" authorId="0" shapeId="0">
      <text>
        <t>embassy_reit_ar_2021_web.pdf (Standalone Balance Sheet); orig:'Borrowings (non-current) 83,319.10' (no current) (Rs. million; 31 Mar 2021)</t>
      </text>
    </comment>
    <comment ref="O29" authorId="0" shapeId="0">
      <text>
        <t>2_reit_detailed_standalone_fy_22.pdf (Standalone Balance Sheet); orig:'Non-current Borrowings 74,491.33' (no current) (Rs. million; 31 Mar 2022)</t>
      </text>
    </comment>
    <comment ref="P29" authorId="0" shapeId="0">
      <text>
        <t>3reit_standalone_condesned_mar23.pdf p.1 (Balance Sheet); orig:'Non-current Borrowings 53,784.79 + Current Borrowings 40,873.02 = 94,657.81' (Rs. million; 31 Mar 2023)</t>
      </text>
    </comment>
    <comment ref="Q29" authorId="0" shapeId="0">
      <text>
        <t>Embassy | standalone FY2024
standalone_reit_fs_condensed_mar_24.pdf p.4; orig: non-current Borrowings 61,958.72 + current Borrowings 29,487.88 = 91,446.60 (Rs. million as at 31 March 2024)</t>
      </text>
    </comment>
    <comment ref="R29" authorId="0" shapeId="0">
      <text>
        <t>Embassy | standalone FY2025
reit_sa_fs_and_ar_mar_2026.pdf p.7; orig: non-current Borrowings 51,170.07 + current Borrowings 29,477.07 = 80,647.14 (Rs. million as at 31 March 2025)</t>
      </text>
    </comment>
    <comment ref="S29" authorId="0" shapeId="0">
      <text>
        <t>Embassy | standalone FY2026
reit_sa_fs_and_ar_mar_2026.pdf p.7; orig: non-current Borrowings 90,973.96 + current Borrowings 30,168.60 = 121,142.56 (Rs. million as at 31 March 2026)</t>
      </text>
    </comment>
    <comment ref="C30" authorId="0" shapeId="0">
      <text>
        <t>4q-fy2019-condensed-combined-financial-statements.pdf (Combined Balance Sheet); orig:'Cash and cash equivalents 49,612.71' (Rs. millions; 31 Mar 2019; inflated by ~₹47.5bn IPO proceeds received end-Mar; Other bank balances 1,455.99 separately)</t>
      </text>
    </comment>
    <comment ref="D30" authorId="0" shapeId="0">
      <text>
        <t>4q-fy2020-condensed-consolidated-financial-statements.pdf (Consolidated Balance Sheet); orig:'Cash and cash equivalents 3,249.16' (Rs. millions; 31 Mar 2020; Other bank balances 169.79 separately)</t>
      </text>
    </comment>
    <comment ref="E30" authorId="0" shapeId="0">
      <text>
        <t>embassy_reit_ar_2021_web.pdf (Consolidated Balance Sheet); orig:'Cash and cash equivalents 9,174.78' (Rs. million; 31 Mar 2021; Other bank 253.75)</t>
      </text>
    </comment>
    <comment ref="F30" authorId="0" shapeId="0">
      <text>
        <t>4_reit_detailed_consol_fy_22.pdf (Consolidated Balance Sheet); orig:'Cash and cash equivalents 5,884.49' (Rs. million; 31 Mar 2022; Other bank 231.50)</t>
      </text>
    </comment>
    <comment ref="G30" authorId="0" shapeId="0">
      <text>
        <t>1reit_consol_condensed_mar23.pdf p.1 (Balance Sheet); orig:'Cash and cash equivalents 8,173.48' (Rs. million; 31 Mar 2023; Other bank 580.10)</t>
      </text>
    </comment>
    <comment ref="H30" authorId="0" shapeId="0">
      <text>
        <t>Embassy | consolidated FY2024
consol_reit_fs_condensed_mar_24.pdf p.6; orig: Cash and cash equivalents 10,113.73 + Other bank balances 154.74 = 10,268.47 (Rs. million as at 31 March 2024)</t>
      </text>
    </comment>
    <comment ref="I30" authorId="0" shapeId="0">
      <text>
        <t>Embassy | consolidated FY2025
reit_consol_fs_and_ar_mar_2026.pdf p.9; orig: Cash and cash equivalents 6,630.18 + Other bank balances 135.68 = 6,765.86 (Rs. million as at 31 March 2025)</t>
      </text>
    </comment>
    <comment ref="J30" authorId="0" shapeId="0">
      <text>
        <t>Embassy | consolidated FY2026
reit_consol_fs_and_ar_mar_2026.pdf p.9; orig: Cash and cash equivalents 9,696.66 + Other bank balances 107.10 = 9,803.76 (Rs. million as at 31 March 2026)</t>
      </text>
    </comment>
    <comment ref="L30" authorId="0" shapeId="0">
      <text>
        <t>4q-fy2019-standalone-financial-statements.pdf (Standalone Balance Sheet); orig:'Cash and bank balances 42,818.53' (Rs. millions; 31 Mar 2019)</t>
      </text>
    </comment>
    <comment ref="N30" authorId="0" shapeId="0">
      <text>
        <t>embassy_reit_ar_2021_web.pdf (Standalone Balance Sheet); orig:'Cash and cash equivalents 7,171.26' (Rs. million; 31 Mar 2021)</t>
      </text>
    </comment>
    <comment ref="O30" authorId="0" shapeId="0">
      <text>
        <t>2_reit_detailed_standalone_fy_22.pdf (Standalone Balance Sheet); orig:'Cash and cash equivalents 5,200.47' (Rs. million; 31 Mar 2022)</t>
      </text>
    </comment>
    <comment ref="P30" authorId="0" shapeId="0">
      <text>
        <t>3reit_standalone_condesned_mar23.pdf p.1 (Balance Sheet); orig:'Cash and cash equivalents 5,280.15' (Rs. million; 31 Mar 2023)</t>
      </text>
    </comment>
    <comment ref="Q30" authorId="0" shapeId="0">
      <text>
        <t>Embassy | standalone FY2024
standalone_reit_fs_condensed_mar_24.pdf p.4; orig: Cash and cash equivalents 5,187.12 (Rs. million as at 31 March 2024)</t>
      </text>
    </comment>
    <comment ref="R30" authorId="0" shapeId="0">
      <text>
        <t>Embassy | standalone FY2025
reit_sa_fs_and_ar_mar_2026.pdf p.7; orig: Cash and cash equivalents 9.66 (Rs. million as at 31 March 2025)</t>
      </text>
    </comment>
    <comment ref="S30" authorId="0" shapeId="0">
      <text>
        <t>Embassy | standalone FY2026
reit_sa_fs_and_ar_mar_2026.pdf p.7; orig: Cash and cash equivalents 1,536.43 (Rs. million as at 31 March 2026)</t>
      </text>
    </comment>
    <comment ref="C32" authorId="0" shapeId="0">
      <text>
        <t>4q-fy2019-condensed-combined-financial-statements.pdf (Combined Balance Sheet); orig:'Total equity 228,944.79' (Unit capital 229,039.26 + Other equity (94.47)) (Rs. millions; 31 Mar 2019)</t>
      </text>
    </comment>
    <comment ref="D32" authorId="0" shapeId="0">
      <text>
        <t>4q-fy2020-condensed-consolidated-financial-statements.pdf (Consolidated Balance Sheet); orig:'Total equity 223,177.84' (Unit capital 229,120.96 + Other equity (5,943.12)) (Rs. millions; 31 Mar 2020)</t>
      </text>
    </comment>
    <comment ref="E32" authorId="0" shapeId="0">
      <text>
        <t>embassy_reit_ar_2021_web.pdf (Consolidated Balance Sheet); orig:'Total equity 270,930.67' (Unit capital 288,262.11 + Other equity (17,331.44)) (Rs. million; 31 Mar 2021)</t>
      </text>
    </comment>
    <comment ref="F32" authorId="0" shapeId="0">
      <text>
        <t>4_reit_detailed_consol_fy_22.pdf (Consolidated Balance Sheet); orig:'Total equity 258,866.90' (Rs. million; 31 Mar 2022)</t>
      </text>
    </comment>
    <comment ref="G32" authorId="0" shapeId="0">
      <text>
        <t>1reit_consol_condensed_mar23.pdf p.1 (Balance Sheet); orig:'Total equity 243,682.98' (Unit capital 288,262.11 + Other equity (44,579.13)) (Rs. million; 31 Mar 2023)</t>
      </text>
    </comment>
    <comment ref="H32" authorId="0" shapeId="0">
      <text>
        <t>Embassy | consolidated FY2024
consol_reit_fs_condensed_mar_24.pdf p.6; orig: Total equity 232,741.75 (Unit capital 288,262.11 + Other equity (55,520.36)) (Rs. million as at 31 March 2024)</t>
      </text>
    </comment>
    <comment ref="I32" authorId="0" shapeId="0">
      <text>
        <t>Embassy | consolidated FY2025
reit_consol_fs_and_ar_mar_2026.pdf p.9; orig: Total equity 227,611.60 (Rs. million as at 31 March 2025)</t>
      </text>
    </comment>
    <comment ref="J32" authorId="0" shapeId="0">
      <text>
        <t>Embassy | consolidated FY2026
reit_consol_fs_and_ar_mar_2026.pdf p.9; orig: Total equity 207,801.79 (Rs. million as at 31 March 2026)</t>
      </text>
    </comment>
    <comment ref="L32" authorId="0" shapeId="0">
      <text>
        <t>4q-fy2019-standalone-financial-statements.pdf (Standalone Balance Sheet); orig:'Unitholders funds 228,944.79' (Unit capital 229,039.26 + Reserves (94.47)) (Rs. millions; 31 Mar 2019)</t>
      </text>
    </comment>
    <comment ref="N32" authorId="0" shapeId="0">
      <text>
        <t>embassy_reit_ar_2021_web.pdf (Standalone Balance Sheet); orig:'Total equity 265,579.22' (Rs. million; 31 Mar 2021)</t>
      </text>
    </comment>
    <comment ref="O32" authorId="0" shapeId="0">
      <text>
        <t>2_reit_detailed_standalone_fy_22.pdf (Standalone Balance Sheet); orig:'Total equity 258,028.19' (Rs. million; 31 Mar 2022)</t>
      </text>
    </comment>
    <comment ref="P32" authorId="0" shapeId="0">
      <text>
        <t>3reit_standalone_condesned_mar23.pdf p.1 (Balance Sheet); orig:'Total equity 250,572.66' (Unit capital 288,262.11 + Other equity (37,689.45)) (Rs. million; 31 Mar 2023)</t>
      </text>
    </comment>
    <comment ref="Q32" authorId="0" shapeId="0">
      <text>
        <t>Embassy | standalone FY2024
standalone_reit_fs_condensed_mar_24.pdf p.4; orig: Total equity 242,052.65 (Rs. million as at 31 March 2024)</t>
      </text>
    </comment>
    <comment ref="R32" authorId="0" shapeId="0">
      <text>
        <t>Embassy | standalone FY2025
reit_sa_fs_and_ar_mar_2026.pdf p.7; orig: Total equity 226,989.17 (Rs. million as at 31 March 2025)</t>
      </text>
    </comment>
    <comment ref="S32" authorId="0" shapeId="0">
      <text>
        <t>Embassy | standalone FY2026
reit_sa_fs_and_ar_mar_2026.pdf p.7; orig: Total equity 216,938.62 (Rs. million as at 31 March 2026)</t>
      </text>
    </comment>
    <comment ref="C34" authorId="0" shapeId="0">
      <text>
        <t>4q-fy2019-earnings-presentation.pdf (NAV per Unit slide); orig:'Net Asset Value 278,967; NAV per Unit ₹362' (as at 31 Mar 2019, IPO valuation; pre-listing)</t>
      </text>
    </comment>
    <comment ref="D34" authorId="0" shapeId="0">
      <text>
        <t>4q-fy2020-condensed-consolidated-financial-statements.pdf (Statement of Net Assets at fair value); orig:'NAV (C/D) Fair value 374.64' (book NAV 289.22) (Rs/unit; 31 Mar 2020)</t>
      </text>
    </comment>
    <comment ref="E34" authorId="0" shapeId="0">
      <text>
        <t>embassy_reit_ar_2021_web.pdf (Consolidated Statement of Net Assets at Fair Value); orig:'NAV per unit 387.54' (fair value; book NAV ~285.83) (Rs/unit; 31 Mar 2021)</t>
      </text>
    </comment>
    <comment ref="F34" authorId="0" shapeId="0">
      <text>
        <t>4_reit_detailed_consol_fy_22.pdf (Consolidated Statement of Net Assets at fair value) &amp; final_annual_report.pdf NAV table; orig:'NAV per unit 393.90' (fair value; book NAV 273.10) (Rs/unit; 31 Mar 2022)</t>
      </text>
    </comment>
    <comment ref="G34" authorId="0" shapeId="0">
      <text>
        <t>embassy_reit_-_annual_report_-_fy_2022-23.pdf p.131 (Statement of Net Assets at Fair Value); orig:'NAV per unit 394.88' (fair value; book NAV ~257) (Rs/unit; 31 Mar 2023)</t>
      </text>
    </comment>
    <comment ref="H34" authorId="0" shapeId="0">
      <text>
        <t>Embassy | consolidated FY2024
consol_reit_fs_condensed_mar_24.pdf p.11 (Statement of Net Assets at fair value); orig: 'NAV (C/D) ... Fair value 401.59' (Rs/unit as at 31 March 2024). Book-value NAV = 245.54</t>
      </text>
    </comment>
    <comment ref="I34" authorId="0" shapeId="0">
      <text>
        <t>Embassy | consolidated FY2025
reit_consol_fs_and_ar_mar_2026.pdf p.17; orig: 'NAV (C/D) ... Fair value 423.22' (Rs/unit as at 31 March 2025). Book-value NAV = 240.12</t>
      </text>
    </comment>
    <comment ref="J34" authorId="0" shapeId="0">
      <text>
        <t>Embassy | consolidated FY2026
reit_consol_fs_and_ar_mar_2026.pdf p.17; orig: 'NAV (C/D) ... Fair value 491.62' (Rs/unit as at 31 March 2026). Book-value NAV = 219.22</t>
      </text>
    </comment>
    <comment ref="C36" authorId="0" shapeId="0">
      <text>
        <t>4q-fy2019-condensed-combined-financial-statements.pdf/IPO; orig:'771,665,343 units issued at IPO (1 April 2019 listing)' (771.67 mn units). Combined BS Unit capital 229,039.26</t>
      </text>
    </comment>
    <comment ref="D36" authorId="0" shapeId="0">
      <text>
        <t>4q-fy2020-condensed-consolidated-financial-statements.pdf (Statement of Net Assets at fair value); orig:'No. of units 771,665,343' (771.67 mn units; 31 Mar 2020)</t>
      </text>
    </comment>
    <comment ref="E36" authorId="0" shapeId="0">
      <text>
        <t>embassy_reit_ar_2021_web.pdf; orig:'Number of units 947,893,743' (947.89 mn units; 31 Mar 2021, post ETV-acquisition pref issue)</t>
      </text>
    </comment>
    <comment ref="F36" authorId="0" shapeId="0">
      <text>
        <t>4_reit_detailed_consol_fy_22.pdf (Statement of Net Assets); orig:'No. of units 947,893,743' (947.89 mn units; 31 Mar 2022)</t>
      </text>
    </comment>
    <comment ref="G36" authorId="0" shapeId="0">
      <text>
        <t>embassy_reit_-_annual_report_-_fy_2022-23.pdf p.25; orig:'Number of Units 947,893,743' (947.89 mn units; 31 Mar 2023)</t>
      </text>
    </comment>
    <comment ref="H36" authorId="0" shapeId="0">
      <text>
        <t>Embassy | consolidated FY2024
consol_reit_fs_condensed_mar_24.pdf p.10/11; orig: 'No. of units 947,893,743' (947.89 million units as at 31 March 2024)</t>
      </text>
    </comment>
    <comment ref="I36" authorId="0" shapeId="0">
      <text>
        <t>Embassy | consolidated FY2025
reit_consol_fs_and_ar_mar_2026.pdf p.17; orig: 'No. of units 947,893,743' (947.89 million units as at 31 March 2025)</t>
      </text>
    </comment>
    <comment ref="J36" authorId="0" shapeId="0">
      <text>
        <t>Embassy | consolidated FY2026
reit_consol_fs_and_ar_mar_2026.pdf p.17; orig: 'No. of units 947,893,743' (947.89 million units as at 31 March 2026)</t>
      </text>
    </comment>
    <comment ref="E37" authorId="0" shapeId="0">
      <text>
        <t>embassy_reit_ar_2021_web.pdf (Trading snapshot); orig:'Closing Price March 31, 2021 NSE 325.45 (BSE 325.43)' (INR/unit)</t>
      </text>
    </comment>
    <comment ref="F37" authorId="0" shapeId="0">
      <text>
        <t>REIT_Tableau_Ready_1.xlsx 'Prices' sheet; exchange close ~31-Mar-2022</t>
      </text>
    </comment>
    <comment ref="G37" authorId="0" shapeId="0">
      <text>
        <t>REIT_Tableau_Ready_1.xlsx 'Prices' sheet; exchange close ~31-Mar-2023</t>
      </text>
    </comment>
    <comment ref="H37" authorId="0" shapeId="0">
      <text>
        <t>Embassy | consolidated FY2024 (AR, 3rd pass)
embassy_reit_ar_2024_final.pdf p.20 (Trading snapshot for FY2024) &amp; p.163 (statutory); orig:'Closing Price: March 28, 2024 ... NSE 369.61 / BSE 369.16'; period-end FY2024 (NSE)</t>
      </text>
    </comment>
    <comment ref="I37" authorId="0" shapeId="0">
      <text>
        <t>Embassy | consolidated FY2025 (AR, 3rd pass)
annual_report_2025.pdf p.31 (capital markets); orig:'Closing Price: March 31, 2025 ... NSE 365.49 / BSE 366.10'; period-end FY2025 (NSE)</t>
      </text>
    </comment>
    <comment ref="J37" authorId="0" shapeId="0">
      <text>
        <t>Embassy | consolidated FY2026 (investor presentation)
earnings_presentation_q4_fy26_v1.pdf p.4; orig:'NSE closing price as of Mar 31, 2026 of ₹420.3'; as-at 31 Mar 2026</t>
      </text>
    </comment>
    <comment ref="D40" authorId="0" shapeId="0">
      <text>
        <t>Blended estimate: 3q-fy2020-investor-materials.pdf Leverage Update ~p.41 ('9.03% new debt, 86 bps lower than in-place' → in-place ~9.65% Dec-19); CFO Oct-21 press release: 'consolidated debt cost reduces to 6.8% from the original 9.4% at the time of listing'. FY19 pre-IPO: no blended rate disclosed (%)</t>
      </text>
    </comment>
    <comment ref="E40" authorId="0" shapeId="0">
      <text>
        <t>embassy_reit_ar_2021_web.pdf (Debt analysis table, total); orig:'weighted avg interest rate 7.81%' (FY2021)</t>
      </text>
    </comment>
    <comment ref="F40" authorId="0" shapeId="0">
      <text>
        <t>final_annual_report.pdf (Proactive capital management); orig:'6.7% Average Debt Cost' (FY2022)</t>
      </text>
    </comment>
    <comment ref="G40" authorId="0" shapeId="0">
      <text>
        <t>embassy_reit_-_annual_report_-_fy_2022-23.pdf p.11/p.25; orig:'7.2% debt cost / Avg. Debt Cost 7.2%' (FY2023)</t>
      </text>
    </comment>
    <comment ref="H40" authorId="0" shapeId="0">
      <text>
        <t>Embassy | consolidated FY2024 (AR, 3rd pass)
embassy_reit_ar_2024_final.pdf p.13 (KPI, Proactive capital management); orig:'7.8% Avg debt cost'; as-at 31 Mar 2024</t>
      </text>
    </comment>
    <comment ref="I40" authorId="0" shapeId="0">
      <text>
        <t>Embassy | consolidated FY2025 (AR, 3rd pass)
annual_report_2025.pdf p.18 (KPI, Proactive Capital Management); orig:'7.9% Avg Debt Cost'; as-at 31 Mar 2025</t>
      </text>
    </comment>
    <comment ref="J40" authorId="0" shapeId="0">
      <text>
        <t>Embassy | consolidated FY2026 (investor presentation)
earnings_presentation_q4_fy26_v1.pdf p.3; orig:'lowering the in-place cost of debt by 65 bps to 7.25%'; as-at 31 Mar 2026
[updated to 31-Mar-2026 year-end value; replaced earlier H1/interim figure 0.0729]</t>
      </text>
    </comment>
    <comment ref="C42" authorId="0" shapeId="0">
      <text>
        <t>4q-fy2019-earnings-presentation.pdf (Portfolio table); orig:'Subtotal (Office) Total 32.7 msf' (completed 24.8 + development 7.9). Total portfolio incl hotels c.33 msf (as at 31 Mar 2019)</t>
      </text>
    </comment>
    <comment ref="D42" authorId="0" shapeId="0">
      <text>
        <t>4q-fy2020-earnings-materials.pdf (Portfolio summary); orig:'Subtotal (Office) Total 33.3 msf' (completed 26.2 + development 7.1). 'total portfolio spans c.33.3 msf' (31 Mar 2020)</t>
      </text>
    </comment>
    <comment ref="E42" authorId="0" shapeId="0">
      <text>
        <t>embassy_reit_ar_2021_web.pdf (Portfolio summary/MD&amp;A); orig:'total leasable area adds up to 42.4 msf' (31 Mar 2021)</t>
      </text>
    </comment>
    <comment ref="F42" authorId="0" shapeId="0">
      <text>
        <t>final_annual_report.pdf (Portfolio summary); orig:'42.8 msf Portfolio' (total leasable; 31 Mar 2022)</t>
      </text>
    </comment>
    <comment ref="G42" authorId="0" shapeId="0">
      <text>
        <t>embassy_reit_-_annual_report_-_fy_2022-23.pdf p.26-27 (Portfolio summary); orig:'Total 45.0 msf' (completed 34.3 + UC 7.9 + proposed 2.8; 31 Mar 2023)</t>
      </text>
    </comment>
    <comment ref="H42" authorId="0" shapeId="0">
      <text>
        <t>Embassy | consolidated FY2024 (AR, 3rd pass)
embassy_reit_ar_2024_final.pdf p.4 &amp; p.14 (Portfolio Summary Total); orig:'45.4 msf' (Total leasable = completed + under-construction + proposed future); as-at 31 Mar 2024</t>
      </text>
    </comment>
    <comment ref="I42" authorId="0" shapeId="0">
      <text>
        <t>Embassy | consolidated FY2025 (AR, 3rd pass)
annual_report_2025.pdf p.4 &amp; p.21 (Portfolio Summary Total); orig:'51.1* msf' / 'Total ... 51.1 msf'; as-at 31 Mar 2025</t>
      </text>
    </comment>
    <comment ref="J42" authorId="0" shapeId="0">
      <text>
        <t>Embassy | consolidated FY2026
eop_reit_valuation_report_march_2026.pdf p.34 ('Embassy REIT Assets at a Glance'); orig: 'Total Leasable Area (msf.) 52.5'</t>
      </text>
    </comment>
    <comment ref="C43" authorId="0" shapeId="0">
      <text>
        <t>4q-fy2019-earnings-presentation.pdf (Portfolio table); orig:'Subtotal (Office) Completed 24.8 msf' (31 Mar 2019)</t>
      </text>
    </comment>
    <comment ref="D43" authorId="0" shapeId="0">
      <text>
        <t>4q-fy2020-earnings-materials.pdf (Portfolio summary); orig:'c.26.2 msf completed and operational' (31 Mar 2020)</t>
      </text>
    </comment>
    <comment ref="E43" authorId="0" shapeId="0">
      <text>
        <t>embassy_reit_ar_2021_web.pdf (Portfolio); orig:'32.3 msf completed leasable area' (31 Mar 2021)</t>
      </text>
    </comment>
    <comment ref="F43" authorId="0" shapeId="0">
      <text>
        <t>final_annual_report.pdf (Portfolio summary); orig:'Sub-total (Commercial Office) Completed 33.8' (msf; 31 Mar 2022)</t>
      </text>
    </comment>
    <comment ref="G43" authorId="0" shapeId="0">
      <text>
        <t>embassy_reit_-_annual_report_-_fy_2022-23.pdf p.26-27; orig:'Completed 34.3 msf' (31 Mar 2023)</t>
      </text>
    </comment>
    <comment ref="H43" authorId="0" shapeId="0">
      <text>
        <t>Embassy | consolidated FY2024 (AR, 3rd pass)
embassy_reit_ar_2024_final.pdf p.4 &amp; p.14; orig:'36.5 msf of completed operating area' / 'Total 36.5 msf' completed (offices); as-at 31 Mar 2024 (excl. 1,096 hotel keys + 100MW solar)</t>
      </text>
    </comment>
    <comment ref="I43" authorId="0" shapeId="0">
      <text>
        <t>Embassy | consolidated FY2025 (AR, 3rd pass)
annual_report_2025.pdf p.21 (Portfolio Summary Total); orig:'Total 40.3 msf/1,096 Keys/100MW' (Completed); as-at 31 Mar 2025</t>
      </text>
    </comment>
    <comment ref="J43" authorId="0" shapeId="0">
      <text>
        <t>Embassy | consolidated FY2026
eop_reit_valuation_report_march_2026.pdf p.34; orig: 'Completed Area (msf.) 43.4'</t>
      </text>
    </comment>
    <comment ref="C44" authorId="0" shapeId="0">
      <text>
        <t>4q-fy2019-earnings-presentation.pdf (Portfolio table); orig:'Subtotal (Office) Development 7.9 msf' (31 Mar 2019)</t>
      </text>
    </comment>
    <comment ref="D44" authorId="0" shapeId="0">
      <text>
        <t>4q-fy2020-earnings-materials.pdf (Portfolio summary); orig:'c.7.1 msf of on-campus development in the pipeline' (31 Mar 2020)</t>
      </text>
    </comment>
    <comment ref="E44" authorId="0" shapeId="0">
      <text>
        <t>embassy_reit_ar_2021_web.pdf (Portfolio); orig:'Development 10.1 msf (U/C 5.7 + proposed 4.4)' (31 Mar 2021)</t>
      </text>
    </comment>
    <comment ref="F44" authorId="0" shapeId="0">
      <text>
        <t>final_annual_report.pdf (Portfolio summary); orig:'Development 9.0 msf' (commercial office development; 31 Mar 2022)</t>
      </text>
    </comment>
    <comment ref="G44" authorId="0" shapeId="0">
      <text>
        <t>embassy_reit_-_annual_report_-_fy_2022-23.pdf p.26-27/p.130; orig:'Under Construction 7.9 + Proposed Development 2.8 = 10.7 msf' (31 Mar 2023)</t>
      </text>
    </comment>
    <comment ref="H44" authorId="0" shapeId="0">
      <text>
        <t>Embassy | consolidated FY2024 (AR, 3rd pass)
embassy_reit_ar_2024_final.pdf p.14 (Portfolio Summary Total); orig:'Under Construction 6.1 msf + Proposed Development 2.8 msf = 8.9 msf' (derived sum of UC 6.1 + proposed/future 2.8); as-at 31 Mar 2024</t>
      </text>
    </comment>
    <comment ref="I44" authorId="0" shapeId="0">
      <text>
        <t>Embassy | consolidated FY2025 (AR, 3rd pass)
annual_report_2025.pdf p.21 (Portfolio Summary Total); orig:'Under Construction 6.1 msf + Proposed Development 4.8 msf = 10.9 msf' (derived); as-at 31 Mar 2025</t>
      </text>
    </comment>
    <comment ref="J44" authorId="0" shapeId="0">
      <text>
        <t>Embassy | consolidated FY2026
eop_reit_valuation_report_march_2026.pdf p.34; orig: derived as Total Leasable 52.5 - Completed 43.4 = 9.1 msf (under-construction/future)</t>
      </text>
    </comment>
    <comment ref="J45" authorId="0" shapeId="0">
      <text>
        <t>Embassy | consolidated FY2026 (investor presentation)
earnings_presentation_q4_fy26_v1.pdf p.2; orig:'Portfolio occupancy increased by 300 bps to 94% (by value)'; as-at 31 Mar 2026</t>
      </text>
    </comment>
    <comment ref="C46" authorId="0" shapeId="0">
      <text>
        <t>4q-fy2019-earnings-presentation.pdf (Portfolio table &amp; cover); orig:'94.3% Occupancy' / 'Subtotal (Office) 94.3%' (on 24.8 msf completed office; 31 Mar 2019)</t>
      </text>
    </comment>
    <comment ref="D46" authorId="0" shapeId="0">
      <text>
        <t>4q-fy2020-earnings-materials.pdf (cover &amp; portfolio); orig:'c.92.8% occupancy on c.26.2 msf completed office portfolio' (31 Mar 2020)</t>
      </text>
    </comment>
    <comment ref="E46" authorId="0" shapeId="0">
      <text>
        <t>embassy_reit_ar_2021_web.pdf (MD&amp;A/portfolio); orig:'occupancy as of March 31, 2021 was at 88.9%'</t>
      </text>
    </comment>
    <comment ref="F46" authorId="0" shapeId="0">
      <text>
        <t>final_annual_report.pdf (Directors'/portfolio review); orig:'occupancy of Embassy REIT as of March 31, 2022 was 87.1%'</t>
      </text>
    </comment>
    <comment ref="G46" authorId="0" shapeId="0">
      <text>
        <t>embassy_reit_-_annual_report_-_fy_2022-23.pdf (MD&amp;A/portfolio); orig:'occupancy as of March 31, 2023 was at 86%'</t>
      </text>
    </comment>
    <comment ref="H46" authorId="0" shapeId="0">
      <text>
        <t>Embassy | consolidated FY2024 (AR, 3rd pass)
embassy_reit_ar_2024_final.pdf p.14 (Portfolio Summary, Sub-total Commercial offices) &amp; p.4; orig:'Sub-total (Commercial offices) ... 85%' / 'Occupancy(1) 85%'; commercial offices, completed-area basis; as-at 31 Mar 2024</t>
      </text>
    </comment>
    <comment ref="I46" authorId="0" shapeId="0">
      <text>
        <t>Embassy | consolidated FY2025 (AR, 3rd pass)
annual_report_2025.pdf p.21 (Portfolio Summary); orig:'Sub-Total (Commercial Offices) ... 87%'; commercial offices completed-area basis; as-at 31 Mar 2025</t>
      </text>
    </comment>
    <comment ref="J46" authorId="0" shapeId="0">
      <text>
        <t>Embassy | consolidated FY2026
eop_reit_valuation_report_march_2026.pdf p.34; orig: 'Occupancy (%) 90%' (portfolio-level, as at 31 March 2026)</t>
      </text>
    </comment>
    <comment ref="C47" authorId="0" shapeId="0">
      <text>
        <t>4q-fy2019-earnings-presentation.pdf (Portfolio table &amp; cover); orig:'7 Years WALE' / 'Subtotal (Office) WALE 7.0' (31 Mar 2019)</t>
      </text>
    </comment>
    <comment ref="D47" authorId="0" shapeId="0">
      <text>
        <t>4q-fy2020-earnings-materials.pdf (Portfolio summary &amp; cover); orig:'7.0 years WALE' / 'Subtotal (Office) 7.0' (31 Mar 2020)</t>
      </text>
    </comment>
    <comment ref="E47" authorId="0" shapeId="0">
      <text>
        <t>embassy_reit_ar_2021_web.pdf (Portfolio summary); orig:'Sub-total Commercial Office WALE 7.0' (yrs; 31 Mar 2021)</t>
      </text>
    </comment>
    <comment ref="F47" authorId="0" shapeId="0">
      <text>
        <t>final_annual_report.pdf (Key highlights &amp; portfolio); orig:'7.0 years Weighted average lease expiry (WALE)' (31 Mar 2022)</t>
      </text>
    </comment>
    <comment ref="G47" authorId="0" shapeId="0">
      <text>
        <t>embassy_reit_-_annual_report_-_fy_2022-23.pdf p.26-27; orig:'Subtotal (Office) WALE 6.6' (yrs; 31 Mar 2023)</t>
      </text>
    </comment>
    <comment ref="H47" authorId="0" shapeId="0">
      <text>
        <t>Embassy | consolidated FY2024 (AR, 3rd pass)
embassy_reit_ar_2024_final.pdf p.14 (Portfolio Summary); orig:'Sub-total (Commercial offices) ... WALE 6.8' (yrs); portfolio commercial offices; as-at 31 Mar 2024</t>
      </text>
    </comment>
    <comment ref="I47" authorId="0" shapeId="0">
      <text>
        <t>Embassy | consolidated FY2025 (AR, 3rd pass)
annual_report_2025.pdf p.21 (Portfolio Summary); orig:'Sub-Total (Commercial Offices) ... 8.4' (WALE yrs); as-at 31 Mar 2025</t>
      </text>
    </comment>
    <comment ref="J47" authorId="0" shapeId="0">
      <text>
        <t>Embassy | consolidated FY2026 (AR, 3rd pass)
embassy_half_yearly_report_2025_-_final_file.pdf Portfolio Summary (printed p.38-39); orig:'Sub-Total (Commercial Offices) ... 8.5' (WALE yrs); as-at 30 Sep 2025</t>
      </text>
    </comment>
    <comment ref="C48" authorId="0" shapeId="0">
      <text>
        <t>4q-fy2019-earnings-presentation.pdf (cover/at a glance); orig:'160+ Blue-chip tenants' (stated as 160+; 31 Mar 2019)</t>
      </text>
    </comment>
    <comment ref="D48" authorId="0" shapeId="0">
      <text>
        <t>4q-fy2020-earnings-materials.pdf (at a glance); orig:'160+' largely multinational occupier base (stated as 160+; 31 Mar 2020)</t>
      </text>
    </comment>
    <comment ref="E48" authorId="0" shapeId="0">
      <text>
        <t>embassy_reit_ar_2021_web.pdf (MD&amp;A/cover); orig:'190+ blue chip corporate occupiers' (stated as 190+; 31 Mar 2021)</t>
      </text>
    </comment>
    <comment ref="F48" authorId="0" shapeId="0">
      <text>
        <t>final_annual_report.pdf (Our Occupiers/portfolio); orig:'over 200 of the world's leading companies / 200+ occupiers' (31 Mar 2022)</t>
      </text>
    </comment>
    <comment ref="G48" authorId="0" shapeId="0">
      <text>
        <t>embassy_reit_-_annual_report_-_fy_2022-23.pdf p.10-11; orig:'occupier base to 230 marquee corporates' (31 Mar 2023)</t>
      </text>
    </comment>
    <comment ref="H48" authorId="0" shapeId="0">
      <text>
        <t>Embassy | consolidated FY2024 (AR, 3rd pass)
embassy_reit_ar_2024_final.pdf p.4 (Embassy REIT at a glance); orig:'home to 255 of the world's leading companies' / '255 Blue-chip occupiers'; as-at Mar 2024</t>
      </text>
    </comment>
    <comment ref="I48" authorId="0" shapeId="0">
      <text>
        <t>Embassy | consolidated FY2025 (AR, 3rd pass)
annual_report_2025.pdf p.4 (Embassy REIT at a Glance); orig:'is home to 272 of the world's leading companies'; as-at Mar 2025</t>
      </text>
    </comment>
    <comment ref="J48" authorId="0" shapeId="0">
      <text>
        <t>Embassy | consolidated FY2026 (AR, 3rd pass)
embassy_half_yearly_report_2025_-_final_file.pdf p.4 (at a glance); orig:'is home to 274 of the world's leading companies'; as-at 30 Sep 2025 (270+ blue-chip occupiers referenced elsewhere)</t>
      </text>
    </comment>
    <comment ref="C49" authorId="0" shapeId="0">
      <text>
        <t>4q-fy2019-earnings-presentation.pdf (Portfolio table, Office subtotal In-place); orig:'Subtotal (Office) In-place 63 ₹ psf/month' (31 Mar 2019)</t>
      </text>
    </comment>
    <comment ref="D49" authorId="0" shapeId="0">
      <text>
        <t>4q-fy2020-earnings-materials.pdf (Portfolio table, Office subtotal); orig:'Subtotal (Office) In-place 68 ₹ psf/mth' (31 Mar 2020)</t>
      </text>
    </comment>
    <comment ref="E49" authorId="0" shapeId="0">
      <text>
        <t>embassy_reit_ar_2021_web.pdf (Portfolio summary); orig:'Commercial Office In-place 71 ₹ psf/month' (31 Mar 2021)</t>
      </text>
    </comment>
    <comment ref="F49" authorId="0" shapeId="0">
      <text>
        <t>final_annual_report.pdf (Portfolio summary); orig:'Sub-total (Commercial Office) In-place 75' (₹ psf/month; 31 Mar 2022)</t>
      </text>
    </comment>
    <comment ref="G49" authorId="0" shapeId="0">
      <text>
        <t>embassy_reit_-_annual_report_-_fy_2022-23.pdf p.26-27; orig:'Subtotal (Office) In-place 80' (₹ psf/month; 31 Mar 2023)</t>
      </text>
    </comment>
    <comment ref="H49" authorId="0" shapeId="0">
      <text>
        <t>Embassy | consolidated FY2024 (AR, 3rd pass)
embassy_reit_ar_2024_final.pdf p.14 (Portfolio Summary, Rent J psf pm); orig:'Sub-total (Commercial offices) ... In-place 87' (INR psf/month, portfolio commercial offices); as-at 31 Mar 2024</t>
      </text>
    </comment>
    <comment ref="I49" authorId="0" shapeId="0">
      <text>
        <t>Embassy | consolidated FY2025 (AR, 3rd pass)
annual_report_2025.pdf p.21 (Portfolio Summary, Rent J psf pm); orig:'Sub-Total (Commercial Offices) ... In-place 92'; as-at 31 Mar 2025</t>
      </text>
    </comment>
    <comment ref="J49" authorId="0" shapeId="0">
      <text>
        <t>Embassy | consolidated FY2026 (investor presentation)
earnings_presentation_q4_fy26_v1.pdf p.51; orig:'Subtotal (Office) In-place Rent ₹95 psf/mth'; as-at 31 Mar 2026
[updated to 31-Mar-2026 year-end value; replaced earlier H1/interim figure 93]</t>
      </text>
    </comment>
    <comment ref="U57" authorId="0" shapeId="0">
      <text>
        <t>4q-fy2019-earnings-presentation.pdf (Portfolio table &amp; cover); orig:'94.3% Occupancy' / 'Subtotal (Office) 94.3%' (on 24.8 msf completed office; 31 Mar 2019)</t>
      </text>
    </comment>
    <comment ref="V57" authorId="0" shapeId="0">
      <text>
        <t>4q-fy2020-earnings-materials.pdf (cover &amp; portfolio); orig:'c.92.8% occupancy on c.26.2 msf completed office portfolio' (31 Mar 2020)</t>
      </text>
    </comment>
    <comment ref="W57" authorId="0" shapeId="0">
      <text>
        <t>embassy_reit_ar_2021_web.pdf (MD&amp;A/portfolio); orig:'occupancy as of March 31, 2021 was at 88.9%'</t>
      </text>
    </comment>
    <comment ref="X57" authorId="0" shapeId="0">
      <text>
        <t>final_annual_report.pdf (Directors'/portfolio review); orig:'occupancy of Embassy REIT as of March 31, 2022 was 87.1%'</t>
      </text>
    </comment>
    <comment ref="Y57" authorId="0" shapeId="0">
      <text>
        <t>embassy_reit_-_annual_report_-_fy_2022-23.pdf (MD&amp;A/portfolio); orig:'occupancy as of March 31, 2023 was at 86%'</t>
      </text>
    </comment>
    <comment ref="Z57" authorId="0" shapeId="0">
      <text>
        <t>Embassy | consolidated FY2024 (AR, 3rd pass)
embassy_reit_ar_2024_final.pdf p.14 (Portfolio Summary, Sub-total Commercial offices) &amp; p.4; orig:'Sub-total (Commercial offices) ... 85%' / 'Occupancy(1) 85%'; commercial offices, completed-area basis; as-at 31 Mar 2024</t>
      </text>
    </comment>
    <comment ref="AA57" authorId="0" shapeId="0">
      <text>
        <t>Embassy | consolidated FY2025 (AR, 3rd pass)
annual_report_2025.pdf p.21 (Portfolio Summary); orig:'Sub-Total (Commercial Offices) ... 87%'; commercial offices completed-area basis; as-at 31 Mar 2025</t>
      </text>
    </comment>
    <comment ref="AB57" authorId="0" shapeId="0">
      <text>
        <t>Embassy | consolidated FY2026
eop_reit_valuation_report_march_2026.pdf p.34; orig: 'Occupancy (%) 90%' (portfolio-level, as at 31 March 2026)</t>
      </text>
    </comment>
    <comment ref="U58" authorId="0" shapeId="0">
      <text>
        <t>4q-fy2019-earnings-presentation.pdf (Portfolio table &amp; cover); orig:'7 Years WALE' / 'Subtotal (Office) WALE 7.0' (31 Mar 2019)</t>
      </text>
    </comment>
    <comment ref="V58" authorId="0" shapeId="0">
      <text>
        <t>4q-fy2020-earnings-materials.pdf (Portfolio summary &amp; cover); orig:'7.0 years WALE' / 'Subtotal (Office) 7.0' (31 Mar 2020)</t>
      </text>
    </comment>
    <comment ref="W58" authorId="0" shapeId="0">
      <text>
        <t>embassy_reit_ar_2021_web.pdf (Portfolio summary); orig:'Sub-total Commercial Office WALE 7.0' (yrs; 31 Mar 2021)</t>
      </text>
    </comment>
    <comment ref="X58" authorId="0" shapeId="0">
      <text>
        <t>final_annual_report.pdf (Key highlights &amp; portfolio); orig:'7.0 years Weighted average lease expiry (WALE)' (31 Mar 2022)</t>
      </text>
    </comment>
    <comment ref="Y58" authorId="0" shapeId="0">
      <text>
        <t>embassy_reit_-_annual_report_-_fy_2022-23.pdf p.26-27; orig:'Subtotal (Office) WALE 6.6' (yrs; 31 Mar 2023)</t>
      </text>
    </comment>
    <comment ref="Z58" authorId="0" shapeId="0">
      <text>
        <t>Embassy | consolidated FY2024 (AR, 3rd pass)
embassy_reit_ar_2024_final.pdf p.14 (Portfolio Summary); orig:'Sub-total (Commercial offices) ... WALE 6.8' (yrs); portfolio commercial offices; as-at 31 Mar 2024</t>
      </text>
    </comment>
    <comment ref="AA58" authorId="0" shapeId="0">
      <text>
        <t>Embassy | consolidated FY2025 (AR, 3rd pass)
annual_report_2025.pdf p.21 (Portfolio Summary); orig:'Sub-Total (Commercial Offices) ... 8.4' (WALE yrs); as-at 31 Mar 2025</t>
      </text>
    </comment>
    <comment ref="AB58" authorId="0" shapeId="0">
      <text>
        <t>Embassy | consolidated FY2026 (AR, 3rd pass)
embassy_half_yearly_report_2025_-_final_file.pdf Portfolio Summary (printed p.38-39); orig:'Sub-Total (Commercial Offices) ... 8.5' (WALE yrs); as-at 30 Sep 2025</t>
      </text>
    </comment>
    <comment ref="J63" authorId="0" shapeId="0">
      <text>
        <t>consol_results_-_march_2026.pdf NDCF note 1; orig:'distribution of Rs.6.50 per unit comprises Rs.0.14 per unit in the form of interest payment' (Q4 FY26 only; full-year split not disclosed in PDF)</t>
      </text>
    </comment>
    <comment ref="J64" authorId="0" shapeId="0">
      <text>
        <t>consol_results_-_march_2026.pdf NDCF note 1; orig:'Rs.1.39 per unit in the form of dividend' (Q4 FY26 only)</t>
      </text>
    </comment>
    <comment ref="J65" authorId="0" shapeId="0">
      <text>
        <t>consol_results_-_march_2026.pdf NDCF note 1; orig:'balance Rs.4.97 per unit in the form of repayment of debt' (Q4 FY26 only)</t>
      </text>
    </comment>
    <comment ref="H68" authorId="0" shapeId="0">
      <text>
        <t>consol_reit_fs_condensed_mar_24.pdf p.6; non-current 130,892.71 + current 37,186.82 borrowings (deck rounds to Rs.168bn)</t>
      </text>
    </comment>
    <comment ref="I68" authorId="0" shapeId="0">
      <text>
        <t>reit_consol_fs_and_ar_mar_2026.pdf p.9 (deck rounds to Rs.198bn)</t>
      </text>
    </comment>
    <comment ref="J68" authorId="0" shapeId="0">
      <text>
        <t>reit_consol_fs_and_ar_mar_2026.pdf p.9; non-current 172,107.45 + current borrowings</t>
      </text>
    </comment>
    <comment ref="G69" authorId="0" shapeId="0">
      <text>
        <t>standalone_reit_fs_condensed_mar_24.pdf B/S; non-current Loans 92,756.54 + current Loans 1,104.30 (Rs mn, 31 Mar 2023)</t>
      </text>
    </comment>
    <comment ref="H69" authorId="0" shapeId="0">
      <text>
        <t>standalone_reit_fs_condensed_mar_24.pdf B/S; non-current Loans 82,185.02 + current Loans 704.18 (Rs mn, 31 Mar 2024)</t>
      </text>
    </comment>
    <comment ref="I69" authorId="0" shapeId="0">
      <text>
        <t>sa_results_-_march_2026.pdf B/S; non-current Loans 61,844.18 + current Loans 2,660.09 (Rs mn, 31 Mar 2025)</t>
      </text>
    </comment>
    <comment ref="J69" authorId="0" shapeId="0">
      <text>
        <t>sa_results_-_march_2026.pdf B/S; non-current Loans 87,970.61, current Loans nil (Rs mn, 31 Mar 2026)</t>
      </text>
    </comment>
    <comment ref="H75" authorId="0" shapeId="0">
      <text>
        <t>earnings_presentation_q4_fy24.pdf 'Favorable Debt Mix'; orig:'Floating Rate Debt 40%' (Fixed 60%)</t>
      </text>
    </comment>
    <comment ref="I75" authorId="0" shapeId="0">
      <text>
        <t>earnings_presentation_q4_fy25.pdf 'Diversified Debt Composition'; orig:'Floating Rate Debt 49%' (Fixed 51%)</t>
      </text>
    </comment>
    <comment ref="H76" authorId="0" shapeId="0">
      <text>
        <t>earnings_presentation_q4_fy24.pdf; orig:'average maturity period of 4 years'</t>
      </text>
    </comment>
    <comment ref="I76" authorId="0" shapeId="0">
      <text>
        <t>earnings_presentation_q4_fy25.pdf; orig:'average maturity period of 4 years'</t>
      </text>
    </comment>
    <comment ref="H77" authorId="0" shapeId="0">
      <text>
        <t>earnings_presentation_q4_fy24.pdf; orig:'potential headroom of Rs.9 bn' (same slide also shows 'Proforma Debt Headroom Rs.106 bn')</t>
      </text>
    </comment>
    <comment ref="I77" authorId="0" shapeId="0">
      <text>
        <t>earnings_presentation_q4_fy25.pdf valuation slide; orig:'Available Debt Headroom Rs.100 bn'</t>
      </text>
    </comment>
  </commentList>
</comments>
</file>

<file path=xl/comments/comment2.xml><?xml version="1.0" encoding="utf-8"?>
<comments xmlns="http://schemas.openxmlformats.org/spreadsheetml/2006/main">
  <authors>
    <author>Source</author>
  </authors>
  <commentList>
    <comment ref="E9" authorId="0" shapeId="0">
      <text>
        <t>1st-Annual-Report-2020-21-of-Mindspace-REIT.pdf p.195 Consolidated Statement of P&amp;L FY ended 31 Mar 2021; orig:'Revenue from operations 32 11,381' (Rs million)</t>
      </text>
    </comment>
    <comment ref="F9" authorId="0" shapeId="0">
      <text>
        <t>Mindspace-REIT-Annual-Report-FY22.pdf p.223 Consol P&amp;L FY ended 31 Mar 2022; orig:'Revenue from operations 33 17,501'</t>
      </text>
    </comment>
    <comment ref="H9" authorId="0" shapeId="0">
      <text>
        <t>Mindspace | consolidated FY2024
Mindspace-Business-Parks-REIT-Annual-Report-2024-25.pdf p.377 Consolidated P&amp;L; orig:'Revenue from operations 24,292.00 (Rs. million)'</t>
      </text>
    </comment>
    <comment ref="I9" authorId="0" shapeId="0">
      <text>
        <t>Mindspace | consolidated FY2025
Mindspace-Business-Parks-REIT-Annual-Report-2024-25.pdf p.377 Consolidated P&amp;L; orig:'Revenue from operations 25,961.09 (Rs. million)'</t>
      </text>
    </comment>
    <comment ref="J9" authorId="0" shapeId="0">
      <text>
        <t>Mindspace | consolidated FY2026
MREIT-Console-Result-Q4.pdf p.5 Consolidated Financial Results FY ended 31 Mar 2026; orig:'Revenue from operations 32,163.46 (Rs. million)'</t>
      </text>
    </comment>
    <comment ref="E10" authorId="0" shapeId="0">
      <text>
        <t>1st-Annual-Report-2020-21-of-Mindspace-REIT.pdf p.195 Consol P&amp;L; orig:'Other income 34 51' (excl Interest 133 shown separately)</t>
      </text>
    </comment>
    <comment ref="F10" authorId="0" shapeId="0">
      <text>
        <t>Mindspace-REIT-Annual-Report-FY22.pdf p.223 Consol P&amp;L; orig:'Other income 35 88' (Interest 107 shown separately)</t>
      </text>
    </comment>
    <comment ref="H10" authorId="0" shapeId="0">
      <text>
        <t>Mindspace | consolidated FY2024
Mindspace-Business-Parks-REIT-Annual-Report-2024-25.pdf p.377 Consolidated P&amp;L; orig:'Other income 145.01 (Rs. million)'</t>
      </text>
    </comment>
    <comment ref="I10" authorId="0" shapeId="0">
      <text>
        <t>Mindspace | consolidated FY2025
Mindspace-Business-Parks-REIT-Annual-Report-2024-25.pdf p.377 Consolidated P&amp;L; orig:'Other income 151.58 (Rs. million)'</t>
      </text>
    </comment>
    <comment ref="J10" authorId="0" shapeId="0">
      <text>
        <t>Mindspace | consolidated FY2026
MREIT-Console-Result-Q4.pdf p.5 Consolidated FY26; orig:'Other income (refer note 2) 767.41 (Rs. million)' [results-statement combines interest+FV+other; FY25 comparative shown as 795.18]</t>
      </text>
    </comment>
    <comment ref="N10" authorId="0" shapeId="0">
      <text>
        <t>1st-Annual-Report-2020-21-of-Mindspace-REIT.pdf p.153 Standalone P&amp;L; orig:'Other Income 21 12' (Total Income 6,145 = Interest 789 + Dividend 5,344 + Other 12)</t>
      </text>
    </comment>
    <comment ref="O10" authorId="0" shapeId="0">
      <text>
        <t>Mindspace-REIT-Annual-Report-FY22.pdf p.173 Standalone P&amp;L; orig:'Other Income 24 11'</t>
      </text>
    </comment>
    <comment ref="Q10" authorId="0" shapeId="0">
      <text>
        <t>Mindspace | standalone FY2024
Mindspace-Business-Parks-REIT-Annual-Report-2024-25.pdf p.319 Standalone P&amp;L; orig:'Other income 6.90 (Rs. million)'</t>
      </text>
    </comment>
    <comment ref="R10" authorId="0" shapeId="0">
      <text>
        <t>Mindspace | standalone FY2025
Mindspace-Business-Parks-REIT-Annual-Report-2024-25.pdf p.319 Standalone P&amp;L; orig:'Other income 4.64 (Rs. million)'</t>
      </text>
    </comment>
    <comment ref="S10" authorId="0" shapeId="0">
      <text>
        <t>Mindspace | standalone FY2026
Standalone-Financials-Q4-FY26.pdf p.5 Standalone FY26; orig:'Miscellaneous income 53.35 (Rs. million)' [total income = interest 5,570.75 + dividend 7,262.79 + misc 53.35]</t>
      </text>
    </comment>
    <comment ref="E13" authorId="0" shapeId="0">
      <text>
        <t>1st-Annual-Report-2020-21-of-Mindspace-REIT.pdf p.~ Financial Highlights / Investor-Presentation_Q4-FY21-FY21-1.pdf p.2; orig:'Net Operating Income (NOI) FY21 13,741 (12.1% growth y-o-y)' [proforma full-year basis; audited statements have no NOI line]</t>
      </text>
    </comment>
    <comment ref="F13" authorId="0" shapeId="0">
      <text>
        <t>Mindspace-REIT-Annual-Report-FY22.pdf p.~ Financial Highlights / Investor-Presentation_Q4-FY2022-final-1305.pdf p.~ ; orig:'Net Operating Income (NOI) FY22 14,864 (8.2% y-o-y growth)'</t>
      </text>
    </comment>
    <comment ref="H13" authorId="0" shapeId="0">
      <text>
        <t>Mindspace | consolidated FY2024
Mindspace-Business-Parks-REIT-Annual-Report-2024-25.pdf p.~? KPI 'Net Operating Income'; orig:'18,959 (` Mn)'</t>
      </text>
    </comment>
    <comment ref="I13" authorId="0" shapeId="0">
      <text>
        <t>Mindspace | consolidated FY2025
Mindspace-Business-Parks-REIT-Annual-Report-2024-25.pdf KPI 'Net Operating Income'; orig:'20,616 (` Mn)'</t>
      </text>
    </comment>
    <comment ref="J13" authorId="0" shapeId="0">
      <text>
        <t>Mindspace | consolidated FY2026 (investor presentation)
Investor-Presentation_Q4-FY26.pdf p.6: 'FY26 NOI INR 26,636 Mn ... Up 29.2% Y-o-Y'; also p.55 financials 'Net Operating Income (NOI) 26,636' (full-year FY26 column); consolidated, FULL-YEAR yr ended 31-Mar-26. (Q4 FY26 NOI = 7,419 mn, separate.)</t>
      </text>
    </comment>
    <comment ref="E15" authorId="0" shapeId="0">
      <text>
        <t>1st-Annual-Report-2020-21-of-Mindspace-REIT.pdf p.195 Consol P&amp;L; orig:'Earnings/(loss) before finance costs, depreciation and amortization, regulatory income/expense and tax 8,466'</t>
      </text>
    </comment>
    <comment ref="F15" authorId="0" shapeId="0">
      <text>
        <t>Mindspace-REIT-Annual-Report-FY22.pdf p.223 Consol P&amp;L; orig:'Earnings before finance costs, depreciation and amortisation, regulatory income/expense, exceptional items and tax 13,843'</t>
      </text>
    </comment>
    <comment ref="H15" authorId="0" shapeId="0">
      <text>
        <t>Mindspace | consolidated FY2024
Mindspace-Business-Parks-REIT-Annual-Report-2024-25.pdf p.377 Consolidated P&amp;L; orig:'Earnings before finance costs, depreciation and amortisation, regulatory income/expense, exceptional items and tax 17,988.21 (Rs. million)'</t>
      </text>
    </comment>
    <comment ref="I15" authorId="0" shapeId="0">
      <text>
        <t>Mindspace | consolidated FY2025
Mindspace-Business-Parks-REIT-Annual-Report-2024-25.pdf p.377 Consolidated P&amp;L; orig:'...EBITDA 19,681.61 (Rs. million)'</t>
      </text>
    </comment>
    <comment ref="J15" authorId="0" shapeId="0">
      <text>
        <t>Mindspace | consolidated FY2026
MREIT-Console-Result-Q4.pdf p.5 Consolidated FY26; orig:'Earnings before finance costs, depreciation and amortisation, regulatory income / expense, exceptional items and tax 25,145.60 (Rs. million)'</t>
      </text>
    </comment>
    <comment ref="N15" authorId="0" shapeId="0">
      <text>
        <t>1st-Annual-Report-2020-21-of-Mindspace-REIT.pdf p.153 Standalone P&amp;L; orig:'Earnings/(loss) before finance costs, depreciation, amortization and tax 6,069'</t>
      </text>
    </comment>
    <comment ref="O15" authorId="0" shapeId="0">
      <text>
        <t>Mindspace-REIT-Annual-Report-FY22.pdf p.173 Standalone P&amp;L; orig:'Earnings before finance costs, depreciation, amortisation and tax 11,903'</t>
      </text>
    </comment>
    <comment ref="E17" authorId="0" shapeId="0">
      <text>
        <t>1st-Annual-Report-2020-21-of-Mindspace-REIT.pdf p.195 Consol P&amp;L; orig:'Finance costs 39 1,707'</t>
      </text>
    </comment>
    <comment ref="F17" authorId="0" shapeId="0">
      <text>
        <t>Mindspace-REIT-Annual-Report-FY22.pdf p.223 Consol P&amp;L; orig:'Finance costs 40 2,644'</t>
      </text>
    </comment>
    <comment ref="H17" authorId="0" shapeId="0">
      <text>
        <t>Mindspace | consolidated FY2024
Mindspace-Business-Parks-REIT-Annual-Report-2024-25.pdf p.377 Consolidated P&amp;L; orig:'Finance costs 4,566.32 (Rs. million)'</t>
      </text>
    </comment>
    <comment ref="I17" authorId="0" shapeId="0">
      <text>
        <t>Mindspace | consolidated FY2025
Mindspace-Business-Parks-REIT-Annual-Report-2024-25.pdf p.377 Consolidated P&amp;L; orig:'Finance costs 5,572.73 (Rs. million)'</t>
      </text>
    </comment>
    <comment ref="J17" authorId="0" shapeId="0">
      <text>
        <t>Mindspace | consolidated FY2026
MREIT-Console-Result-Q4.pdf p.5 Consolidated FY26; orig:'Finance costs 8,364.01 (Rs. million)'</t>
      </text>
    </comment>
    <comment ref="N17" authorId="0" shapeId="0">
      <text>
        <t>1st-Annual-Report-2020-21-of-Mindspace-REIT.pdf p.153 Standalone P&amp;L; orig:'Finance costs 23 230'</t>
      </text>
    </comment>
    <comment ref="O17" authorId="0" shapeId="0">
      <text>
        <t>Mindspace-REIT-Annual-Report-FY22.pdf p.173 Standalone P&amp;L; orig:'Finance costs 26 867'</t>
      </text>
    </comment>
    <comment ref="Q17" authorId="0" shapeId="0">
      <text>
        <t>Mindspace | standalone FY2024
Mindspace-Business-Parks-REIT-Annual-Report-2024-25.pdf p.319 Standalone P&amp;L; orig:'Finance cost 2,221.51 (Rs. million)'</t>
      </text>
    </comment>
    <comment ref="R17" authorId="0" shapeId="0">
      <text>
        <t>Mindspace | standalone FY2025
Mindspace-Business-Parks-REIT-Annual-Report-2024-25.pdf p.319 Standalone P&amp;L; orig:'Finance cost 3,480.33 (Rs. million)'</t>
      </text>
    </comment>
    <comment ref="S17" authorId="0" shapeId="0">
      <text>
        <t>Mindspace | standalone FY2026
Standalone-Financials-Q4-FY26.pdf p.5 Standalone FY26; orig:'Finance costs 5,293.02 (Rs. million)'</t>
      </text>
    </comment>
    <comment ref="E18" authorId="0" shapeId="0">
      <text>
        <t>1st-Annual-Report-2020-21-of-Mindspace-REIT.pdf p.195 Consol P&amp;L; orig:'Depreciation and amortization expense 40 1,964'</t>
      </text>
    </comment>
    <comment ref="F18" authorId="0" shapeId="0">
      <text>
        <t>Mindspace-REIT-Annual-Report-FY22.pdf p.223 Consol P&amp;L; orig:'Depreciation and amortisation expense 41 3,289'</t>
      </text>
    </comment>
    <comment ref="H18" authorId="0" shapeId="0">
      <text>
        <t>Mindspace | consolidated FY2024
Mindspace-Business-Parks-REIT-Annual-Report-2024-25.pdf p.377 Consolidated P&amp;L; orig:'Depreciation and amortisation expense 3,826.54 (Rs. million)'</t>
      </text>
    </comment>
    <comment ref="I18" authorId="0" shapeId="0">
      <text>
        <t>Mindspace | consolidated FY2025
Mindspace-Business-Parks-REIT-Annual-Report-2024-25.pdf p.377 Consolidated P&amp;L; orig:'Depreciation and amortisation expense 4,059.84 (Rs. million)'</t>
      </text>
    </comment>
    <comment ref="J18" authorId="0" shapeId="0">
      <text>
        <t>Mindspace | consolidated FY2026
MREIT-Console-Result-Q4.pdf p.5 Consolidated FY26; orig:'Depreciation and amortisation expense 4,789.80 (Rs. million)'</t>
      </text>
    </comment>
    <comment ref="N18" authorId="0" shapeId="0">
      <text>
        <t>1st-Annual-Report-2020-21-of-Mindspace-REIT.pdf p.153 Standalone P&amp;L; orig:'Depreciation and amortization expense -' (nil)</t>
      </text>
    </comment>
    <comment ref="O18" authorId="0" shapeId="0">
      <text>
        <t>Mindspace-REIT-Annual-Report-FY22.pdf p.173 Standalone P&amp;L; orig:'Depreciation and amortisation expense -' (nil)</t>
      </text>
    </comment>
    <comment ref="E19" authorId="0" shapeId="0">
      <text>
        <t>1st-Annual-Report-2020-21-of-Mindspace-REIT.pdf p.195 Consol P&amp;L; orig:'Profit/(loss) before tax 4,794'</t>
      </text>
    </comment>
    <comment ref="F19" authorId="0" shapeId="0">
      <text>
        <t>Mindspace-REIT-Annual-Report-FY22.pdf p.223 Consol P&amp;L; orig:'Profit before tax 7,143' (after exceptional items -843)</t>
      </text>
    </comment>
    <comment ref="H19" authorId="0" shapeId="0">
      <text>
        <t>Mindspace | consolidated FY2024
Mindspace-Business-Parks-REIT-Annual-Report-2024-25.pdf p.377 Consolidated P&amp;L; orig:'Profit before tax 9,106.11 (Rs. million)'</t>
      </text>
    </comment>
    <comment ref="I19" authorId="0" shapeId="0">
      <text>
        <t>Mindspace | consolidated FY2025
Mindspace-Business-Parks-REIT-Annual-Report-2024-25.pdf p.377 Consolidated P&amp;L; orig:'Profit before tax 9,681.53 (Rs. million)'</t>
      </text>
    </comment>
    <comment ref="J19" authorId="0" shapeId="0">
      <text>
        <t>Mindspace | consolidated FY2026
MREIT-Console-Result-Q4.pdf p.5 Consolidated FY26; orig:'Profit before tax 11,723.34 (Rs. million)'</t>
      </text>
    </comment>
    <comment ref="N19" authorId="0" shapeId="0">
      <text>
        <t>1st-Annual-Report-2020-21-of-Mindspace-REIT.pdf p.153 Standalone P&amp;L; orig:'Profit/(loss) before tax 5,839'</t>
      </text>
    </comment>
    <comment ref="O19" authorId="0" shapeId="0">
      <text>
        <t>Mindspace-REIT-Annual-Report-FY22.pdf p.173 Standalone P&amp;L; orig:'Profit before tax 11,036'</t>
      </text>
    </comment>
    <comment ref="Q19" authorId="0" shapeId="0">
      <text>
        <t>Mindspace | standalone FY2024
Mindspace-Business-Parks-REIT-Annual-Report-2024-25.pdf p.319 Standalone P&amp;L; orig:'Profit before tax 11,620.37 (Rs. million)'</t>
      </text>
    </comment>
    <comment ref="R19" authorId="0" shapeId="0">
      <text>
        <t>Mindspace | standalone FY2025
Mindspace-Business-Parks-REIT-Annual-Report-2024-25.pdf p.319 Standalone P&amp;L; orig:'Profit before tax 5,968.47 (Rs. million)'</t>
      </text>
    </comment>
    <comment ref="S19" authorId="0" shapeId="0">
      <text>
        <t>Mindspace | standalone FY2026
Standalone-Financials-Q4-FY26.pdf p.5 Standalone FY26; orig:'Profit before tax 7,293.19 (Rs. million)'</t>
      </text>
    </comment>
    <comment ref="E20" authorId="0" shapeId="0">
      <text>
        <t>1st-Annual-Report-2020-21-of-Mindspace-REIT.pdf p.195 Consol P&amp;L; orig:'Profit/(Loss) for the period/year 3,349'</t>
      </text>
    </comment>
    <comment ref="F20" authorId="0" shapeId="0">
      <text>
        <t>Mindspace-REIT-Annual-Report-FY22.pdf p.223 Consol P&amp;L; orig:'Profit for the year 4,473'</t>
      </text>
    </comment>
    <comment ref="H20" authorId="0" shapeId="0">
      <text>
        <t>Mindspace | consolidated FY2024
Mindspace-Business-Parks-REIT-Annual-Report-2024-25.pdf p.377 Consolidated P&amp;L; orig:'Profit for the year 5,612.38 (Rs. million)'</t>
      </text>
    </comment>
    <comment ref="I20" authorId="0" shapeId="0">
      <text>
        <t>Mindspace | consolidated FY2025
Mindspace-Business-Parks-REIT-Annual-Report-2024-25.pdf p.377 Consolidated P&amp;L; orig:'Profit for the year 5,137.46 (Rs. million)'</t>
      </text>
    </comment>
    <comment ref="J20" authorId="0" shapeId="0">
      <text>
        <t>Mindspace | consolidated FY2026
MREIT-Console-Result-Q4.pdf p.5 Consolidated FY26; orig:'Profit for the period / year 6,942.58 (Rs. million)'</t>
      </text>
    </comment>
    <comment ref="N20" authorId="0" shapeId="0">
      <text>
        <t>1st-Annual-Report-2020-21-of-Mindspace-REIT.pdf p.153 Standalone P&amp;L; orig:'Profit/(loss) for the period/year 5,834'</t>
      </text>
    </comment>
    <comment ref="O20" authorId="0" shapeId="0">
      <text>
        <t>Mindspace-REIT-Annual-Report-FY22.pdf p.173 Standalone P&amp;L; orig:'Profit for the year 11,030'</t>
      </text>
    </comment>
    <comment ref="Q20" authorId="0" shapeId="0">
      <text>
        <t>Mindspace | standalone FY2024
Mindspace-Business-Parks-REIT-Annual-Report-2024-25.pdf p.319 Standalone P&amp;L; orig:'Profit for the year 11,611.98 (Rs. million)'</t>
      </text>
    </comment>
    <comment ref="R20" authorId="0" shapeId="0">
      <text>
        <t>Mindspace | standalone FY2025
Mindspace-Business-Parks-REIT-Annual-Report-2024-25.pdf p.319 Standalone P&amp;L; orig:'Profit for the year 5,915.86 (Rs. million)'</t>
      </text>
    </comment>
    <comment ref="S20" authorId="0" shapeId="0">
      <text>
        <t>Mindspace | standalone FY2026
Standalone-Financials-Q4-FY26.pdf p.5 Standalone FY26; orig:'Profit for the period/year 7,246.00 (Rs. million)'</t>
      </text>
    </comment>
    <comment ref="E23" authorId="0" shapeId="0">
      <text>
        <t>1st-Annual-Report-2020-21-of-Mindspace-REIT.pdf p.~ Statement of NDCF; orig:'Net Distributable Cash Flows (NDCF) 5,706' [disclosed from 1 Oct 2020, first distribution period]</t>
      </text>
    </comment>
    <comment ref="F23" authorId="0" shapeId="0">
      <text>
        <t>Mindspace-REIT-Annual-Report-FY22.pdf p.~ Statement of NDCF; orig:'Net Distributable Cash Flows (NDCF) 10,984' (FY21 comp 5,706)</t>
      </text>
    </comment>
    <comment ref="H23" authorId="0" shapeId="0">
      <text>
        <t>Mindspace | consolidated FY2024
Mindspace-Business-Parks-REIT-Annual-Report-2023-24.pdf p.~? Standalone NDCF statement; orig:'Net Distributable Cash Flows (NDCF) 11,430 (H millions)' [Trust level]</t>
      </text>
    </comment>
    <comment ref="I23" authorId="0" shapeId="0">
      <text>
        <t>Mindspace | consolidated FY2025
Mindspace-Business-Parks-REIT-Annual-Report-2024-25.pdf p.324 NDCF; orig:'NDCF at Trust Level 13,214.35 (` million)'</t>
      </text>
    </comment>
    <comment ref="J23" authorId="0" shapeId="0">
      <text>
        <t>Mindspace | consolidated FY2026
MREIT-Console-Result-Q4.pdf p.17 Statement of NDCF FY ended 31 Mar 2026; orig:'NDCF at Trust Level 15,287.78 (Rs. million)'</t>
      </text>
    </comment>
    <comment ref="E24" authorId="0" shapeId="0">
      <text>
        <t>Investor-Presentation_Q4-FY21-FY21-1.pdf p.2 Financial Highlights; orig:'Distribution for H2 FY21 INR 5,687 Mn (INR 9.59 p.u.)' [REIT listed Aug 2020; distributions from Oct 2020]</t>
      </text>
    </comment>
    <comment ref="F24" authorId="0" shapeId="0">
      <text>
        <t>Investor-Presentation_Q4-FY2022-final-1305.pdf p.2 Financial Highlights; orig:'Distribution for FY22 INR 10,941 Mn (INR 18.4 p.u.)'</t>
      </text>
    </comment>
    <comment ref="H24" authorId="0" shapeId="0">
      <text>
        <t>Mindspace | consolidated FY2024
Mindspace-HYR-2025-26-1.pdf p.~? 5-yr Distribution chart; orig:'Distribution 11,362 (` in Mn)' for FY24</t>
      </text>
    </comment>
    <comment ref="I24" authorId="0" shapeId="0">
      <text>
        <t>Mindspace | consolidated FY2025
Mindspace-Business-Parks-REIT-Annual-Report-2024-25.pdf KPI 'Total Distribution in FY25'; orig:'` 13,121 Mn'</t>
      </text>
    </comment>
    <comment ref="J24" authorId="0" shapeId="0">
      <text>
        <t>Mindspace | consolidated FY2026
MREIT-Console-Result-Q4.pdf p.17 NDCF note 1; orig:'cumulative distribution for the year ended 31 March 2026 aggregates to Rs. 24.09 per unit (Rs. 15,163.56 million)'</t>
      </text>
    </comment>
    <comment ref="E25" authorId="0" shapeId="0">
      <text>
        <t>1st-Annual-Report-2020-21-of-Mindspace-REIT.pdf p.~ NDCF note; orig:'cumulative distribution for the year ended 31 March 2021 aggregates to ` 9.59 per unit' (INR/unit)</t>
      </text>
    </comment>
    <comment ref="F25" authorId="0" shapeId="0">
      <text>
        <t>Mindspace-REIT-Annual-Report-FY22.pdf p.~ NDCF note; orig:'cumulative distribution for the year ended 31 March 2022 aggregates to C 18.45 per unit'</t>
      </text>
    </comment>
    <comment ref="H25" authorId="0" shapeId="0">
      <text>
        <t>Mindspace | consolidated FY2024
Mindspace-Business-Parks-REIT-Annual-Report-2023-24.pdf NDCF note; orig:'cumulative distribution for the year ended March 31, 2024 aggregates to H 19.16 per unit'</t>
      </text>
    </comment>
    <comment ref="I25" authorId="0" shapeId="0">
      <text>
        <t>Mindspace | consolidated FY2025
Mindspace-Business-Parks-REIT-Annual-Report-2024-25.pdf p.325 NDCF note 1; orig:'cumulative distribution for the year ended March 31, 2025 aggregates to ` 21.95 per unit'</t>
      </text>
    </comment>
    <comment ref="J25" authorId="0" shapeId="0">
      <text>
        <t>Mindspace | consolidated FY2026
MREIT-Console-Result-Q4.pdf p.17 NDCF note 1; orig:'cumulative distribution for the year ended 31 March 2026 aggregates to Rs. 24.09 per unit'</t>
      </text>
    </comment>
    <comment ref="E28" authorId="0" shapeId="0">
      <text>
        <t>1st-Annual-Report-2020-21-of-Mindspace-REIT.pdf p.~ Statement of Net Assets at fair value; orig:'Fair value of real estate assets (A) 2,46,167' (Rs million; Market Value c.INR 246 bn)</t>
      </text>
    </comment>
    <comment ref="F28" authorId="0" shapeId="0">
      <text>
        <t>Mindspace-REIT-Annual-Report-FY22.pdf p.103 Computation of NAV from GAV; orig:'Fair Value of Real Estate Assets 2,63,996' (Market Value INR 264 Bn)</t>
      </text>
    </comment>
    <comment ref="G28" authorId="0" shapeId="0">
      <text>
        <t>Investor-Presentation_Q4-FY2023-1.pdf slide 25; orig:'Market value as of 31 Mar 23' — GAV ₹280,265 mn (INR cr)</t>
      </text>
    </comment>
    <comment ref="H28" authorId="0" shapeId="0">
      <text>
        <t>Mindspace | consolidated FY2024
Mindspace-Business-Parks-REIT-Annual-Report-2023-24.pdf p.~? snapshot; orig:'Market Value / Gross Asset Value ` 299 BN (as of March 31, 2024)'</t>
      </text>
    </comment>
    <comment ref="I28" authorId="0" shapeId="0">
      <text>
        <t>Mindspace | consolidated FY2025
Mindspace-Business-Parks-REIT-Annual-Report-2024-25.pdf p.~? snapshot/KPI; orig:'` 366 Bn' Market Value (as of March 31, 2025)</t>
      </text>
    </comment>
    <comment ref="J28" authorId="0" shapeId="0">
      <text>
        <t>Mindspace | consolidated FY2026
MREIT-Console-Result-Q4.pdf p.14 Statement of Net Assets at Fair Value as at 31 Mar 2026, project-wise fair value of property assets total; orig:'Total [fair value of property assets] 4,97,116.10 (Rs. million)'; [Total Assets at fair value = 5,15,375.40]</t>
      </text>
    </comment>
    <comment ref="E29" authorId="0" shapeId="0">
      <text>
        <t>1st-Annual-Report-2020-21-of-Mindspace-REIT.pdf p.194 Consol Balance Sheet; orig:'Borrowings (non-current) 33,489 + Borrowings (current) 2,574 = 36,063'</t>
      </text>
    </comment>
    <comment ref="F29" authorId="0" shapeId="0">
      <text>
        <t>Mindspace-REIT-Annual-Report-FY22.pdf p.222 Consol Balance Sheet; orig:'Borrowings non-current 35,357 + current 9,123 = 44,480'</t>
      </text>
    </comment>
    <comment ref="G29" authorId="0" shapeId="0">
      <text>
        <t>Mindspace FY23 consolidated financials — gross borrowings ₹54,535 mn (INR cr)</t>
      </text>
    </comment>
    <comment ref="H29" authorId="0" shapeId="0">
      <text>
        <t>Mindspace | consolidated FY2024
Mindspace-Business-Parks-REIT-Annual-Report-2024-25.pdf p.376 Consolidated BS; orig:'Non-current Borrowings 48,836.00 + Current Borrowings 20,892.11 (Rs. million)'</t>
      </text>
    </comment>
    <comment ref="I29" authorId="0" shapeId="0">
      <text>
        <t>Mindspace | consolidated FY2025
Mindspace-Business-Parks-REIT-Annual-Report-2024-25.pdf p.376 Consolidated BS; orig:'Non-current Borrowings 86,105.26 + Current Borrowings 14,992.56 (Rs. million)'</t>
      </text>
    </comment>
    <comment ref="J29" authorId="0" shapeId="0">
      <text>
        <t>Mindspace | consolidated FY2026
MREIT-Console-Result-Q4.pdf p.8 Consolidated Statement of Assets &amp; Liabilities as at 31 Mar 2026; orig:'Non-current Borrowings 94,539.15 + Current Borrowings 35,222.50 (Rs. million)'</t>
      </text>
    </comment>
    <comment ref="N29" authorId="0" shapeId="0">
      <text>
        <t>1st-Annual-Report-2020-21-of-Mindspace-REIT.pdf p.152 Standalone Balance Sheet; orig:'Borrowings (non-current) 14 11,425' (no current borrowings)</t>
      </text>
    </comment>
    <comment ref="O29" authorId="0" shapeId="0">
      <text>
        <t>Mindspace-REIT-Annual-Report-FY22.pdf p.172 Standalone Balance Sheet; orig:'Borrowings non-current 11,422 + current 4,997 = 16,419'</t>
      </text>
    </comment>
    <comment ref="Q29" authorId="0" shapeId="0">
      <text>
        <t>Mindspace | standalone FY2024
Mindspace-Business-Parks-REIT-Annual-Report-2024-25.pdf p.318 Standalone BS; orig:'Non-current Borrowings 23,804.89 + Current Borrowings 10,931.12 (Rs. million)'</t>
      </text>
    </comment>
    <comment ref="R29" authorId="0" shapeId="0">
      <text>
        <t>Mindspace | standalone FY2025
Mindspace-Business-Parks-REIT-Annual-Report-2024-25.pdf p.318 Standalone BS; orig:'Non-current Borrowings 40,294.30 + Current Borrowings 5,861.31 (Rs. million)'</t>
      </text>
    </comment>
    <comment ref="S29" authorId="0" shapeId="0">
      <text>
        <t>Mindspace | standalone FY2026
Standalone-Financials-Q4-FY26.pdf p.6 Standalone Statement of Assets &amp; Liabilities as at 31 Mar 2026; orig:'Non-current Borrowings 63,520.84 + Current Borrowings 24,014.45 (Rs. million)'</t>
      </text>
    </comment>
    <comment ref="E30" authorId="0" shapeId="0">
      <text>
        <t>1st-Annual-Report-2020-21-of-Mindspace-REIT.pdf p.194 Consol Balance Sheet; orig:'Cash and cash equivalents 16A 3,539'</t>
      </text>
    </comment>
    <comment ref="F30" authorId="0" shapeId="0">
      <text>
        <t>Mindspace-REIT-Annual-Report-FY22.pdf p.222 Consol Balance Sheet; orig:'Cash and cash equivalents 16A 3,478'</t>
      </text>
    </comment>
    <comment ref="G30" authorId="0" shapeId="0">
      <text>
        <t>Mindspace annual report FY23 MD&amp;A; orig:'As of March 31, 2023 our cash and cash equivalents stood at ₹4,062 million' (INR cr)</t>
      </text>
    </comment>
    <comment ref="H30" authorId="0" shapeId="0">
      <text>
        <t>Mindspace | consolidated FY2024
Mindspace-Business-Parks-REIT-Annual-Report-2024-25.pdf p.376 Consolidated BS; orig:'Cash and cash equivalents 3,249.96 (Rs. million)'</t>
      </text>
    </comment>
    <comment ref="I30" authorId="0" shapeId="0">
      <text>
        <t>Mindspace | consolidated FY2025
Mindspace-Business-Parks-REIT-Annual-Report-2024-25.pdf p.376 Consolidated BS; orig:'Cash and cash equivalents 6,379.31 (Rs. million)'</t>
      </text>
    </comment>
    <comment ref="J30" authorId="0" shapeId="0">
      <text>
        <t>Mindspace | consolidated FY2026
MREIT-Console-Result-Q4.pdf p.12 Consolidated Cash Flow components (BS line, image-only); orig:'cash on hand 2.79 + current accounts 6,937.10 + deposits&lt;3m 5,210.95 + overnight MF 25.06 = 12,175.90 (Rs. million)' [gross, excl bank overdraft; method validated on FY25]</t>
      </text>
    </comment>
    <comment ref="N30" authorId="0" shapeId="0">
      <text>
        <t>1st-Annual-Report-2020-21-of-Mindspace-REIT.pdf p.152 Standalone Balance Sheet; orig:'Cash and cash equivalents 8 2,938'</t>
      </text>
    </comment>
    <comment ref="O30" authorId="0" shapeId="0">
      <text>
        <t>Mindspace-REIT-Annual-Report-FY22.pdf p.172 Standalone Balance Sheet; orig:'Cash and cash equivalents 10 2,814'</t>
      </text>
    </comment>
    <comment ref="Q30" authorId="0" shapeId="0">
      <text>
        <t>Mindspace | standalone FY2024
Mindspace-Business-Parks-REIT-Annual-Report-2024-25.pdf p.318 Standalone BS; orig:'Cash and cash equivalents 3,037.81 (Rs. million)'</t>
      </text>
    </comment>
    <comment ref="R30" authorId="0" shapeId="0">
      <text>
        <t>Mindspace | standalone FY2025
Mindspace-Business-Parks-REIT-Annual-Report-2024-25.pdf p.318 Standalone BS; orig:'Cash and cash equivalents 281.75 (Rs. million)'</t>
      </text>
    </comment>
    <comment ref="S30" authorId="0" shapeId="0">
      <text>
        <t>Mindspace | standalone FY2026
Standalone-Financials-Q4-FY26.pdf p.6 Standalone BS as at 31 Mar 2026; orig:'Cash and cash equivalents 1,224.89 (Rs. million)'</t>
      </text>
    </comment>
    <comment ref="E32" authorId="0" shapeId="0">
      <text>
        <t>1st-Annual-Report-2020-21-of-Mindspace-REIT.pdf p.194 Consol Balance Sheet; orig:'Equity attributable to unit holders of the Mindspace REIT 163,030' (total equity incl NCI 172,134)</t>
      </text>
    </comment>
    <comment ref="F32" authorId="0" shapeId="0">
      <text>
        <t>Mindspace-REIT-Annual-Report-FY22.pdf p.222 Consol Balance Sheet; orig:'Equity attributable to unit holders of the Mindspace REIT 156,205' (total equity incl NCI 164,712)</t>
      </text>
    </comment>
    <comment ref="H32" authorId="0" shapeId="0">
      <text>
        <t>Mindspace | consolidated FY2024
Mindspace-Business-Parks-REIT-Annual-Report-2024-25.pdf p.376 Consolidated BS; orig:'Total equity 149,285.41 (Rs. million)'</t>
      </text>
    </comment>
    <comment ref="I32" authorId="0" shapeId="0">
      <text>
        <t>Mindspace | consolidated FY2025
Mindspace-Business-Parks-REIT-Annual-Report-2024-25.pdf p.376 Consolidated BS; orig:'Total equity 148,105.50 (Rs. million)'</t>
      </text>
    </comment>
    <comment ref="J32" authorId="0" shapeId="0">
      <text>
        <t>Mindspace | consolidated FY2026
MREIT-Console-Result-Q4.pdf p.8 Consolidated BS as at 31 Mar 2026; orig:'Total equity 1,57,968.31 (Rs. million)'</t>
      </text>
    </comment>
    <comment ref="N32" authorId="0" shapeId="0">
      <text>
        <t>1st-Annual-Report-2020-21-of-Mindspace-REIT.pdf p.152 Standalone Balance Sheet; orig:'Total equity 165,789'</t>
      </text>
    </comment>
    <comment ref="O32" authorId="0" shapeId="0">
      <text>
        <t>Mindspace-REIT-Annual-Report-FY22.pdf p.172 Standalone Balance Sheet; orig:'Total equity 165,758'</t>
      </text>
    </comment>
    <comment ref="Q32" authorId="0" shapeId="0">
      <text>
        <t>Mindspace | standalone FY2024
Mindspace-Business-Parks-REIT-Annual-Report-2024-25.pdf p.318 Standalone BS; orig:'Total equity 166,267.54 (Rs. million)'</t>
      </text>
    </comment>
    <comment ref="R32" authorId="0" shapeId="0">
      <text>
        <t>Mindspace | standalone FY2025
Mindspace-Business-Parks-REIT-Annual-Report-2024-25.pdf p.318 Standalone BS; orig:'Total equity 166,282.21 (Rs. million)'</t>
      </text>
    </comment>
    <comment ref="S32" authorId="0" shapeId="0">
      <text>
        <t>Mindspace | standalone FY2026
Standalone-Financials-Q4-FY26.pdf p.6 Standalone BS as at 31 Mar 2026; orig:'Total equity 1,76,936.75 (Rs. million)'</t>
      </text>
    </comment>
    <comment ref="E34" authorId="0" shapeId="0">
      <text>
        <t>1st-Annual-Report-2020-21-of-Mindspace-REIT.pdf p.~ Statement of Net Assets at fair value; orig:'Net Asset Value (` per unit) 345.2'</t>
      </text>
    </comment>
    <comment ref="F34" authorId="0" shapeId="0">
      <text>
        <t>Mindspace-REIT-Annual-Report-FY22.pdf p.103 Computation of NAV; orig:'NAV C 364.9 p.u.' (NAV 2,16,416 / 593 mn units)</t>
      </text>
    </comment>
    <comment ref="H34" authorId="0" shapeId="0">
      <text>
        <t>Mindspace | consolidated FY2024
Mindspace-Business-Parks-REIT-Annual-Report-2024-25.pdf KPI / Mindspace-Business-Parks-REIT-Annual-Report-2023-24.pdf snapshot; orig:'NAV per Unit ` 380.5'</t>
      </text>
    </comment>
    <comment ref="I34" authorId="0" shapeId="0">
      <text>
        <t>Mindspace | consolidated FY2025
Mindspace-Business-Parks-REIT-Annual-Report-2024-25.pdf KPI; orig:'NAV per Unit ` 431.7' (also MREIT-Console-Result-Q4.pdf p.14 NAV fair value 431.70)</t>
      </text>
    </comment>
    <comment ref="J34" authorId="0" shapeId="0">
      <text>
        <t>Mindspace | consolidated FY2026
MREIT-Console-Result-Q4.pdf p.14 Statement of Net Assets at Fair Value as at 31 Mar 2026; orig:'NAV per unit (fair value) 527.01 (Rs. per unit)'</t>
      </text>
    </comment>
    <comment ref="E36" authorId="0" shapeId="0">
      <text>
        <t>1st-Annual-Report-2020-21-of-Mindspace-REIT.pdf p.~; orig:'Number of units 593,018,182' (=593.02 mn units)</t>
      </text>
    </comment>
    <comment ref="F36" authorId="0" shapeId="0">
      <text>
        <t>Mindspace-REIT-Annual-Report-FY22.pdf p.103 NAV computation; orig:'No. of Units (Mn) 593' (NAV basis; total units issued 556,654,582 pre-Jul21, weighted avg basis)</t>
      </text>
    </comment>
    <comment ref="H36" authorId="0" shapeId="0">
      <text>
        <t>Mindspace | consolidated FY2024
Mindspace-Business-Parks-REIT-Annual-Report-2023-24.pdf p.~? EPU note; orig:'Weighted average number of Units 593,018,182' (=593.02 Mn)</t>
      </text>
    </comment>
    <comment ref="I36" authorId="0" shapeId="0">
      <text>
        <t>Mindspace | consolidated FY2025
MREIT-Console-Result-Q4.pdf p.14 Net Assets statement; orig:'No. of Units 60,91,83,634' (=609.18 Mn); also AR2024-25 '609 Mn'</t>
      </text>
    </comment>
    <comment ref="J36" authorId="0" shapeId="0">
      <text>
        <t>Mindspace | consolidated FY2026
MREIT-Console-Result-Q4.pdf p.14 Net Assets statement as at 31 Mar 2026; orig:'No. of Units 64,83,42,976' (=648.34 Mn)</t>
      </text>
    </comment>
    <comment ref="F37" authorId="0" shapeId="0">
      <text>
        <t>REIT_Tableau_Ready_1.xlsx 'Prices' sheet; exchange close ~31-Mar-2022</t>
      </text>
    </comment>
    <comment ref="G37" authorId="0" shapeId="0">
      <text>
        <t>REIT_Tableau_Ready_1.xlsx 'Prices' sheet; exchange close ~31-Mar-2023</t>
      </text>
    </comment>
    <comment ref="H37" authorId="0" shapeId="0">
      <text>
        <t>Mindspace | Unit Price FY2024
REIT_Tableau_Ready_1.xlsx 'Prices' sheet; exchange close on 2024-03-28 (last trading day on/before 31-Mar). [replaced approximation 345.4]</t>
      </text>
    </comment>
    <comment ref="I37" authorId="0" shapeId="0">
      <text>
        <t>Mindspace | Unit Price FY2025
REIT_Tableau_Ready_1.xlsx 'Prices' sheet; exchange close on 2025-03-28 (last trading day on/before 31-Mar). [replaced approximation 375]</t>
      </text>
    </comment>
    <comment ref="J37" authorId="0" shapeId="0">
      <text>
        <t>Mindspace | Unit Price FY2026
REIT_Tableau_Ready_1.xlsx 'Prices' sheet; exchange close on 2026-03-30 (last trading day on/before 31-Mar). [replaced approximation 467.1]</t>
      </text>
    </comment>
    <comment ref="E40" authorId="0" shapeId="0">
      <text>
        <t>1st-Annual-Report-2020-21-of-Mindspace-REIT.pdf p.~ Weighted Average Cost of Debt; orig:'7.1% in March 2021 (down from 9.2% Mar 2020)' (%)</t>
      </text>
    </comment>
    <comment ref="F40" authorId="0" shapeId="0">
      <text>
        <t>Mindspace-REIT-Annual-Report-FY22.pdf p.~ MD&amp;A; orig:'cost of borrowings reduced to 6.6% in March 31, 2022 (from 9.2% Mar 2020)'</t>
      </text>
    </comment>
    <comment ref="G40" authorId="0" shapeId="0">
      <text>
        <t>Investor-Presentation_Q4-FY2023-1.pdf slide 6 &amp; 25; orig:'7.6% Weighted Average Cost of debt as of 31 Mar 23 (Mar 22 – 6.6%)' (%)</t>
      </text>
    </comment>
    <comment ref="H40" authorId="0" shapeId="0">
      <text>
        <t>Mindspace | consolidated FY2024
Mindspace-Business-Parks-REIT-Annual-Report-2023-24.pdf MD&amp;A; orig:'weighted average cost of debt stands at c.7.8%'</t>
      </text>
    </comment>
    <comment ref="I40" authorId="0" shapeId="0">
      <text>
        <t>Mindspace | consolidated FY2025
Mindspace-Business-Parks-REIT-Annual-Report-2024-25.pdf MD&amp;A; orig:'weighted average cost of borrowings stood at 8.15% at the [end of] FY25'</t>
      </text>
    </comment>
    <comment ref="J40" authorId="0" shapeId="0">
      <text>
        <t>Mindspace | consolidated FY2026 (investor presentation)
Investor-Presentation_Q4-FY26.pdf p.~ (Cost of Debt as on 31 Mar 26): '7.41% p.a.p.m. (AAA rated)'; as-at 31-Mar-26. %.
[updated to 31-Mar-2026 year-end value; replaced earlier H1/interim figure 0.07519999999999999]</t>
      </text>
    </comment>
    <comment ref="E42" authorId="0" shapeId="0">
      <text>
        <t>Investor-Presentation_Q4-FY21-FY21-1.pdf p.12 Portfolio Overview; orig:'30.2 msf Total Leasable Area' (=23.9 completed + 2.1 UC + 4.3 future)</t>
      </text>
    </comment>
    <comment ref="F42" authorId="0" shapeId="0">
      <text>
        <t>Investor-Presentation_Q4-FY2022-final-1305.pdf p.13 Portfolio Overview; orig:'31.8 msf Total Leasable Area' (=24.2 completed + 3.0 UC + 4.6 future)</t>
      </text>
    </comment>
    <comment ref="G42" authorId="0" shapeId="0">
      <text>
        <t>Investor-Presentation_Q4-FY2023-1.pdf portfolio overview; orig:'32.0 msf Total Leasable Area — comprises 25.8 msf Completed, 2.5 msf Under-Construction and 3.7 msf Future Development' (Msf)</t>
      </text>
    </comment>
    <comment ref="H42" authorId="0" shapeId="0">
      <text>
        <t>Mindspace | consolidated FY2024
Mindspace-Business-Parks-REIT-Annual-Report-2023-24.pdf snapshot 31 Mar 2024; orig:'33.2 MSF Total Leasable Area'</t>
      </text>
    </comment>
    <comment ref="I42" authorId="0" shapeId="0">
      <text>
        <t>Mindspace | consolidated FY2025
Mindspace-Business-Parks-REIT-Annual-Report-2024-25.pdf snapshot 31 Mar 2025; orig:'37.1 MSF Total Leasable Area'</t>
      </text>
    </comment>
    <comment ref="J42" authorId="0" shapeId="0">
      <text>
        <t>Mindspace | consolidated FY2026
Mindspace-HYR-2025-26-1.pdf 5-yr metrics; orig:'38.2 (MSF) Total Leasable Area' [H1 FY26 as of 30 Sep 2025 - latest available]</t>
      </text>
    </comment>
    <comment ref="E43" authorId="0" shapeId="0">
      <text>
        <t>1st-Annual-Report-2020-21-of-Mindspace-REIT.pdf p.3 at a glance / Investor-Presentation_Q4-FY21-FY21-1.pdf p.12; orig:'23.9 msf Completed Area'</t>
      </text>
    </comment>
    <comment ref="F43" authorId="0" shapeId="0">
      <text>
        <t>Investor-Presentation_Q4-FY2022-final-1305.pdf p.13 fn1; orig:'Comprises 24.2 msf Completed Area'</t>
      </text>
    </comment>
    <comment ref="G43" authorId="0" shapeId="0">
      <text>
        <t>Investor-Presentation_Q4-FY2023-1.pdf portfolio overview; orig:'32.0 msf Total Leasable Area — comprises 25.8 msf Completed, 2.5 msf Under-Construction and 3.7 msf Future Development' (Msf)</t>
      </text>
    </comment>
    <comment ref="H43" authorId="0" shapeId="0">
      <text>
        <t>Mindspace | consolidated FY2024
Mindspace-Business-Parks-REIT-Annual-Report-2023-24.pdf snapshot 31 Mar 2024; orig:'26.3 MSF Completed Area'</t>
      </text>
    </comment>
    <comment ref="I43" authorId="0" shapeId="0">
      <text>
        <t>Mindspace | consolidated FY2025
Mindspace-Business-Parks-REIT-Annual-Report-2024-25.pdf snapshot 31 Mar 2025; orig:'30.0 MSF Completed Area'</t>
      </text>
    </comment>
    <comment ref="J43" authorId="0" shapeId="0">
      <text>
        <t>Mindspace | consolidated FY2026 (2nd pass)
Mindspace-HYR-2025-26-1.pdf p.8 Performance Snapshot; orig:'31.0 MSF Completed Area'; unit Msf; as-at 30 Sep 2025 (H1 FY26)</t>
      </text>
    </comment>
    <comment ref="E44" authorId="0" shapeId="0">
      <text>
        <t>Investor-Presentation_Q4-FY21-FY21-1.pdf p.12 fn1; orig:'2.1 msf Under-Construction + 4.3 msf Future Development = 6.4 msf'</t>
      </text>
    </comment>
    <comment ref="F44" authorId="0" shapeId="0">
      <text>
        <t>Investor-Presentation_Q4-FY2022-final-1305.pdf p.13 fn1; orig:'3.0 msf Under-Construction + 4.6 msf Future Development = 7.6 msf'</t>
      </text>
    </comment>
    <comment ref="G44" authorId="0" shapeId="0">
      <text>
        <t>Investor-Presentation_Q4-FY2023-1.pdf portfolio overview; orig:'32.0 msf Total Leasable Area — comprises 25.8 msf Completed, 2.5 msf Under-Construction and 3.7 msf Future Development' (Msf)</t>
      </text>
    </comment>
    <comment ref="H44" authorId="0" shapeId="0">
      <text>
        <t>Mindspace | consolidated FY2024 (2nd pass)
Mindspace-Business-Parks-REIT-Annual-Report-2023-24.pdf p.9 Portfolio Snapshot 'Portfolio Total' Under Construction &amp; Future Development Area column; orig:'Portfolio Total 33.2 26.3 7.0 ...' (Under Construction &amp; Future = 7.0 msf); unit Msf; as-at 31 Mar 2024</t>
      </text>
    </comment>
    <comment ref="I44" authorId="0" shapeId="0">
      <text>
        <t>Mindspace | consolidated FY2025 (2nd pass)
Derived: GLA 37.1 - Completed 30.0 = 7.1 Msf (Mindspace-Business-Parks-REIT-Annual-Report-2024-25.pdf p.6 'A Snapshot' 37.1 Total Leasable, 30.0 Completed). Snapshot does not state a single 'under construction &amp; future' figure for FY25; computed. as-at 31 Mar 2025</t>
      </text>
    </comment>
    <comment ref="J44" authorId="0" shapeId="0">
      <text>
        <t>Mindspace | consolidated FY2026 (2nd pass)
Derived: GLA 38.2 - Completed 31.0 = 7.2 Msf (Mindspace-HYR-2025-26-1.pdf p.8 Performance Snapshot). Not stated as a single line; computed. as-at 30 Sep 2025 (H1 FY26)</t>
      </text>
    </comment>
    <comment ref="E45" authorId="0" shapeId="0">
      <text>
        <t>Investor-Presentation_Q4-FY21-FY21-1.pdf p.12 Portfolio Overview; orig:'84.2% Committed Occupancy' (rounded whole %; same-store 86.8%)</t>
      </text>
    </comment>
    <comment ref="F45" authorId="0" shapeId="0">
      <text>
        <t>Investor-Presentation_Q4-FY2022-final-1305.pdf p.13 Portfolio Overview; orig:'84.3% Committed Occupancy on 24.2 msf' (rounded; same-store 84.2%)</t>
      </text>
    </comment>
    <comment ref="H45" authorId="0" shapeId="0">
      <text>
        <t>Mindspace | consolidated FY2024
Mindspace-Business-Parks-REIT-Annual-Report-2024-25.pdf KPI / Mindspace-Business-Parks-REIT-Annual-Report-2023-24.pdf; orig:'Committed Occupancy 90.6%' (FY24)</t>
      </text>
    </comment>
    <comment ref="I45" authorId="0" shapeId="0">
      <text>
        <t>Mindspace | consolidated FY2025
Mindspace-Business-Parks-REIT-Annual-Report-2024-25.pdf KPI; orig:'Committed Occupancy 93.0%' (FY25)</t>
      </text>
    </comment>
    <comment ref="J45" authorId="0" shapeId="0">
      <text>
        <t>Mindspace | consolidated FY2026 (investor presentation)
Investor-Presentation_Q4-FY26.pdf p.58 Portfolio Summary: 'Portfolio Total ... Committed Occupancy 94.0%' as-at 31-Mar-26 (incl Pocharam). NB headline 95.7% is ex-Pocharam. Whole-number = 94.
[updated to 31-Mar-2026 year-end value; replaced earlier H1/interim figure 0.938]</t>
      </text>
    </comment>
    <comment ref="H46" authorId="0" shapeId="0">
      <text>
        <t>Mindspace | consolidated FY2024 (2nd pass)
Mindspace-Business-Parks-REIT-Annual-Report-2023-24.pdf p.9 Portfolio Snapshot 'Portfolio Total' Occupancy on area (%) column; orig:'Portfolio Total 33.2 26.3 7.0 83.8% 88.6% 6.8 ...' i.e. in-place/occupied-on-area 83.8% vs committed 88.6%. unit %; as-at 31 Mar 2024</t>
      </text>
    </comment>
    <comment ref="I46" authorId="0" shapeId="0">
      <text>
        <t>Mindspace | consolidated FY2025 (investor presentation)
Investor-Presentation_Q4FY2025.pdf p.~? (Portfolio Summary asset table), 'Portfolio Total ... Occupancy (%) 84.1%' (physical/in-place occupancy column, distinct from Committed Occupancy 91.2%); as-at 31-Mar-25. Whole-number = 84.</t>
      </text>
    </comment>
    <comment ref="J46" authorId="0" shapeId="0">
      <text>
        <t>Mindspace | consolidated FY2026 (investor presentation)
Investor-Presentation_Q4-FY26.pdf p.58 (Portfolio Summary table, 'As of 31-Mar-26'): 'Portfolio Total ... Occupancy (%) 90.9%' (physical/in-place column, vs Committed 94.0%); as-at 31-Mar-26. Whole-number = 91 (90.9% exact).</t>
      </text>
    </comment>
    <comment ref="E47" authorId="0" shapeId="0">
      <text>
        <t>Investor-Presentation_Q4-FY21-FY21-1.pdf p.12 Portfolio Overview; orig:'6.0 years WALE'</t>
      </text>
    </comment>
    <comment ref="F47" authorId="0" shapeId="0">
      <text>
        <t>Investor-Presentation_Q4-FY2022-final-1305.pdf p.13 Portfolio Overview; orig:'6.9 years WALE'</t>
      </text>
    </comment>
    <comment ref="H47" authorId="0" shapeId="0">
      <text>
        <t>Mindspace | consolidated FY2024
Mindspace-Business-Parks-REIT-Annual-Report-2023-24.pdf snapshot 31 Mar 2024; orig:'6.8 YEARS WALE'</t>
      </text>
    </comment>
    <comment ref="I47" authorId="0" shapeId="0">
      <text>
        <t>Mindspace | consolidated FY2025
Mindspace-Business-Parks-REIT-Annual-Report-2024-25.pdf snapshot 31 Mar 2025; orig:'7.4 YEARS WALE'</t>
      </text>
    </comment>
    <comment ref="J47" authorId="0" shapeId="0">
      <text>
        <t>Mindspace | consolidated FY2026 (investor presentation)
Investor-Presentation_Q4-FY26.pdf p.58 Portfolio Summary: 'Portfolio Total ... WALE 7.1 years'; slide header states '32.0 msf Completed area with WALE of 7.2 years'; as-at 31-Mar-26. years.
[updated to 31-Mar-2026 year-end value; replaced earlier H1/interim figure 7.4]</t>
      </text>
    </comment>
    <comment ref="E48" authorId="0" shapeId="0">
      <text>
        <t>1st-Annual-Report-2020-21-of-Mindspace-REIT.pdf p.3 at a glance; orig:'160+ Marquee tenants' (as on 31 Mar 2021)</t>
      </text>
    </comment>
    <comment ref="F48" authorId="0" shapeId="0">
      <text>
        <t>Investor-Presentation_Q4-FY2022-final-1305.pdf p.~ Leasing summary; orig:'Total 716' (total tenants as on 31 Mar 2022)</t>
      </text>
    </comment>
    <comment ref="H48" authorId="0" shapeId="0">
      <text>
        <t>Mindspace | consolidated FY2024
Mindspace-Business-Parks-REIT-Annual-Report-2023-24.pdf snapshot 31 Mar 2024; orig:'220+ Marquee Tenants'</t>
      </text>
    </comment>
    <comment ref="I48" authorId="0" shapeId="0">
      <text>
        <t>Mindspace | consolidated FY2025
Mindspace-Business-Parks-REIT-Annual-Report-2024-25.pdf snapshot 31 Mar 2025; orig:'225+ Marquee Tenants'</t>
      </text>
    </comment>
    <comment ref="J48" authorId="0" shapeId="0">
      <text>
        <t>Mindspace | consolidated FY2026
Mindspace-HYR-2025-26-1.pdf 31 Mar 2026 narrative; orig:'over 270 tenants' [as of 30 Sep 2025 - latest available]</t>
      </text>
    </comment>
    <comment ref="E49" authorId="0" shapeId="0">
      <text>
        <t>Investor-Presentation_Q4-FY21-FY21-1.pdf p.12 Portfolio Overview; orig:'INR 55.9 psf In-place Rent' (INR/sf/month)</t>
      </text>
    </comment>
    <comment ref="F49" authorId="0" shapeId="0">
      <text>
        <t>Investor-Presentation_Q4-FY2022-final-1305.pdf p.13 Portfolio Overview; orig:'INR 61.7 psf In-place Rent'</t>
      </text>
    </comment>
    <comment ref="H49" authorId="0" shapeId="0">
      <text>
        <t>Mindspace | consolidated FY2024
Mindspace-Business-Parks-REIT-Annual-Report-2023-24.pdf snapshot 31 Mar 2024; orig:'69.0 PSF In-place Rent'</t>
      </text>
    </comment>
    <comment ref="I49" authorId="0" shapeId="0">
      <text>
        <t>Mindspace | consolidated FY2025
Mindspace-Business-Parks-REIT-Annual-Report-2024-25.pdf snapshot 31 Mar 2025; orig:'` 71 PSF In-place Rent'</t>
      </text>
    </comment>
    <comment ref="J49" authorId="0" shapeId="0">
      <text>
        <t>Mindspace | consolidated FY2026 (investor presentation)
Investor-Presentation_Q4-FY26.pdf p.7: 'Portfolio In-Place rent c. 80.4 psf/Month'; also p.58 Portfolio Total In-place Rent 80.4 INR psf; as-at 31-Mar-26. INR psf/month.
[updated to 31-Mar-2026 year-end value; replaced earlier H1/interim figure 73.5]</t>
      </text>
    </comment>
    <comment ref="H57" authorId="0" shapeId="0">
      <text>
        <t>Investor-Presentation_Q4-FY2024.pdf NDCF (REIT Level) FY24; orig:'Interest 1,132' (Rs mn)</t>
      </text>
    </comment>
    <comment ref="U57" authorId="0" shapeId="0">
      <text>
        <t>embassy_reit_ar_2021_web.pdf (MD&amp;A/portfolio); orig:'occupancy as of March 31, 2021 was at 88.9%'</t>
      </text>
    </comment>
    <comment ref="W57" authorId="0" shapeId="0">
      <text>
        <t>embassy_reit_-_annual_report_-_fy_2022-23.pdf (MD&amp;A/portfolio); orig:'occupancy as of March 31, 2023 was at 86%'</t>
      </text>
    </comment>
    <comment ref="X57" authorId="0" shapeId="0">
      <text>
        <t>Embassy | consolidated FY2024 (AR, 3rd pass)
embassy_reit_ar_2024_final.pdf p.14 (Portfolio Summary, Sub-total Commercial offices) &amp; p.4; orig:'Sub-total (Commercial offices) ... 85%' / 'Occupancy(1) 85%'; commercial offices, completed-area basis; as-at 31 Mar 2024</t>
      </text>
    </comment>
    <comment ref="Y57" authorId="0" shapeId="0">
      <text>
        <t>Embassy | consolidated FY2025 (AR, 3rd pass)
annual_report_2025.pdf p.21 (Portfolio Summary); orig:'Sub-Total (Commercial Offices) ... 87%'; commercial offices completed-area basis; as-at 31 Mar 2025</t>
      </text>
    </comment>
    <comment ref="Z57" authorId="0" shapeId="0">
      <text>
        <t>Embassy | consolidated FY2026
eop_reit_valuation_report_march_2026.pdf p.34; orig: 'Occupancy (%) 90%' (portfolio-level, as at 31 March 2026)</t>
      </text>
    </comment>
    <comment ref="H58" authorId="0" shapeId="0">
      <text>
        <t>Investor-Presentation_Q4-FY2024.pdf NDCF (REIT Level) FY24; orig:'Dividend 10,218' (Rs mn)</t>
      </text>
    </comment>
    <comment ref="U58" authorId="0" shapeId="0">
      <text>
        <t>embassy_reit_ar_2021_web.pdf (Portfolio summary); orig:'Sub-total Commercial Office WALE 7.0' (yrs; 31 Mar 2021)</t>
      </text>
    </comment>
    <comment ref="V58" authorId="0" shapeId="0">
      <text>
        <t>final_annual_report.pdf (Key highlights &amp; portfolio); orig:'7.0 years Weighted average lease expiry (WALE)' (31 Mar 2022)</t>
      </text>
    </comment>
    <comment ref="W58" authorId="0" shapeId="0">
      <text>
        <t>embassy_reit_-_annual_report_-_fy_2022-23.pdf p.26-27; orig:'Subtotal (Office) WALE 6.6' (yrs; 31 Mar 2023)</t>
      </text>
    </comment>
    <comment ref="X58" authorId="0" shapeId="0">
      <text>
        <t>Embassy | consolidated FY2024 (AR, 3rd pass)
embassy_reit_ar_2024_final.pdf p.14 (Portfolio Summary); orig:'Sub-total (Commercial offices) ... WALE 6.8' (yrs); portfolio commercial offices; as-at 31 Mar 2024</t>
      </text>
    </comment>
    <comment ref="Y58" authorId="0" shapeId="0">
      <text>
        <t>Embassy | consolidated FY2025 (AR, 3rd pass)
annual_report_2025.pdf p.21 (Portfolio Summary); orig:'Sub-Total (Commercial Offices) ... 8.4' (WALE yrs); as-at 31 Mar 2025</t>
      </text>
    </comment>
    <comment ref="Z58" authorId="0" shapeId="0">
      <text>
        <t>Embassy | consolidated FY2026 (AR, 3rd pass)
embassy_half_yearly_report_2025_-_final_file.pdf Portfolio Summary (printed p.38-39); orig:'Sub-Total (Commercial Offices) ... 8.5' (WALE yrs); as-at 30 Sep 2025</t>
      </text>
    </comment>
    <comment ref="H59" authorId="0" shapeId="0">
      <text>
        <t>Investor-Presentation_Q4-FY2024.pdf FY24 NDCF shows only Dividend+Interest+Other; no capital repayment component</t>
      </text>
    </comment>
    <comment ref="H60" authorId="0" shapeId="0">
      <text>
        <t>Investor-Presentation_Q4-FY2024.pdf NDCF (REIT Level) FY24; orig:'Other Income 12' (Rs mn)</t>
      </text>
    </comment>
    <comment ref="I63" authorId="0" shapeId="0">
      <text>
        <t>Investor-Presentation_Q4FY2025.pdf FY25 distribution composition; orig:'Interest, 0.97, 4.4%'</t>
      </text>
    </comment>
    <comment ref="J63" authorId="0" shapeId="0">
      <text>
        <t>Investor-Presentation_Q4-FY26.pdf FY26 distribution composition; orig:'Interest, 0.20, 0.8%'</t>
      </text>
    </comment>
    <comment ref="I64" authorId="0" shapeId="0">
      <text>
        <t>Investor-Presentation_Q4FY2025.pdf; orig:'Dividend, 12.10, 55.1%'</t>
      </text>
    </comment>
    <comment ref="J64" authorId="0" shapeId="0">
      <text>
        <t>Investor-Presentation_Q4-FY26.pdf; orig:'Dividend, 12.68, 52.6%'</t>
      </text>
    </comment>
    <comment ref="I65" authorId="0" shapeId="0">
      <text>
        <t>Investor-Presentation_Q4FY2025.pdf; orig:'Repayment of SPV Debt, 8.78, 40.0%'</t>
      </text>
    </comment>
    <comment ref="J65" authorId="0" shapeId="0">
      <text>
        <t>Investor-Presentation_Q4-FY26.pdf; orig:'Repayment of Capital, 11.16, 46.3%'</t>
      </text>
    </comment>
    <comment ref="I66" authorId="0" shapeId="0">
      <text>
        <t>Investor-Presentation_Q4FY2025.pdf; orig:'Other Income, 0.10, 0.5%'</t>
      </text>
    </comment>
    <comment ref="J66" authorId="0" shapeId="0">
      <text>
        <t>Investor-Presentation_Q4-FY26.pdf; orig:'Other Income, 0.05, 0.2%'</t>
      </text>
    </comment>
    <comment ref="H68" authorId="0" shapeId="0">
      <text>
        <t>prior extraction (consolidated borrowings); deck rounds to Rs.70 Bn (Investor-Presentation_Q4-FY2024.pdf)</t>
      </text>
    </comment>
    <comment ref="I68" authorId="0" shapeId="0">
      <text>
        <t>prior extraction (consolidated borrowings); deck rounds to Rs.101.3 Bn (Investor-Presentation_Q4FY2025.pdf)</t>
      </text>
    </comment>
    <comment ref="J68" authorId="0" shapeId="0">
      <text>
        <t>prior extraction (consolidated borrowings); deck rounds to Rs.130.2 Bn (Investor-Presentation_Q4-FY26.pdf)</t>
      </text>
    </comment>
    <comment ref="I69" authorId="0" shapeId="0">
      <text>
        <t>Standalone-Financials-Q4-FY26.pdf p6 B/S (OCR); non-current Loans 42,729.35 + current Loans 6,427.22 (Rs mn, 31 Mar 2025)</t>
      </text>
    </comment>
    <comment ref="J69" authorId="0" shapeId="0">
      <text>
        <t>Standalone-Financials-Q4-FY26.pdf p6 B/S (OCR); non-current Loans 58,281.08 + current Loans 24,512.96 (Rs mn, 31 Mar 2026)</t>
      </text>
    </comment>
    <comment ref="H75" authorId="0" shapeId="0">
      <text>
        <t>Investor-Presentation_Q4-FY2024.pdf debt-composition; fixed interest rate 55.6% implies floating ~44.4%</t>
      </text>
    </comment>
    <comment ref="I75" authorId="0" shapeId="0">
      <text>
        <t>Investor-Presentation_Q4FY2025.pdf; orig:'c.46% of borrowings in form of fixed cost Debt Securities' implies floating ~54%</t>
      </text>
    </comment>
    <comment ref="J75" authorId="0" shapeId="0">
      <text>
        <t>Investor-Presentation_Q4-FY26.pdf; orig:'C.67.5% of borrowings in form of fixed cost securities' implies floating ~32.5%</t>
      </text>
    </comment>
    <comment ref="H76" authorId="0" shapeId="0">
      <text>
        <t>Investor-Presentation_Q4-FY2024.pdf; orig:'Weighted Average Maturity 5.2 years'</t>
      </text>
    </comment>
    <comment ref="I76" authorId="0" shapeId="0">
      <text>
        <t>Investor-Presentation_Q4FY2025.pdf; orig:'Weighted Average Maturity 7.0 years'</t>
      </text>
    </comment>
    <comment ref="J76" authorId="0" shapeId="0">
      <text>
        <t>Investor-Presentation_Q4-FY26.pdf; orig:'Weighted Average Maturity 5.2 years'</t>
      </text>
    </comment>
    <comment ref="H77" authorId="0" shapeId="0">
      <text>
        <t>Investor-Presentation_Q4-FY2024.pdf; orig:'Undrawn Committed Facilities INR 9,155 Mn'</t>
      </text>
    </comment>
    <comment ref="I77" authorId="0" shapeId="0">
      <text>
        <t>Investor-Presentation_Q4FY2025.pdf; orig:'Undrawn Committed Facilities INR 4,870 Mn'</t>
      </text>
    </comment>
    <comment ref="J77" authorId="0" shapeId="0">
      <text>
        <t>Investor-Presentation_Q4-FY26.pdf; orig:'Undrawn Committed Facilities INR 5,952 Mn'</t>
      </text>
    </comment>
  </commentList>
</comments>
</file>

<file path=xl/comments/comment3.xml><?xml version="1.0" encoding="utf-8"?>
<comments xmlns="http://schemas.openxmlformats.org/spreadsheetml/2006/main">
  <authors>
    <author>Source</author>
  </authors>
  <commentList>
    <comment ref="E9" authorId="0" shapeId="0">
      <text>
        <t>Consolidated_Financials_Q4_FY_2022_e5844487b4.pdf P&amp;L (OCR); orig:'Revenue from operations ... 1,309.42'</t>
      </text>
    </comment>
    <comment ref="F9" authorId="0" shapeId="0">
      <text>
        <t>Consolidated_Financials_Q4_FY_2023_fceec1d25b.pdf p8 (OCR P&amp;L); orig:'Revenue from operations 27 ... 8,767.91'</t>
      </text>
    </comment>
    <comment ref="G9" authorId="0" shapeId="0">
      <text>
        <t>Consolidated_Financials_Q4_FY_2023_fceec1d25b.pdf p8/note27; orig:'Total revenue from operations ... 11,969.99'</t>
      </text>
    </comment>
    <comment ref="H9" authorId="0" shapeId="0">
      <text>
        <t>Brookfield | consolidated FY2024
Consolidated_Financials_Q4_FY_2025_compressed_9c5306468f.pdf p.9; orig:'17,870.68' (Rupees Millions); year ended 31 March 2024 Audited</t>
      </text>
    </comment>
    <comment ref="I9" authorId="0" shapeId="0">
      <text>
        <t>Brookfield | consolidated FY2025
Consolidated_Financial_Results_Q4_2026_065e5df741.pdf p.5; orig:'23,899.98' (Rupees millions); year ended 31 March 2025</t>
      </text>
    </comment>
    <comment ref="J9" authorId="0" shapeId="0">
      <text>
        <t>Brookfield | consolidated FY2026
Consolidated_Financial_Results_Q4_2026_065e5df741.pdf p.5; orig:'29,711.44' (Rupees millions); year ended 31 March 2026 Audited</t>
      </text>
    </comment>
    <comment ref="E10" authorId="0" shapeId="0">
      <text>
        <t>Consolidated_Financials_Q4_FY_2022_e5844487b4.pdf P&amp;L (OCR); orig:'Other income ... 51.65'</t>
      </text>
    </comment>
    <comment ref="F10" authorId="0" shapeId="0">
      <text>
        <t>Consolidated_Financials_Q4_FY_2023_fceec1d25b.pdf p8/note28; orig:'Other income 28 ... 224.23'</t>
      </text>
    </comment>
    <comment ref="G10" authorId="0" shapeId="0">
      <text>
        <t>Consolidated_Financials_Q4_FY_2023_fceec1d25b.pdf p8/note28; orig:'... 324.80'</t>
      </text>
    </comment>
    <comment ref="H10" authorId="0" shapeId="0">
      <text>
        <t>Brookfield | consolidated FY2024
Consolidated_Financials_Q4_FY_2025_compressed_9c5306468f.pdf p.9; orig:'116.06' (Rupees Millions); 'Other income', year ended 31 March 2024 (separate Interest income line 495.68)</t>
      </text>
    </comment>
    <comment ref="I10" authorId="0" shapeId="0">
      <text>
        <t>Brookfield | consolidated FY2025
Consolidated_Financial_Results_Q4_2026_065e5df741.pdf p.5; orig:'818.15' (Rupees millions); year ended 31 March 2025</t>
      </text>
    </comment>
    <comment ref="J10" authorId="0" shapeId="0">
      <text>
        <t>Brookfield | consolidated FY2026
Consolidated_Financial_Results_Q4_2026_065e5df741.pdf p.5; orig:'1,001.89' (Rupees millions); year ended 31 March 2026</t>
      </text>
    </comment>
    <comment ref="N10" authorId="0" shapeId="0">
      <text>
        <t>Standalone_Financials_Q4_FY_2022_7e3fb593b5.pdf p7 (OCR P&amp;L); orig:'Other income 16 ... -' (nil for FY2021 column)</t>
      </text>
    </comment>
    <comment ref="O10" authorId="0" shapeId="0">
      <text>
        <t>Standalone_Financials_Q4_FY_2023_9aedac0735.pdf p6 (OCR P&amp;L); orig:'Other income 17 ... 126.78'</t>
      </text>
    </comment>
    <comment ref="P10" authorId="0" shapeId="0">
      <text>
        <t>Standalone_Financials_Q4_FY_2023_9aedac0735.pdf p6 (OCR P&amp;L); orig:'Other income 17 ... 397.94'</t>
      </text>
    </comment>
    <comment ref="Q10" authorId="0" shapeId="0">
      <text>
        <t>Brookfield | standalone FY2024
Standalone_Financials_Q4_FY_2025_2b04742815.pdf p.7; orig:'0.59' (Rupees millions); 'Other income', year ended 31 March 2024</t>
      </text>
    </comment>
    <comment ref="R10" authorId="0" shapeId="0">
      <text>
        <t>Brookfield | standalone FY2025
Standalone_Financial_Results_Q4_2026_56f6d86d3a.pdf p.5; orig:'2,191.74' (Rupees millions); year ended 31 March 2025</t>
      </text>
    </comment>
    <comment ref="S10" authorId="0" shapeId="0">
      <text>
        <t>Brookfield | standalone FY2026
Standalone_Financial_Results_Q4_2026_56f6d86d3a.pdf p.5; orig:'1,181.67' (Rupees millions); year ended 31 March 2026</t>
      </text>
    </comment>
    <comment ref="E13" authorId="0" shapeId="0">
      <text>
        <t>Earning_Presentation_Q4_FY_2022_ae3f3543f8.pdf p45 (Property Income walkdown); orig:'Net Operating Income (NOI) Rs 6,730 Rs 6,600' FY2021 col. NOTE: portfolio/pro-forma full-period basis (REIT IPO'd Feb-2021); actual consol FY2021 statements cover ~2 months only</t>
      </text>
    </comment>
    <comment ref="F13" authorId="0" shapeId="0">
      <text>
        <t>Earning_Presentation_Q4_FY_2022_ae3f3543f8.pdf p45; orig:'Net Operating Income (NOI) Rs 6,730' (FY2022)</t>
      </text>
    </comment>
    <comment ref="G13" authorId="0" shapeId="0">
      <text>
        <t>Earnings_Presentation_Q4_FY_2023_15c9463f7e.pdf p22; orig:'Net Operating Income (NOI) Rs 8,885' (FY2023)</t>
      </text>
    </comment>
    <comment ref="H13" authorId="0" shapeId="0">
      <text>
        <t>Brookfield | consolidated FY2024 (investor presentation)
Earning_Presentation_Q42024_63c5a9d394.pdf p.21 (Property Income | FY2024 vs FY2023); orig:'Net Operating Income (NOI) Rs 13,500' (Rs Millions); FULL-YEAR FY2024 (Revenue from Operations FY2024 17,805). Adjusted NOI (incl Income Support 1,562) = Rs 15,062 mn</t>
      </text>
    </comment>
    <comment ref="I13" authorId="0" shapeId="0">
      <text>
        <t>Brookfield | consolidated FY2025
Consolidated_Financial_Results_Q4_2026_065e5df741.pdf p.43; orig:'18,540.04' (Rupees millions); 'Net Operating Income (NOI)' Financial Ratios note, year ended 31 March 2025</t>
      </text>
    </comment>
    <comment ref="J13" authorId="0" shapeId="0">
      <text>
        <t>Brookfield | consolidated FY2026
Consolidated_Financial_Results_Q4_2026_065e5df741.pdf p.43; orig:'22,912.99' (Rupees millions); 'Net Operating Income (NOI)' Financial Ratios note, year ended 31 March 2026</t>
      </text>
    </comment>
    <comment ref="E15" authorId="0" shapeId="0">
      <text>
        <t>DERIVED = PBT 149.43 + finance 410.77 + D&amp;A 316.75 (Consolidated FY2022 PDF P&amp;L, OCR)</t>
      </text>
    </comment>
    <comment ref="F15" authorId="0" shapeId="0">
      <text>
        <t>DERIVED = PBT 2241.99 + finance 2080.69 + D&amp;A 2084.77 (Consolidated_Financials_Q4_FY_2023 p8)</t>
      </text>
    </comment>
    <comment ref="G15" authorId="0" shapeId="0">
      <text>
        <t>DERIVED = PBT 1403.90 + finance 4324.57 + D&amp;A 2752.02 (Consolidated_Financials_Q4_FY_2023 p8)</t>
      </text>
    </comment>
    <comment ref="H15" authorId="0" shapeId="0">
      <text>
        <t>Brookfield | consolidated FY2024 (investor presentation)
Earning_Presentation_Q42024_63c5a9d394.pdf p.24 (NDCF table); orig:'EBITDA Rs 14,876' (Rs Millions); FULL-YEAR FY2024 (Q1 2,374 + Q2 3,353 + Q3 4,585 + Q4 4,563)</t>
      </text>
    </comment>
    <comment ref="I15" authorId="0" shapeId="0">
      <text>
        <t>Brookfield | consolidated FY2025 (investor presentation)
Earning_Presentation_Q4_FY_2025_363e49a9d9.pdf p.21 (NDCF table); orig:'EBITDA Rs 19,107' (Rs Millions); FULL-YEAR FY2025 (Q1 4,665 + Q2 4,778 + Q3 4,942 + Q4 4,722)</t>
      </text>
    </comment>
    <comment ref="J15" authorId="0" shapeId="0">
      <text>
        <t>Brookfield | consolidated FY2026 (investor presentation)
BIRET_Q4_FY_2026_Investor_Presentation_d39ed0af9f.pdf NDCF table; orig:'EBITDA Rs 22,418' (Rs Millions); FULL-YEAR FY2026 (Q1 4,822 + Q2 5,016 + Q3 5,274 + Q4 7,306)</t>
      </text>
    </comment>
    <comment ref="E17" authorId="0" shapeId="0">
      <text>
        <t>Consolidated_Financials_Q4_FY_2022_e5844487b4.pdf P&amp;L (OCR); orig:'Finance costs ... 410.77'</t>
      </text>
    </comment>
    <comment ref="F17" authorId="0" shapeId="0">
      <text>
        <t>Consolidated_Financials_Q4_FY_2023_fceec1d25b.pdf p8/note31; orig:'Finance costs 31 ... 2,080.69'</t>
      </text>
    </comment>
    <comment ref="G17" authorId="0" shapeId="0">
      <text>
        <t>Consolidated_Financials_Q4_FY_2023_fceec1d25b.pdf p8/note31; orig:'... 4,324.57'</t>
      </text>
    </comment>
    <comment ref="H17" authorId="0" shapeId="0">
      <text>
        <t>Brookfield | consolidated FY2024
Consolidated_Financials_Q4_FY_2025_compressed_9c5306468f.pdf p.9; orig:'8,522.45' (Rupees Millions); year ended 31 March 2024</t>
      </text>
    </comment>
    <comment ref="I17" authorId="0" shapeId="0">
      <text>
        <t>Brookfield | consolidated FY2025
Consolidated_Financial_Results_Q4_2026_065e5df741.pdf p.5; orig:'10,781.77' (Rupees millions); year ended 31 March 2025</t>
      </text>
    </comment>
    <comment ref="J17" authorId="0" shapeId="0">
      <text>
        <t>Brookfield | consolidated FY2026
Consolidated_Financial_Results_Q4_2026_065e5df741.pdf p.5; orig:'9,747.81' (Rupees millions); year ended 31 March 2026</t>
      </text>
    </comment>
    <comment ref="Q17" authorId="0" shapeId="0">
      <text>
        <t>Brookfield | standalone FY2024
Standalone_Financials_Q4_FY_2025_2b04742815.pdf p.7; orig:'344.79' (Rupees millions); 'Finance costs', year ended 31 March 2024</t>
      </text>
    </comment>
    <comment ref="R17" authorId="0" shapeId="0">
      <text>
        <t>Brookfield | standalone FY2025
Standalone_Financial_Results_Q4_2026_56f6d86d3a.pdf p.5; orig:'712.52' (Rupees millions); year ended 31 March 2025</t>
      </text>
    </comment>
    <comment ref="S17" authorId="0" shapeId="0">
      <text>
        <t>Brookfield | standalone FY2026
Standalone_Financial_Results_Q4_2026_56f6d86d3a.pdf p.5; orig:'1,106.57' (Rupees millions); year ended 31 March 2026</t>
      </text>
    </comment>
    <comment ref="E18" authorId="0" shapeId="0">
      <text>
        <t>Consolidated_Financials_Q4_FY_2022_e5844487b4.pdf P&amp;L (OCR); orig:'Depreciation and amortization ... 316.75'</t>
      </text>
    </comment>
    <comment ref="F18" authorId="0" shapeId="0">
      <text>
        <t>Consolidated_Financials_Q4_FY_2023_fceec1d25b.pdf p8/note32; orig:'Depreciation and amortization expenses 32 ... 2,084.77'</t>
      </text>
    </comment>
    <comment ref="G18" authorId="0" shapeId="0">
      <text>
        <t>Consolidated_Financials_Q4_FY_2023_fceec1d25b.pdf p8/note32; orig:'... 2,752.02'</t>
      </text>
    </comment>
    <comment ref="H18" authorId="0" shapeId="0">
      <text>
        <t>Brookfield | consolidated FY2024
Consolidated_Financials_Q4_FY_2025_compressed_9c5306468f.pdf p.9; orig:'4,112.09' (Rupees Millions); year ended 31 March 2024</t>
      </text>
    </comment>
    <comment ref="I18" authorId="0" shapeId="0">
      <text>
        <t>Brookfield | consolidated FY2025
Consolidated_Financial_Results_Q4_2026_065e5df741.pdf p.5; orig:'4,298.90' (Rupees millions); year ended 31 March 2025</t>
      </text>
    </comment>
    <comment ref="J18" authorId="0" shapeId="0">
      <text>
        <t>Brookfield | consolidated FY2026
Consolidated_Financial_Results_Q4_2026_065e5df741.pdf p.5; orig:'4,694.02' (Rupees millions); year ended 31 March 2026</t>
      </text>
    </comment>
    <comment ref="E19" authorId="0" shapeId="0">
      <text>
        <t>Consolidated_Financials_Q4_FY_2022_e5844487b4.pdf P&amp;L (OCR); orig:'Profit before income tax ... 149.43'</t>
      </text>
    </comment>
    <comment ref="F19" authorId="0" shapeId="0">
      <text>
        <t>Consolidated_Financials_Q4_FY_2023_fceec1d25b.pdf p8 (OCR P&amp;L); orig:'Profit before income tax ... 2,241.99'</t>
      </text>
    </comment>
    <comment ref="G19" authorId="0" shapeId="0">
      <text>
        <t>Consolidated_Financials_Q4_FY_2023_fceec1d25b.pdf p8 (OCR P&amp;L); orig:'... 1,403.90'</t>
      </text>
    </comment>
    <comment ref="H19" authorId="0" shapeId="0">
      <text>
        <t>Brookfield | consolidated FY2024
Consolidated_Financials_Q4_FY_2025_compressed_9c5306468f.pdf p.9; orig:'542.11' (Rupees Millions); Profit before tax, year ended 31 March 2024</t>
      </text>
    </comment>
    <comment ref="I19" authorId="0" shapeId="0">
      <text>
        <t>Brookfield | consolidated FY2025
Consolidated_Financial_Results_Q4_2026_065e5df741.pdf p.5; orig:'2,495.02' (Rupees millions); year ended 31 March 2025</t>
      </text>
    </comment>
    <comment ref="J19" authorId="0" shapeId="0">
      <text>
        <t>Brookfield | consolidated FY2026
Consolidated_Financial_Results_Q4_2026_065e5df741.pdf p.5; orig:'7,584.19' (Rupees millions); year ended 31 March 2026</t>
      </text>
    </comment>
    <comment ref="N19" authorId="0" shapeId="0">
      <text>
        <t>Standalone_Financials_Q4_FY_2022_7e3fb593b5.pdf p7 (OCR P&amp;L); orig:'Profit before Income tax ... 626.23' (partial year from 17 Jul 2020)</t>
      </text>
    </comment>
    <comment ref="O19" authorId="0" shapeId="0">
      <text>
        <t>Standalone_Financials_Q4_FY_2023_9aedac0735.pdf p6 (OCR P&amp;L); orig:'Profit before Income tax ... 4,537.02'</t>
      </text>
    </comment>
    <comment ref="P19" authorId="0" shapeId="0">
      <text>
        <t>Standalone_Financials_Q4_FY_2023_9aedac0735.pdf p6 (OCR P&amp;L); orig:'... 3,518.59'</t>
      </text>
    </comment>
    <comment ref="Q19" authorId="0" shapeId="0">
      <text>
        <t>Brookfield | standalone FY2024
Standalone_Financials_Q4_FY_2025_2b04742815.pdf p.7; orig:'2,969.12' (Rupees millions); Profit before tax, year ended 31 March 2024</t>
      </text>
    </comment>
    <comment ref="R19" authorId="0" shapeId="0">
      <text>
        <t>Brookfield | standalone FY2025
Standalone_Financial_Results_Q4_2026_56f6d86d3a.pdf p.5; orig:'7,514.98' (Rupees millions); year ended 31 March 2025</t>
      </text>
    </comment>
    <comment ref="S19" authorId="0" shapeId="0">
      <text>
        <t>Brookfield | standalone FY2026
Standalone_Financial_Results_Q4_2026_56f6d86d3a.pdf p.5; orig:'8,464.37' (Rupees millions); year ended 31 March 2026</t>
      </text>
    </comment>
    <comment ref="E20" authorId="0" shapeId="0">
      <text>
        <t>Consolidated_Financials_Q4_FY_2022_e5844487b4.pdf P&amp;L (OCR); orig:'Profit for the year after income tax ... 253.03'</t>
      </text>
    </comment>
    <comment ref="F20" authorId="0" shapeId="0">
      <text>
        <t>Consolidated_Financials_Q4_FY_2023_fceec1d25b.pdf p8 (OCR P&amp;L); orig:'Profit for the year after income tax ... 2,462.85'</t>
      </text>
    </comment>
    <comment ref="G20" authorId="0" shapeId="0">
      <text>
        <t>Consolidated_Financials_Q4_FY_2023_fceec1d25b.pdf p8 (OCR P&amp;L); orig:'... 1,312.32'</t>
      </text>
    </comment>
    <comment ref="H20" authorId="0" shapeId="0">
      <text>
        <t>Brookfield | consolidated FY2024
Consolidated_Financials_Q4_FY_2025_compressed_9c5306468f.pdf p.9; orig:'(153.50)' (Rupees Millions); Loss after tax, year ended 31 March 2024</t>
      </text>
    </comment>
    <comment ref="I20" authorId="0" shapeId="0">
      <text>
        <t>Brookfield | consolidated FY2025
Consolidated_Financial_Results_Q4_2026_065e5df741.pdf p.5; orig:'1,599.53' (Rupees millions); year ended 31 March 2025</t>
      </text>
    </comment>
    <comment ref="J20" authorId="0" shapeId="0">
      <text>
        <t>Brookfield | consolidated FY2026
Consolidated_Financial_Results_Q4_2026_065e5df741.pdf p.5; orig:'5,367.51' (Rupees millions); year ended 31 March 2026</t>
      </text>
    </comment>
    <comment ref="N20" authorId="0" shapeId="0">
      <text>
        <t>Standalone_Financials_Q4_FY_2022_7e3fb593b5.pdf p7 (OCR P&amp;L); orig:'Profit for the year after income tax ... 626.23'</t>
      </text>
    </comment>
    <comment ref="O20" authorId="0" shapeId="0">
      <text>
        <t>Standalone_Financials_Q4_FY_2023_9aedac0735.pdf p6 (OCR P&amp;L); orig:'Profit for the year after income tax ... 4,524.75'</t>
      </text>
    </comment>
    <comment ref="P20" authorId="0" shapeId="0">
      <text>
        <t>Standalone_Financials_Q4_FY_2023_9aedac0735.pdf p6 (OCR P&amp;L); orig:'... 3,388.08'</t>
      </text>
    </comment>
    <comment ref="Q20" authorId="0" shapeId="0">
      <text>
        <t>Brookfield | standalone FY2024
Standalone_Financials_Q4_FY_2025_2b04742815.pdf p.7; orig:'2,983.94' (Rupees millions); Profit after tax (incl. deferred tax credit), year ended 31 March 2024</t>
      </text>
    </comment>
    <comment ref="R20" authorId="0" shapeId="0">
      <text>
        <t>Brookfield | standalone FY2025
Standalone_Financial_Results_Q4_2026_56f6d86d3a.pdf p.5; orig:'7,144.54' (Rupees millions); year ended 31 March 2025</t>
      </text>
    </comment>
    <comment ref="S20" authorId="0" shapeId="0">
      <text>
        <t>Brookfield | standalone FY2026
Standalone_Financial_Results_Q4_2026_56f6d86d3a.pdf p.5; orig:'8,148.76' (Rupees millions); year ended 31 March 2026</t>
      </text>
    </comment>
    <comment ref="F23" authorId="0" shapeId="0">
      <text>
        <t>Standalone_Financials_Q4_FY_2023_9aedac0735.pdf p (NDCF); orig:'NDCF ... 6,884.58' (year ended 31 March 2022, REIT level)</t>
      </text>
    </comment>
    <comment ref="G23" authorId="0" shapeId="0">
      <text>
        <t>Standalone_Financials_Q4_FY_2023_9aedac0735.pdf p (NDCF); orig:'NDCF ... 6,786.11' (year ended 31 March 2023, REIT level)</t>
      </text>
    </comment>
    <comment ref="H23" authorId="0" shapeId="0">
      <text>
        <t>Brookfield | consolidated FY2024
Consolidated_Financials_Q4_FY_2025_compressed_9c5306468f.pdf p.16 (standalone NDCF disclosure, year ended 31 Mar 2024, old SEBI circular SEBI/HO/DDHS-PoD-2/P/CIR/2023/116); orig:'7,705.20' (Rupees millions). Revised-framework Trust-level NDCF not provided for FY2024.</t>
      </text>
    </comment>
    <comment ref="I23" authorId="0" shapeId="0">
      <text>
        <t>Brookfield | consolidated FY2025
Consolidated_Financial_Results_Q4_2026_065e5df741.pdf p.19; orig:'10,551.80' (Rupees millions); 'NDCF at Trust Level', year ended 31 March 2025</t>
      </text>
    </comment>
    <comment ref="J23" authorId="0" shapeId="0">
      <text>
        <t>Brookfield | consolidated FY2026
Consolidated_Financial_Results_Q4_2026_065e5df741.pdf p.19; orig:'15,066.95' (Rupees millions); 'NDCF at Trust Level', year ended 31 March 2026</t>
      </text>
    </comment>
    <comment ref="F24" authorId="0" shapeId="0">
      <text>
        <t>Earning_Presentation_Q4_FY_2022_ae3f3543f8.pdf p (Distribution); FY2022 DPU Rs 22.10 x 335.09mn units ~ derived; per-unit basis preferred (see dpu)</t>
      </text>
    </comment>
    <comment ref="G24" authorId="0" shapeId="0">
      <text>
        <t>Standalone_Financials_Q4_FY_2023_9aedac0735.pdf NDCF note 1; orig:'cumulative distribution for the year ended 31 March 2023 aggregates to Rs. 6,768.75 million / Rs. 20.20 per unit'</t>
      </text>
    </comment>
    <comment ref="H24" authorId="0" shapeId="0">
      <text>
        <t>Brookfield | consolidated FY2024 (investor presentation)
COMPUTED: DPU FY2024 Rs 17.75/unit (Earning_Presentation_Q42024 p.25) x units 439.085 mn = Rs 7,794 mn. Deck states only H2 FY2024 distribution Rs 4,171 mn (p.6) and full-year DPU 17.75. Disclosed cash metric NDCF (REIT Level) FY2024 = Rs 7,705 mn (p.25)</t>
      </text>
    </comment>
    <comment ref="I24" authorId="0" shapeId="0">
      <text>
        <t>Brookfield | consolidated FY2025
Standalone_Financials_Q4_FY_2025_2b04742815.pdf p.10 note 1; orig:'Rs. 10,536.82 million / Rs. 19.25 per unit'; cumulative distribution year ended 31 March 2025</t>
      </text>
    </comment>
    <comment ref="J24" authorId="0" shapeId="0">
      <text>
        <t>Brookfield | consolidated FY2026
Consolidated_Financial_Results_Q4_2026_065e5df741.pdf p.19 note; orig:'Rs. 15,161.78 million / Rs. 21.40 per unit'; cumulative distribution year ended 31 March 2026</t>
      </text>
    </comment>
    <comment ref="F25" authorId="0" shapeId="0">
      <text>
        <t>Earning_Presentation_Q4_FY_2022_ae3f3543f8.pdf p1/Distribution; orig:'Rs 22.10 DPU / 8.0% Yield' (FY2022)</t>
      </text>
    </comment>
    <comment ref="G25" authorId="0" shapeId="0">
      <text>
        <t>Standalone_Financials_Q4_FY_2023_9aedac0735.pdf NDCF note 1 &amp; Earnings_Presentation_Q4_FY_2023_15c9463f7e.pdf p (Highlights); orig:'Rs 20.20 per unit' (FY2023)</t>
      </text>
    </comment>
    <comment ref="H25" authorId="0" shapeId="0">
      <text>
        <t>Brookfield | consolidated FY2024 (investor presentation)
Earning_Presentation_Q42024_63c5a9d394.pdf p.25 (NDCF 2/2); orig:'Distribution per Unit (REIT Level) ... FY2024 Rs 17.75' (Q1 3.85+Q2 4.40+Q3 4.75+Q4 4.75); FULL-YEAR FY2024</t>
      </text>
    </comment>
    <comment ref="I25" authorId="0" shapeId="0">
      <text>
        <t>Brookfield | consolidated FY2025
Consolidated_Financial_Results_Q4_2026_065e5df741.pdf p.43 / Standalone_Financials_Q4_FY_2025 p.10; orig:'19.25' (INR per unit); Distribution per unit, year ended 31 March 2025</t>
      </text>
    </comment>
    <comment ref="J25" authorId="0" shapeId="0">
      <text>
        <t>Brookfield | consolidated FY2026
Consolidated_Financial_Results_Q4_2026_065e5df741.pdf p.43; orig:'21.40' (INR per unit); Distribution per unit, year ended 31 March 2026</t>
      </text>
    </comment>
    <comment ref="E28" authorId="0" shapeId="0">
      <text>
        <t>Earning_Presentation_Q4_FY_2022_ae3f3543f8.pdf p (Property Income); orig:'Rs 115 B ... 39.7% increase since March 31, 2021' (FY2021 GAV ~Rs 115B). Statement of Net Assets fair-value total assets FY2021=Rs 123,783.52mn</t>
      </text>
    </comment>
    <comment ref="F28" authorId="0" shapeId="0">
      <text>
        <t>Earning_Presentation_Q4_FY_2022_ae3f3543f8.pdf p3; orig:'Rs 160B GROSS ASSET VALUE' (as on 31 Mar 2022). Statement of Net Assets fair-value total assets FY2022=Rs 170,891.54mn</t>
      </text>
    </comment>
    <comment ref="G28" authorId="0" shapeId="0">
      <text>
        <t>Earnings_Presentation_Q4_FY_2023_15c9463f7e.pdf p3; orig:'Rs 164 B GROSS ASSET VALUE' (as on 31 Mar 2023). Statement of Net Assets fair-value total assets FY2023=Rs 174,345.05mn</t>
      </text>
    </comment>
    <comment ref="H28" authorId="0" shapeId="0">
      <text>
        <t>Brookfield | consolidated FY2024 (2nd pass)
Consolidated_Financials_Q4_FY_2025 (FY2025 filing, FY2024 comparative), Condensed Consolidated Statement of Net Assets at Fair Value. Verbatim row A Assets, 'As at 31 March 2024 (Audited)' Fair value = 307,198.31 (INR Mn) = TOTAL ASSETS AT FAIR VALUE. Of which fair value of investment property + IPUD (portfolio fair value) = 292,250.00 (project-wise break-up, 31 March 2024).</t>
      </text>
    </comment>
    <comment ref="I28" authorId="0" shapeId="0">
      <text>
        <t>Brookfield | consolidated FY2025 (2nd pass)
Consolidated_Financials_Q4_FY_2025, Condensed Consolidated Statement of Net Assets at Fair Value. Verbatim row A Assets, 'As at 31 March 2025 (Audited)' Fair value = 340,313.06 (INR Mn) = TOTAL ASSETS AT FAIR VALUE. Of which fair value of investment property + IPUD (portfolio fair value) = 311,392.66; plus equity-method investee Rostrum 13,142.32 (project-wise break-up, 31 March 2025).</t>
      </text>
    </comment>
    <comment ref="J28" authorId="0" shapeId="0">
      <text>
        <t>Brookfield | consolidated FY2026
Summary_Valuation_Report_FY_2026_8284e7236d.pdf p.13; orig:'5,65,281' (INR Million); TOTAL portfolio Market Value as on 31 March 2026 (Completed 550,947 + Under Construction 2,430 + Future Dev 11,904)</t>
      </text>
    </comment>
    <comment ref="E29" authorId="0" shapeId="0">
      <text>
        <t>Consolidated_Financials_Q4_FY_2022_e5844487b4.pdf BS (OCR); orig:'Borrowings (non-current) 21,015.17; current Nil'</t>
      </text>
    </comment>
    <comment ref="F29" authorId="0" shapeId="0">
      <text>
        <t>Consolidated_Financials_Q4_FY_2022/2023 BS; non-current 50,993.53 + current 661.81</t>
      </text>
    </comment>
    <comment ref="G29" authorId="0" shapeId="0">
      <text>
        <t>Consolidated_Financials_Q4_FY_2023_fceec1d25b.pdf p6-7 (BS); total borrowings 54,520.38</t>
      </text>
    </comment>
    <comment ref="H29" authorId="0" shapeId="0">
      <text>
        <t>Brookfield | consolidated FY2024
Consolidated_Financials_Q4_FY_2025_compressed_9c5306468f.pdf p.66 Capitalization Statement note 42; orig:'121,126.36' (Rupees Millions, Borrowings 120,562.96 + Lease 563.40, excl JV); as at 31 March 2024</t>
      </text>
    </comment>
    <comment ref="I29" authorId="0" shapeId="0">
      <text>
        <t>Brookfield | consolidated FY2025
Consolidated_Financial_Results_Q4_2026_065e5df741.pdf p.45 Net Borrowings Ratio statement; orig:'106,900.30' (Rupees millions, incl accrued interest &amp; JV proportionate); as on 31 March 2025</t>
      </text>
    </comment>
    <comment ref="J29" authorId="0" shapeId="0">
      <text>
        <t>Brookfield | consolidated FY2026
Consolidated_Financial_Results_Q4_2026_065e5df741.pdf p.45 Net Borrowings Ratio statement; orig:'181,301.65' (Rupees millions, incl accrued interest &amp; JV proportionate); as on 31 March 2026</t>
      </text>
    </comment>
    <comment ref="N29" authorId="0" shapeId="0">
      <text>
        <t>Standalone_Financials_Q4_FY_2022_7e3fb593b5.pdf p6 (BS, OCR); Trust has no borrowings (total liabilities 1,340.13 are payables/other)</t>
      </text>
    </comment>
    <comment ref="O29" authorId="0" shapeId="0">
      <text>
        <t>Standalone_Financials_Q4_FY_2023_9aedac0735.pdf p5 (BS); Trust has no borrowings (total liabilities 51.06)</t>
      </text>
    </comment>
    <comment ref="P29" authorId="0" shapeId="0">
      <text>
        <t>Standalone_Financials_Q4_FY_2023_9aedac0735.pdf p5 (BS); Trust has no borrowings (total liabilities 187.92)</t>
      </text>
    </comment>
    <comment ref="Q29" authorId="0" shapeId="0">
      <text>
        <t>Brookfield | standalone FY2024
Standalone_Financials_Q4_FY_2025_2b04742815.pdf p.41 Capitalization Statement note 31; orig:'7,284.87' (Rupees millions); Gross debt as at 31 March 2024 (current borrowings; non-current Nil)</t>
      </text>
    </comment>
    <comment ref="R29" authorId="0" shapeId="0">
      <text>
        <t>Brookfield | standalone FY2025
Standalone_Financial_Results_Q4_2026 / Standalone_Financials_Q4_FY_2025_2b04742815.pdf p.34 (Borrowings incl interest accrued); orig:'6,693.21' (Rupees millions); as at 31 March 2025 (non-current 5,185.35 + current 1,507.86)</t>
      </text>
    </comment>
    <comment ref="S29" authorId="0" shapeId="0">
      <text>
        <t>Brookfield | standalone FY2026
Standalone_Financial_Results_Q4_2026_56f6d86d3a.pdf p.6; orig: non-current borrowings '25,609.92' + current borrowings '1,509.02' = 27,118.94 (Rupees millions); as at 31 March 2026</t>
      </text>
    </comment>
    <comment ref="H30" authorId="0" shapeId="0">
      <text>
        <t>Brookfield | consolidated FY2024
Consolidated_Financials_Q4_FY_2025_compressed_9c5306468f.pdf p.7-8; orig:'3,784.07' (Rupees Millions); Cash and cash equivalents as at 31 March 2024</t>
      </text>
    </comment>
    <comment ref="I30" authorId="0" shapeId="0">
      <text>
        <t>Brookfield | consolidated FY2025
Consolidated_Financial_Results_Q4_2026_065e5df741.pdf p.6-7; orig:'5,746.49' (Rupees millions); as at 31 March 2025</t>
      </text>
    </comment>
    <comment ref="J30" authorId="0" shapeId="0">
      <text>
        <t>Brookfield | consolidated FY2026
Consolidated_Financial_Results_Q4_2026_065e5df741.pdf p.6-7; orig:'6,742.18' (Rupees millions); as at 31 March 2026</t>
      </text>
    </comment>
    <comment ref="Q30" authorId="0" shapeId="0">
      <text>
        <t>Brookfield | standalone FY2024
Standalone_Financials_Q4_FY_2025_2b04742815.pdf p.6; orig:'2,392.89' (Rupees millions); Cash and cash equivalents as at 31 March 2024</t>
      </text>
    </comment>
    <comment ref="R30" authorId="0" shapeId="0">
      <text>
        <t>Brookfield | standalone FY2025
Standalone_Financials_Q4_FY_2025_2b04742815.pdf p.6 / Standalone_Financial_Results_Q4_2026 p.6; orig:'2,094.50' (Rupees millions); as at 31 March 2025</t>
      </text>
    </comment>
    <comment ref="S30" authorId="0" shapeId="0">
      <text>
        <t>Brookfield | standalone FY2026
Standalone_Financial_Results_Q4_2026_56f6d86d3a.pdf p.6; orig:'2,393.11' (Rupees millions); as at 31 March 2026</t>
      </text>
    </comment>
    <comment ref="E32" authorId="0" shapeId="0">
      <text>
        <t>Consolidated_Financials_Q4_FY_2022_e5844487b4.pdf BS (OCR); orig:'Total equity ... 82,027.53'</t>
      </text>
    </comment>
    <comment ref="F32" authorId="0" shapeId="0">
      <text>
        <t>Consolidated_Financials_Q4_FY_2022/2023 BS; orig:'Total equity 88,820.93'</t>
      </text>
    </comment>
    <comment ref="G32" authorId="0" shapeId="0">
      <text>
        <t>Consolidated_Financials_Q4_FY_2023_fceec1d25b.pdf p6-7 (BS); orig:'Total equity 83,337.38'</t>
      </text>
    </comment>
    <comment ref="H32" authorId="0" shapeId="0">
      <text>
        <t>Brookfield | consolidated FY2024
Consolidated_Financials_Q4_FY_2025_compressed_9c5306468f.pdf p.7-8; orig:'121,296.60' (Rupees Millions); Total equity as at 31 March 2024</t>
      </text>
    </comment>
    <comment ref="I32" authorId="0" shapeId="0">
      <text>
        <t>Brookfield | consolidated FY2025
Consolidated_Financial_Results_Q4_2026_065e5df741.pdf p.6-7; orig:'160,106.15' (Rupees millions); Total equity as at 31 March 2025</t>
      </text>
    </comment>
    <comment ref="J32" authorId="0" shapeId="0">
      <text>
        <t>Brookfield | consolidated FY2026
Consolidated_Financial_Results_Q4_2026_065e5df741.pdf p.6-7; orig:'195,621.23' (Rupees millions); Total equity as at 31 March 2026</t>
      </text>
    </comment>
    <comment ref="N32" authorId="0" shapeId="0">
      <text>
        <t>Standalone_Financials_Q4_FY_2022_7e3fb593b5.pdf p6 (BS, OCR); orig:'Total equity ... 82,401.01' (Unit Capital 81,774.78 + Other equity 626.23)</t>
      </text>
    </comment>
    <comment ref="O32" authorId="0" shapeId="0">
      <text>
        <t>Standalone_Financials_Q4_FY_2023_9aedac0735.pdf p5 (BS); orig:'Total equity 91,254.77'</t>
      </text>
    </comment>
    <comment ref="P32" authorId="0" shapeId="0">
      <text>
        <t>Standalone_Financials_Q4_FY_2023_9aedac0735.pdf p5 (BS); orig:'Total equity 87,840.58'</t>
      </text>
    </comment>
    <comment ref="Q32" authorId="0" shapeId="0">
      <text>
        <t>Brookfield | standalone FY2024
Standalone_Financials_Q4_FY_2025_2b04742815.pdf p.6; orig:'1,09,815.84' (Rupees millions); Total equity as at 31 March 2024</t>
      </text>
    </comment>
    <comment ref="R32" authorId="0" shapeId="0">
      <text>
        <t>Brookfield | standalone FY2025
Standalone_Financials_Q4_FY_2025_2b04742815.pdf p.6 / Standalone_Financial_Results_Q4_2026 p.6; orig:'1,54,144.14' (Rupees millions); Total equity as at 31 March 2025</t>
      </text>
    </comment>
    <comment ref="S32" authorId="0" shapeId="0">
      <text>
        <t>Brookfield | standalone FY2026
Standalone_Financial_Results_Q4_2026_56f6d86d3a.pdf p.6; orig:'192,431.62' (Rupees millions); Total equity as at 31 March 2026</t>
      </text>
    </comment>
    <comment ref="E34" authorId="0" shapeId="0">
      <text>
        <t>Consolidated_Financials_Q4_FY_2022_e5844487b4.pdf Statement of Net Assets (OCR); orig:'NAV per unit ... 316.59' (fair value, 31 Mar 2021)</t>
      </text>
    </comment>
    <comment ref="F34" authorId="0" shapeId="0">
      <text>
        <t>Consolidated_Financials_Q4_FY_2023_fceec1d25b.pdf p (Statement of Net Assets); orig:'NAV per unit (C/D) ... 333.81' (fair value, 31 Mar 2022)</t>
      </text>
    </comment>
    <comment ref="G34" authorId="0" shapeId="0">
      <text>
        <t>Consolidated_Financials_Q4_FY_2023_fceec1d25b.pdf p (Statement of Net Assets); orig:'NAV per unit (C/D) ... 332.08' (fair value, 31 Mar 2023)</t>
      </text>
    </comment>
    <comment ref="H34" authorId="0" shapeId="0">
      <text>
        <t>Brookfield | consolidated FY2024
Consolidated_Financials_Q4_FY_2025_compressed_9c5306468f.pdf p.13 Net Assets at Fair Value (Book Value basis); orig:'233.57' (INR per unit); as at 31 March 2024</t>
      </text>
    </comment>
    <comment ref="I34" authorId="0" shapeId="0">
      <text>
        <t>Brookfield | consolidated FY2025
Consolidated_Financial_Results_Q4_2026_065e5df741.pdf p.13 Net Assets at Fair Value (Book Value); orig:'230.85' (INR per unit); as at 31 March 2025</t>
      </text>
    </comment>
    <comment ref="J34" authorId="0" shapeId="0">
      <text>
        <t>Brookfield | consolidated FY2026
Consolidated_Financial_Results_Q4_2026_065e5df741.pdf p.13 Net Assets at Fair Value (Book Value); orig:'233.87' (INR per unit); as at 31 March 2026</t>
      </text>
    </comment>
    <comment ref="E36" authorId="0" shapeId="0">
      <text>
        <t>Standalone_Financials_Q4_FY_2023_9aedac0735.pdf p9 (Changes in Unit Capital); orig:'Balance as on 01 April 2021 302,801,601'</t>
      </text>
    </comment>
    <comment ref="F36" authorId="0" shapeId="0">
      <text>
        <t>Standalone_Financials_Q4_FY_2023_9aedac0735.pdf p9; orig:'Balance ... 31 March 2022 335,087,073'</t>
      </text>
    </comment>
    <comment ref="G36" authorId="0" shapeId="0">
      <text>
        <t>Standalone_Financials_Q4_FY_2023_9aedac0735.pdf p9; orig:'Balance ... 31 March 2023 335,087,073'</t>
      </text>
    </comment>
    <comment ref="H36" authorId="0" shapeId="0">
      <text>
        <t>Brookfield | consolidated FY2024
Consolidated_Financials_Q4_FY_2025_compressed_9c5306468f.pdf p.13 Net Assets at Fair Value; orig:'43,90,85,222' units = 439.09 mn; as at 31 March 2024</t>
      </text>
    </comment>
    <comment ref="I36" authorId="0" shapeId="0">
      <text>
        <t>Brookfield | consolidated FY2025
Consolidated_Financial_Results_Q4_2026_065e5df741.pdf p.13; orig:'60,77,52,448' units = 607.75 mn; as at 31 March 2025</t>
      </text>
    </comment>
    <comment ref="J36" authorId="0" shapeId="0">
      <text>
        <t>Brookfield | consolidated FY2026
Consolidated_Financial_Results_Q4_2026_065e5df741.pdf p.13; orig:'74,93,85,513' units = 749.39 mn; as at 31 March 2026</t>
      </text>
    </comment>
    <comment ref="F37" authorId="0" shapeId="0">
      <text>
        <t>REIT_Tableau_Ready_1.xlsx 'Prices' sheet; exchange close ~31-Mar-2022</t>
      </text>
    </comment>
    <comment ref="G37" authorId="0" shapeId="0">
      <text>
        <t>REIT_Tableau_Ready_1.xlsx 'Prices' sheet; exchange close ~31-Mar-2023</t>
      </text>
    </comment>
    <comment ref="H37" authorId="0" shapeId="0">
      <text>
        <t>Brookfield | Unit Price FY2024
REIT_Tableau_Ready_1.xlsx 'Prices' sheet; exchange close on 2024-03-28 (last trading day on/before 31-Mar).</t>
      </text>
    </comment>
    <comment ref="I37" authorId="0" shapeId="0">
      <text>
        <t>Brookfield | Unit Price FY2025
REIT_Tableau_Ready_1.xlsx 'Prices' sheet; exchange close on 2025-03-28 (last trading day on/before 31-Mar).</t>
      </text>
    </comment>
    <comment ref="J37" authorId="0" shapeId="0">
      <text>
        <t>Brookfield | Unit Price FY2026
REIT_Tableau_Ready_1.xlsx 'Prices' sheet; exchange close on 2026-03-30 (last trading day on/before 31-Mar).</t>
      </text>
    </comment>
    <comment ref="E40" authorId="0" shapeId="0">
      <text>
        <t>Investor_Presentation_Q1_FY_2022_39469f98d6.pdf p.20 Capital Structure and Liquidity; orig:'7.15% Brookfield REIT vs 6.45% Recent Comparable Financings' — IPO-refinanced debt unchanged Feb'21→Jun'21, so effectively the 31-Mar-21 rate (%)</t>
      </text>
    </comment>
    <comment ref="F40" authorId="0" shapeId="0">
      <text>
        <t>Earning_Presentation_Q4_FY_2022_ae3f3543f8.pdf p (Capital Structure); orig:'6.76% AVERAGE INTEREST RATE' (as on 31 Mar 2022)</t>
      </text>
    </comment>
    <comment ref="G40" authorId="0" shapeId="0">
      <text>
        <t>Earnings_Presentation_Q4_FY_2023_15c9463f7e.pdf p40 (Debt); orig:'8.20% AVERAGE INTEREST RATE' (as on 31 Mar 2023, 100% floating)</t>
      </text>
    </comment>
    <comment ref="H40" authorId="0" shapeId="0">
      <text>
        <t>Brookfield | consolidated FY2024 (investor presentation)
Earning_Presentation_Q42024_63c5a9d394.pdf p.27 (SPV Gross Debt Summary); orig:'Cost of debt ... Total 8.3%' / 'AVERAGE INTEREST RATE 8.3%'; as on 31 March 2024</t>
      </text>
    </comment>
    <comment ref="I40" authorId="0" shapeId="0">
      <text>
        <t>Brookfield | consolidated FY2025 (investor presentation)
Earning_Presentation_Q4_FY_2025_363e49a9d9.pdf p.38 (Gross Debt Summary); orig:'Total (Consolidated) ... Cost of debt 8.2%' (excl NCP at 8.5%); as on 31 March 2025</t>
      </text>
    </comment>
    <comment ref="J40" authorId="0" shapeId="0">
      <text>
        <t>Brookfield | consolidated FY2026
Summary_Valuation_Report_FY_2026_8284e7236d.pdf p.79; orig:'Brookfield (December 2025) 8.05%'; cost of debt for Brookfield REIT (analyst presentation basis)</t>
      </text>
    </comment>
    <comment ref="E42" authorId="0" shapeId="0">
      <text>
        <t>Investor_Presentation_Q1_FY_2022_39469f98d6.pdf portfolio overview; orig:'Total REIT Portfolio (14.0 MSF), 10.3 MSF Completed Area' — debt/portfolio unchanged from Feb'21 listing (Msf)</t>
      </text>
    </comment>
    <comment ref="F42" authorId="0" shapeId="0">
      <text>
        <t>Earning_Presentation_Q4_FY_2022_ae3f3543f8.pdf p3; orig:'18.6 MSF TOTAL AREA'</t>
      </text>
    </comment>
    <comment ref="G42" authorId="0" shapeId="0">
      <text>
        <t>Earnings_Presentation_Q4_FY_2023_15c9463f7e.pdf p3; orig:'18.7 MSF TOTAL AREA'</t>
      </text>
    </comment>
    <comment ref="H42" authorId="0" shapeId="0">
      <text>
        <t>Brookfield | consolidated FY2024 (investor presentation)
Earning_Presentation_Q42024_63c5a9d394.pdf p.15; orig:'Total ... Total 25.5' (MSF = Operating 20.9 + Dev Potential 4.6); as at 31 March 2024</t>
      </text>
    </comment>
    <comment ref="I42" authorId="0" shapeId="0">
      <text>
        <t>Brookfield | consolidated FY2025 (investor presentation)
Earning_Presentation_Q4_FY_2025_363e49a9d9.pdf p.14; computed Operating 24.5 + Dev Potential 4.5 = 29.0 Msf; as at 31 March 2025</t>
      </text>
    </comment>
    <comment ref="J42" authorId="0" shapeId="0">
      <text>
        <t>Brookfield | consolidated FY2026
Summary_Valuation_Report_FY_2026_8284e7236d.pdf p.13; orig:'32.43' (Million sq. ft.); TOTAL Completed leasable area as on 31 March 2026</t>
      </text>
    </comment>
    <comment ref="E43" authorId="0" shapeId="0">
      <text>
        <t>Investor_Presentation_Q1_FY_2022_39469f98d6.pdf portfolio overview; orig:'Total REIT Portfolio (14.0 MSF), 10.3 MSF Completed Area' — debt/portfolio unchanged from Feb'21 listing (Msf)</t>
      </text>
    </comment>
    <comment ref="F43" authorId="0" shapeId="0">
      <text>
        <t>Earning_Presentation_Q4_FY_2022_ae3f3543f8.pdf p3; orig:'14.1 MSF OPERATING AREA'</t>
      </text>
    </comment>
    <comment ref="G43" authorId="0" shapeId="0">
      <text>
        <t>Earnings_Presentation_Q4_FY_2023_15c9463f7e.pdf p3; orig:'14.3 MSF OPERATING AREA'</t>
      </text>
    </comment>
    <comment ref="H43" authorId="0" shapeId="0">
      <text>
        <t>Brookfield | consolidated FY2024 (investor presentation)
Earning_Presentation_Q42024_63c5a9d394.pdf p.3 &amp; p.15; orig:'20.9 MSF OPERATING AREA'; as at 31 March 2024</t>
      </text>
    </comment>
    <comment ref="I43" authorId="0" shapeId="0">
      <text>
        <t>Brookfield | consolidated FY2025 (investor presentation)
Earning_Presentation_Q4_FY_2025_363e49a9d9.pdf p.2 &amp; p.14; orig:'24.5 MSF OPERATING AREA' (17% YoY); as at 31 March 2025</t>
      </text>
    </comment>
    <comment ref="J43" authorId="0" shapeId="0">
      <text>
        <t>Brookfield | consolidated FY2026
Summary_Valuation_Report_FY_2026_8284e7236d.pdf p.13; orig:'32.43' (Million sq. ft.); TOTAL Completed (operational) leasable area as on 31 March 2026</t>
      </text>
    </comment>
    <comment ref="E44" authorId="0" shapeId="0">
      <text>
        <t>Investor_Presentation_Q1_FY_2022_39469f98d6.pdf portfolio overview; orig:'Total REIT Portfolio (14.0 MSF), 10.3 MSF Completed Area' — debt/portfolio unchanged from Feb'21 listing (Msf)</t>
      </text>
    </comment>
    <comment ref="F44" authorId="0" shapeId="0">
      <text>
        <t>Earning_Presentation_Q4_FY_2022_ae3f3543f8.pdf p3 (Total Portfolio split); orig:'14.1 Operating / 4.6 Future Dev'</t>
      </text>
    </comment>
    <comment ref="G44" authorId="0" shapeId="0">
      <text>
        <t>Earnings_Presentation_Q4_FY_2023_15c9463f7e.pdf p3; orig:'14.3 Operating / 4.4 Future Dev. (incl 0.6 MSF under construction)'</t>
      </text>
    </comment>
    <comment ref="H44" authorId="0" shapeId="0">
      <text>
        <t>Brookfield | consolidated FY2024 (investor presentation)
Earning_Presentation_Q42024_63c5a9d394.pdf p.15; orig:'Total ... Dev. Potential 4.6' (MSF); as at 31 March 2024</t>
      </text>
    </comment>
    <comment ref="I44" authorId="0" shapeId="0">
      <text>
        <t>Brookfield | consolidated FY2025 (investor presentation)
Earning_Presentation_Q4_FY_2025_363e49a9d9.pdf p.14; orig:'Total ... Dev. Potential (MSF) 4.5'; as at 31 March 2025</t>
      </text>
    </comment>
    <comment ref="J44" authorId="0" shapeId="0">
      <text>
        <t>Brookfield | consolidated FY2026
Summary_Valuation_Report_FY_2026_8284e7236d.pdf p.13; orig:'0.58' Under Construction/Future Leasable + '4.02' Future Development Potential (Million sq. ft.); total 4.60 Msf as on 31 March 2026</t>
      </text>
    </comment>
    <comment ref="F45" authorId="0" shapeId="0">
      <text>
        <t>Earning_Presentation_Q4_FY_2022_ae3f3543f8.pdf p3 footnote; orig:'The Committed Occupancy of the portfolio is 83%'</t>
      </text>
    </comment>
    <comment ref="G45" authorId="0" shapeId="0">
      <text>
        <t>Earnings_Presentation_Q4_FY_2023_15c9463f7e.pdf p3 footnote; orig:'The Committed Occupancy of the portfolio is 84%'</t>
      </text>
    </comment>
    <comment ref="H45" authorId="0" shapeId="0">
      <text>
        <t>Brookfield | consolidated FY2024 (investor presentation)
Earning_Presentation_Q42024_63c5a9d394.pdf p.3 footnote &amp; p.15 portfolio table; orig:'Committed Occupancy for the portfolio is 82%' / Total '82% / 87%'; as at 31 March 2024</t>
      </text>
    </comment>
    <comment ref="I45" authorId="0" shapeId="0">
      <text>
        <t>Brookfield | consolidated FY2025 (investor presentation)
Earning_Presentation_Q4_FY_2025_363e49a9d9.pdf p.2 &amp; p.14 portfolio table; orig:'88% COMMITTED OCCUPANCY' / Total Committed Occ. 88%; as at 31 March 2025</t>
      </text>
    </comment>
    <comment ref="J45" authorId="0" shapeId="0">
      <text>
        <t>Brookfield | consolidated FY2026 (2nd pass)
Area-weighted computation (weight = per-asset completed leasable area from p13 summary table) of per-asset 'Committed Occupancy' from each asset's Statement of Assets table: G2 83.34%% (p20), N1 97.96%% (p24), N2 93.52%% (p28), K1 98.82%% (p32), Kensington 95.61%% (p37), G1 88.67%% (p41), Kairos/Downtown-Powai 95.06%% (p45, blended from per-building rows), Worldmark1 99.4%% (p49), Worldmark2&amp;3 92.90%% (p53), Airtel Centre 100%% (p59), Worldmark Gurugram 92.2%% (p63), Pavilion Mall 79.15%% (p67), Ecoworld 94.3%% (p71). Verbatim example p20: 'Completed 13 40,83,525 IT/IteS Park 83.34%%^'. AREA-WEIGHTED COMPUTATION; no stated portfolio total in report.</t>
      </text>
    </comment>
    <comment ref="F46" authorId="0" shapeId="0">
      <text>
        <t>Earning_Presentation_Q4_FY_2022_ae3f3543f8.pdf p3; orig:'87% EFFECTIVE ECONOMIC OCCUPANCY'</t>
      </text>
    </comment>
    <comment ref="G46" authorId="0" shapeId="0">
      <text>
        <t>Earnings_Presentation_Q4_FY_2023_15c9463f7e.pdf p3; orig:'89% EFFECTIVE ECONOMIC OCCUPANCY'</t>
      </text>
    </comment>
    <comment ref="H46" authorId="0" shapeId="0">
      <text>
        <t>Brookfield | consolidated FY2024 (investor presentation)
Earning_Presentation_Q42024_63c5a9d394.pdf p.3 &amp; p.15; orig:'87% EFFECTIVE ECONOMIC OCCUPANCY' (incl Income Support); as at 31 March 2024. NOTE: BIRET reports Effective Economic Occupancy, not a separate physical/in-place occupancy</t>
      </text>
    </comment>
    <comment ref="F47" authorId="0" shapeId="0">
      <text>
        <t>Earning_Presentation_Q4_FY_2022_ae3f3543f8.pdf p3; orig:'7.1 Yrs. WALE'</t>
      </text>
    </comment>
    <comment ref="G47" authorId="0" shapeId="0">
      <text>
        <t>Earnings_Presentation_Q4_FY_2023_15c9463f7e.pdf p3; orig:'7.9 Yrs. WALE'</t>
      </text>
    </comment>
    <comment ref="H47" authorId="0" shapeId="0">
      <text>
        <t>Brookfield | consolidated FY2024 (investor presentation)
Earning_Presentation_Q42024_63c5a9d394.pdf p.3 &amp; p.15; orig:'7.6 Yrs. WALE' (Total, leased area); as at 31 March 2024</t>
      </text>
    </comment>
    <comment ref="I47" authorId="0" shapeId="0">
      <text>
        <t>Brookfield | consolidated FY2025 (investor presentation)
Earning_Presentation_Q4_FY_2025_363e49a9d9.pdf p.14; orig:'Total ... WALE 7.0' (Yrs.); as at 31 March 2025</t>
      </text>
    </comment>
    <comment ref="J47" authorId="0" shapeId="0">
      <text>
        <t>Brookfield | consolidated FY2026 (investor presentation)
BIRET_Q4_FY_2026_Investor_Presentation_d39ed0af9f.pdf p.2 &amp; p.14; orig:'6.7 Yrs. WALE' (Sub-Total); as at 31 March 2026</t>
      </text>
    </comment>
    <comment ref="F48" authorId="0" shapeId="0">
      <text>
        <t>Earning_Presentation_Q4_FY_2022_ae3f3543f8.pdf p3; orig:'70 OFFICE TENANTS'</t>
      </text>
    </comment>
    <comment ref="G48" authorId="0" shapeId="0">
      <text>
        <t>Earnings_Presentation_Q4_FY_2023_15c9463f7e.pdf p3; orig:'75 OFFICE TENANTS'</t>
      </text>
    </comment>
    <comment ref="H48" authorId="0" shapeId="0">
      <text>
        <t>Brookfield | consolidated FY2024 (investor presentation)
Earning_Presentation_Q42024_63c5a9d394.pdf p.15 portfolio table '# Office Tenants'; orig:'Total ... 141' (fn: 9 tenants across &gt;1 park); as at 31 March 2024</t>
      </text>
    </comment>
    <comment ref="F49" authorId="0" shapeId="0">
      <text>
        <t>Earning_Presentation_Q4_FY_2022_ae3f3543f8.pdf p3; orig:'Rs 63 PSF IN-PLACE RENT' (leased area)</t>
      </text>
    </comment>
    <comment ref="G49" authorId="0" shapeId="0">
      <text>
        <t>Earnings_Presentation_Q4_FY_2023_15c9463f7e.pdf p3; orig:'Rs 65 PSF IN-PLACE RENT' (leased area)</t>
      </text>
    </comment>
    <comment ref="H49" authorId="0" shapeId="0">
      <text>
        <t>Brookfield | consolidated FY2024 (investor presentation)
Earning_Presentation_Q42024_63c5a9d394.pdf p.3 &amp; p.15; orig:'Rs 84 PSF IN-PLACE RENT PER MONTH' (Total, leased area); as at 31 March 2024 (INR psf/mo)</t>
      </text>
    </comment>
    <comment ref="I49" authorId="0" shapeId="0">
      <text>
        <t>Brookfield | consolidated FY2025 (investor presentation)
Earning_Presentation_Q4_FY_2025_363e49a9d9.pdf p.2 &amp; p.14; orig:'Rs 97 PSF IN-PLACE RENT PER MONTH' (16% YoY); as at 31 March 2025 (INR psf/mo)</t>
      </text>
    </comment>
    <comment ref="J49" authorId="0" shapeId="0">
      <text>
        <t>Brookfield | consolidated FY2026 (2nd pass)
Area-weighted computation (weight = per-asset completed leasable area from p13) of per-asset 'Current Effective Rent' (INR/sq.ft./mth) from each asset's Key Assumptions table: G2 88 (p22), N1 64 (p26), N2 64 (p30), K1 49 (p34), Kensington 136 (p39), G1 83 (p43), Kairos 186 (p47), Worldmark1 214 (p51), Worldmark2&amp;3 ~240 (Tower2 249 / Tower3 232, p55), Airtel 131 (p59-60), Worldmark Gurugram 94 (p64), Pavilion Mall 61 (p68), Ecoworld 100 (p72). Verbatim example p22: 'Current Effective Rent INR/sq. ft./mth 88'. AREA-WEIGHTED COMPUTATION of Current Effective (in-place) Rent; no stated portfolio total. Result ~100 INR psf/mo.</t>
      </text>
    </comment>
    <comment ref="H57" authorId="0" shapeId="0">
      <text>
        <t>Earning_Presentation_Q42024_63c5a9d394.pdf NDCF(2/2); orig:'Interest on Shareholder Debt/CCD/NCD ... FY2024 3,826' (Rs mn)</t>
      </text>
    </comment>
    <comment ref="U57" authorId="0" shapeId="0">
      <text>
        <t>final_annual_report.pdf (Directors'/portfolio review); orig:'occupancy of Embassy REIT as of March 31, 2022 was 87.1%'</t>
      </text>
    </comment>
    <comment ref="V57" authorId="0" shapeId="0">
      <text>
        <t>embassy_reit_-_annual_report_-_fy_2022-23.pdf (MD&amp;A/portfolio); orig:'occupancy as of March 31, 2023 was at 86%'</t>
      </text>
    </comment>
    <comment ref="W57" authorId="0" shapeId="0">
      <text>
        <t>Embassy | consolidated FY2024 (AR, 3rd pass)
embassy_reit_ar_2024_final.pdf p.14 (Portfolio Summary, Sub-total Commercial offices) &amp; p.4; orig:'Sub-total (Commercial offices) ... 85%' / 'Occupancy(1) 85%'; commercial offices, completed-area basis; as-at 31 Mar 2024</t>
      </text>
    </comment>
    <comment ref="X57" authorId="0" shapeId="0">
      <text>
        <t>Embassy | consolidated FY2025 (AR, 3rd pass)
annual_report_2025.pdf p.21 (Portfolio Summary); orig:'Sub-Total (Commercial Offices) ... 87%'; commercial offices completed-area basis; as-at 31 Mar 2025</t>
      </text>
    </comment>
    <comment ref="Y57" authorId="0" shapeId="0">
      <text>
        <t>Embassy | consolidated FY2026
eop_reit_valuation_report_march_2026.pdf p.34; orig: 'Occupancy (%) 90%' (portfolio-level, as at 31 March 2026)</t>
      </text>
    </comment>
    <comment ref="U58" authorId="0" shapeId="0">
      <text>
        <t>final_annual_report.pdf (Key highlights &amp; portfolio); orig:'7.0 years Weighted average lease expiry (WALE)' (31 Mar 2022)</t>
      </text>
    </comment>
    <comment ref="V58" authorId="0" shapeId="0">
      <text>
        <t>embassy_reit_-_annual_report_-_fy_2022-23.pdf p.26-27; orig:'Subtotal (Office) WALE 6.6' (yrs; 31 Mar 2023)</t>
      </text>
    </comment>
    <comment ref="W58" authorId="0" shapeId="0">
      <text>
        <t>Embassy | consolidated FY2024 (AR, 3rd pass)
embassy_reit_ar_2024_final.pdf p.14 (Portfolio Summary); orig:'Sub-total (Commercial offices) ... WALE 6.8' (yrs); portfolio commercial offices; as-at 31 Mar 2024</t>
      </text>
    </comment>
    <comment ref="X58" authorId="0" shapeId="0">
      <text>
        <t>Embassy | consolidated FY2025 (AR, 3rd pass)
annual_report_2025.pdf p.21 (Portfolio Summary); orig:'Sub-Total (Commercial Offices) ... 8.4' (WALE yrs); as-at 31 Mar 2025</t>
      </text>
    </comment>
    <comment ref="Y58" authorId="0" shapeId="0">
      <text>
        <t>Embassy | consolidated FY2026 (AR, 3rd pass)
embassy_half_yearly_report_2025_-_final_file.pdf Portfolio Summary (printed p.38-39); orig:'Sub-Total (Commercial Offices) ... 8.5' (WALE yrs); as-at 30 Sep 2025</t>
      </text>
    </comment>
    <comment ref="H59" authorId="0" shapeId="0">
      <text>
        <t>Earning_Presentation_Q42024_63c5a9d394.pdf NDCF(2/2); orig:'Repayment of Shareholder Debt/NCD ... FY2024 5,600' (Rs mn)</t>
      </text>
    </comment>
    <comment ref="I63" authorId="0" shapeId="0">
      <text>
        <t>Consolidated_Financials_Q4_FY_2025_compressed_9c5306468f.pdf NDCF note 1 (Q4 only); Rs 1.97 interest on shareholder loan/CCD/NCD + Rs 0.04 interest on FD</t>
      </text>
    </comment>
    <comment ref="J63" authorId="0" shapeId="0">
      <text>
        <t>Consolidated_Financial_Statement_Q4_2026_7f35ccab9e.pdf NDCF note 1 (Q4 only); Rs 1.60 interest on shareholder loan/CCD/NCD + Rs 0.06 interest on FD</t>
      </text>
    </comment>
    <comment ref="I64" authorId="0" shapeId="0">
      <text>
        <t>Consolidated_Financials_Q4_FY_2025_compressed_9c5306468f.pdf NDCF note 1 (Q4 only); orig:'Rs 0.54 per unit in the form of dividend'</t>
      </text>
    </comment>
    <comment ref="J64" authorId="0" shapeId="0">
      <text>
        <t>Consolidated_Financial_Statement_Q4_2026_7f35ccab9e.pdf NDCF note 1 (Q4 only); orig:'Rs 0.88 per unit in the form of dividend'</t>
      </text>
    </comment>
    <comment ref="I65" authorId="0" shapeId="0">
      <text>
        <t>Consolidated_Financials_Q4_FY_2025_compressed_9c5306468f.pdf NDCF note 1 (Q4 only); orig:'Rs 2.70 per unit in the form of repayment of SPV debt and NCD'</t>
      </text>
    </comment>
    <comment ref="J65" authorId="0" shapeId="0">
      <text>
        <t>Consolidated_Financial_Statement_Q4_2026_7f35ccab9e.pdf NDCF note 1 (Q4 only); orig:'Rs 2.96 per unit in the form of repayment of SPV debt and NCD'</t>
      </text>
    </comment>
    <comment ref="H68" authorId="0" shapeId="0">
      <text>
        <t>Earning_Presentation_Q42024_63c5a9d394.pdf; orig:'Borrowings ... Total 107.9' Rs B (Net External Debt Rs 104 B)</t>
      </text>
    </comment>
    <comment ref="I68" authorId="0" shapeId="0">
      <text>
        <t>Earning_Presentation_Q4_FY_2025_363e49a9d9.pdf; Portfolio Gross Debt Rs 79.1 B + North Commercial Rs 32.7 B = Rs 111.8 B</t>
      </text>
    </comment>
    <comment ref="J68" authorId="0" shapeId="0">
      <text>
        <t>BIRET_Q4_FY_2026_Investor_Presentation_d39ed0af9f.pdf; Portfolio Gross Debt Rs 154.4 B + North Commercial Rs 34.0 B = Rs 188.4 B</t>
      </text>
    </comment>
    <comment ref="I69" authorId="0" shapeId="0">
      <text>
        <t>Standalone_Financial_Statements_Q4_2026_5862aa7714.pdf B/S; non-current Loans 45,424.64 (Rs mn, 31 Mar 2025); no current loans</t>
      </text>
    </comment>
    <comment ref="J69" authorId="0" shapeId="0">
      <text>
        <t>Standalone_Financial_Statements_Q4_2026_5862aa7714.pdf B/S; non-current Loans 44,075.54 (Rs mn, 31 Mar 2026); no current loans. Note: presentation cites 'REIT Shareholder Debt/NCD Rs 50.1 B' which also includes NCDs</t>
      </text>
    </comment>
    <comment ref="H75" authorId="0" shapeId="0">
      <text>
        <t>Earning_Presentation_Q42024_63c5a9d394.pdf; orig:'87% % LOANS LINKED TO REPO RATE'</t>
      </text>
    </comment>
    <comment ref="I75" authorId="0" shapeId="0">
      <text>
        <t>Earning_Presentation_Q4_FY_2025_363e49a9d9.pdf; orig:'84% % LOANS LINKED TO REPO RATE'</t>
      </text>
    </comment>
    <comment ref="J75" authorId="0" shapeId="0">
      <text>
        <t>BIRET_Q4_FY_2026_Investor_Presentation_d39ed0af9f.pdf GROSS DEBT COMPOSITION; orig:'Floating 10%' (Fixed 90%)</t>
      </text>
    </comment>
    <comment ref="H76" authorId="0" shapeId="0">
      <text>
        <t>Earning_Presentation_Q42024_63c5a9d394.pdf; orig:'9 Yrs AVERAGE MATURITY'</t>
      </text>
    </comment>
    <comment ref="I76" authorId="0" shapeId="0">
      <text>
        <t>Earning_Presentation_Q4_FY_2025_363e49a9d9.pdf; orig:'10 Yrs AVERAGE MATURITY' (Portfolio Assets; North Commercial 15 Yrs)</t>
      </text>
    </comment>
    <comment ref="J76" authorId="0" shapeId="0">
      <text>
        <t>BIRET_Q4_FY_2026_Investor_Presentation_d39ed0af9f.pdf; orig:'10 Yrs AVERAGE MATURITY' (Portfolio; North Commercial 14 Yrs)</t>
      </text>
    </comment>
    <comment ref="J77" authorId="0" shapeId="0">
      <text>
        <t>BIRET_Q4_FY_2026_Investor_Presentation_d39ed0af9f.pdf; orig:'LTV headroom of ~10% (Rs 50 Billion+)' (LTV-based debt headroom, not committed undrawn facilities)</t>
      </text>
    </comment>
  </commentList>
</comments>
</file>

<file path=xl/comments/comment4.xml><?xml version="1.0" encoding="utf-8"?>
<comments xmlns="http://schemas.openxmlformats.org/spreadsheetml/2006/main">
  <authors>
    <author>Source</author>
  </authors>
  <commentList>
    <comment ref="H9" authorId="0" shapeId="0">
      <text>
        <t>Nexus | consolidated FY2024
NXST-Condensed-Consolidated-FS-March-2024.pdf p.~57 note 35; orig:'19,163.74 Rs mn (year ended Mar 31 2024)'</t>
      </text>
    </comment>
    <comment ref="I9" authorId="0" shapeId="0">
      <text>
        <t>Nexus | consolidated FY2025
NXST-Consolidated-Financial-Results-Q4-FY26.pdf p.5; orig:'2,282.89 Rs crore (year ended Mar 31 2025)' x10</t>
      </text>
    </comment>
    <comment ref="J9" authorId="0" shapeId="0">
      <text>
        <t>Nexus | consolidated FY2026
NXST-Consolidated-Financial-Results-Q4-FY26.pdf p.5; orig:'2,568.00 Rs crore (year ended Mar 31 2026)' x10</t>
      </text>
    </comment>
    <comment ref="H10" authorId="0" shapeId="0">
      <text>
        <t>Nexus | consolidated FY2024
NXST-Condensed-Consolidated-FS-March-2024.pdf p.8 P&amp;L; orig:'807.37 Rs mn (year ended Mar 31 2024)'</t>
      </text>
    </comment>
    <comment ref="I10" authorId="0" shapeId="0">
      <text>
        <t>Nexus | consolidated FY2025 (2nd pass)
NXST-Consolidated-Financial-Results-Q4-FY26.pdf p6 Statement of Consolidated Financial Results, row 'Other income (Refer note 1)', Previous year ended 31/03/2025 column = Rs 116.52 crore (OCR-confirmed). x10 -&gt; INR 1,165.2 mn. (Cross-check: Revenue 2,282.89 + Other income 116.52 = Total Income 2,399.41 cr.)</t>
      </text>
    </comment>
    <comment ref="J10" authorId="0" shapeId="0">
      <text>
        <t>Nexus | consolidated FY2026 (2nd pass)
NXST-Consolidated-Financial-Results-Q4-FY26.pdf p6, row 'Other income (Refer note 1)', Year ended 31/03/2026 column = Rs 87.30 crore (OCR-confirmed). x10 -&gt; INR 873.0 mn. (Cross-check: Revenue 2,568.00 + Other income 87.30 = Total Income 2,655.30 cr.)</t>
      </text>
    </comment>
    <comment ref="Q10" authorId="0" shapeId="0">
      <text>
        <t>Nexus | standalone FY2024
NXST-Condensed-Standalone-FS-March-2024.pdf p.8 P&amp;L; orig:'~69.47 Rs mn (Total Income 10,764.05 less Dividend 6,075.05 less Interest 4,619.53)'</t>
      </text>
    </comment>
    <comment ref="R10" authorId="0" shapeId="0">
      <text>
        <t>Nexus | standalone FY2025
NXST-Standalone-Financial-Results-Q4-FY26.pdf p.3 P&amp;L; orig:'14.87 Rs crore (year ended Mar 31 2025)' x10</t>
      </text>
    </comment>
    <comment ref="S10" authorId="0" shapeId="0">
      <text>
        <t>Nexus | standalone FY2026
NXST-Standalone-Financial-Results-Q4-FY26.pdf p.3 P&amp;L; orig:'5.24 Rs crore (year ended Mar 31 2026)' x10</t>
      </text>
    </comment>
    <comment ref="H12" authorId="0" shapeId="0">
      <text>
        <t>Nexus | consolidated FY2024
NXST-Condensed-Consolidated-FS-March-2024.pdf p.8 P&amp;L note 41; orig:'1,662.27 Rs mn Operating and maintenance expenses (year ended Mar 31 2024)'</t>
      </text>
    </comment>
    <comment ref="I12" authorId="0" shapeId="0">
      <text>
        <t>Nexus | consolidated FY2025
NXST-Consolidated-Financial-Results-Q4-FY26.pdf p.5 P&amp;L note 2; orig:'387.06 Rs crore Operating and maintenance expenses (FY25)' x10</t>
      </text>
    </comment>
    <comment ref="J12" authorId="0" shapeId="0">
      <text>
        <t>Nexus | consolidated FY2026
NXST-Consolidated-Financial-Results-Q4-FY26.pdf p.5 P&amp;L note 2; orig:'428.43 Rs crore Operating and maintenance expenses (FY26)' x10</t>
      </text>
    </comment>
    <comment ref="R12" authorId="0" shapeId="0">
      <text>
        <t>Nexus | standalone FY2025
NXST-Standalone-Financial-Results-Q4-FY26.pdf p.3 P&amp;L; orig:'12.62 Rs crore Operating and maintenance expenses (FY25)' x10</t>
      </text>
    </comment>
    <comment ref="S12" authorId="0" shapeId="0">
      <text>
        <t>Nexus | standalone FY2026
NXST-Standalone-Financial-Results-Q4-FY26.pdf p.3 P&amp;L; orig:'13.66 Rs crore Operating and maintenance expenses (FY26)' x10</t>
      </text>
    </comment>
    <comment ref="H13" authorId="0" shapeId="0">
      <text>
        <t>Nexus | consolidated FY2024
NXST-Condensed-Consolidated-FS-March-2024.pdf p.~64 Segment Result (NOI excl Ind-AS adj); orig:'14,347.88 Rs mn (year ended Mar 31 2024)'</t>
      </text>
    </comment>
    <comment ref="I13" authorId="0" shapeId="0">
      <text>
        <t>Nexus | consolidated FY2025
NXST-Consolidated-Financial-Results-Q4-FY26.pdf p.~13 ratios '(s) net operating income'; orig:'1,711.03 Rs crore (FY25)' x10</t>
      </text>
    </comment>
    <comment ref="J13" authorId="0" shapeId="0">
      <text>
        <t>Nexus | consolidated FY2026
NXST-Consolidated-Financial-Results-Q4-FY26.pdf p.~13 ratios '(s) net operating income'; orig:'1,929.64 Rs crore (FY26)' x10</t>
      </text>
    </comment>
    <comment ref="H15" authorId="0" shapeId="0">
      <text>
        <t>Nexus | consolidated FY2024
NXST-Condensed-Consolidated-FS-March-2024.pdf p.8/segment 'Earnings before finance costs, depreciation, amortisation and tax'; orig:'13,657.78 Rs mn (year ended Mar 31 2024)'</t>
      </text>
    </comment>
    <comment ref="I15" authorId="0" shapeId="0">
      <text>
        <t>Nexus | consolidated FY2025
NXST-Consolidated-Financial-Results-Q4-FY26.pdf p.5 'Earnings before finance costs, depreciation, amortisation and tax'; orig:'1,660.76 Rs crore (FY25)' x10</t>
      </text>
    </comment>
    <comment ref="J15" authorId="0" shapeId="0">
      <text>
        <t>Nexus | consolidated FY2026
NXST-Consolidated-Financial-Results-Q4-FY26.pdf p.5 'Earnings before finance costs, depreciation, amortisation and tax'; orig:'1,820.73 Rs crore (FY26)' x10</t>
      </text>
    </comment>
    <comment ref="Q15" authorId="0" shapeId="0">
      <text>
        <t>Nexus | standalone FY2024
NXST-Condensed-Standalone-FS-March-2024.pdf p.8; orig:'10,460.81 Rs mn EBITDA (year ended Mar 31 2024)'</t>
      </text>
    </comment>
    <comment ref="R15" authorId="0" shapeId="0">
      <text>
        <t>Nexus | standalone FY2025
NXST-Standalone-Financial-Results-Q4-FY26.pdf p.3; orig:'1,307.16 Rs crore (FY25)' x10</t>
      </text>
    </comment>
    <comment ref="S15" authorId="0" shapeId="0">
      <text>
        <t>Nexus | standalone FY2026
NXST-Standalone-Financial-Results-Q4-FY26.pdf p.3; orig:'1,485.44 Rs crore (FY26)' x10</t>
      </text>
    </comment>
    <comment ref="H17" authorId="0" shapeId="0">
      <text>
        <t>Nexus | consolidated FY2024
NXST-Condensed-Consolidated-FS-March-2024.pdf p.8/segment; orig:'3,370.95 Rs mn (year ended Mar 31 2024)'</t>
      </text>
    </comment>
    <comment ref="I17" authorId="0" shapeId="0">
      <text>
        <t>Nexus | consolidated FY2025
NXST-Consolidated-Financial-Results-Q4-FY26.pdf p.5 P&amp;L; orig:'394.34 Rs crore (FY25)' x10</t>
      </text>
    </comment>
    <comment ref="J17" authorId="0" shapeId="0">
      <text>
        <t>Nexus | consolidated FY2026
NXST-Consolidated-Financial-Results-Q4-FY26.pdf p.5 P&amp;L; orig:'457.95 Rs crore (FY26)' x10</t>
      </text>
    </comment>
    <comment ref="Q17" authorId="0" shapeId="0">
      <text>
        <t>Nexus | standalone FY2024
NXST-Condensed-Standalone-FS-March-2024.pdf p.8 P&amp;L note 24; orig:'1,500.91 Rs mn (year ended Mar 31 2024)'</t>
      </text>
    </comment>
    <comment ref="R17" authorId="0" shapeId="0">
      <text>
        <t>Nexus | standalone FY2025
NXST-Standalone-Financial-Results-Q4-FY26.pdf p.3 P&amp;L; orig:'234.51 Rs crore (FY25)' x10</t>
      </text>
    </comment>
    <comment ref="S17" authorId="0" shapeId="0">
      <text>
        <t>Nexus | standalone FY2026
NXST-Standalone-Financial-Results-Q4-FY26.pdf p.3 P&amp;L; orig:'316.22 Rs crore (FY26)' x10</t>
      </text>
    </comment>
    <comment ref="H18" authorId="0" shapeId="0">
      <text>
        <t>Nexus | consolidated FY2024
NXST-Condensed-Consolidated-FS-March-2024.pdf p.8/9 P&amp;L note 45; orig:'5,701.64 Rs mn (year ended Mar 31 2024)'</t>
      </text>
    </comment>
    <comment ref="I18" authorId="0" shapeId="0">
      <text>
        <t>Nexus | consolidated FY2025
NXST-Consolidated-Financial-Results-Q4-FY26.pdf p.5 P&amp;L; orig:'586.12 Rs crore (FY25)' x10</t>
      </text>
    </comment>
    <comment ref="J18" authorId="0" shapeId="0">
      <text>
        <t>Nexus | consolidated FY2026
NXST-Consolidated-Financial-Results-Q4-FY26.pdf p.5 P&amp;L; orig:'619.84 Rs crore (FY26)' x10</t>
      </text>
    </comment>
    <comment ref="H19" authorId="0" shapeId="0">
      <text>
        <t>Nexus | consolidated FY2024
NXST-Condensed-Consolidated-FS-March-2024.pdf p.9 Cash Flow 'Profit before tax'; orig:'5,147.75 Rs mn (year ended Mar 31 2024)'</t>
      </text>
    </comment>
    <comment ref="I19" authorId="0" shapeId="0">
      <text>
        <t>Nexus | consolidated FY2025
NXST-Consolidated-Financial-Results-Q4-FY26.pdf p.7 Cash Flow; orig:'697.85 Rs crore (FY25)' x10</t>
      </text>
    </comment>
    <comment ref="J19" authorId="0" shapeId="0">
      <text>
        <t>Nexus | consolidated FY2026
NXST-Consolidated-Financial-Results-Q4-FY26.pdf p.7 Cash Flow; orig:'743.29 Rs crore (FY26)' x10</t>
      </text>
    </comment>
    <comment ref="Q19" authorId="0" shapeId="0">
      <text>
        <t>Nexus | standalone FY2024
NXST-Condensed-Standalone-FS-March-2024.pdf p.8 P&amp;L; orig:'8,959.90 Rs mn Profit before tax (year ended Mar 31 2024)'</t>
      </text>
    </comment>
    <comment ref="R19" authorId="0" shapeId="0">
      <text>
        <t>Nexus | standalone FY2025
NXST-Standalone-Financial-Results-Q4-FY26.pdf p.4 Cash Flow; orig:'1,072.65 Rs crore (FY25)' x10</t>
      </text>
    </comment>
    <comment ref="S19" authorId="0" shapeId="0">
      <text>
        <t>Nexus | standalone FY2026
NXST-Standalone-Financial-Results-Q4-FY26.pdf p.4 Cash Flow; orig:'1,169.22 Rs crore (FY26)' x10</t>
      </text>
    </comment>
    <comment ref="H20" authorId="0" shapeId="0">
      <text>
        <t>Nexus | consolidated FY2024
NXST-Condensed-Consolidated-FS-March-2024.pdf p.8 SOCE 'Profit for the year'; orig:'5,978.46 Rs mn (year ended Mar 31 2024)'</t>
      </text>
    </comment>
    <comment ref="I20" authorId="0" shapeId="0">
      <text>
        <t>Nexus | consolidated FY2025
NXST-Consolidated-Financial-Results-Q4-FY26.pdf p.5 P&amp;L 'Profit for the year'; orig:'482.81 Rs crore (FY25)' x10</t>
      </text>
    </comment>
    <comment ref="J20" authorId="0" shapeId="0">
      <text>
        <t>Nexus | consolidated FY2026
NXST-Consolidated-Financial-Results-Q4-FY26.pdf p.5 P&amp;L 'Profit for the year'; orig:'403.47 Rs crore (FY26)' x10</t>
      </text>
    </comment>
    <comment ref="Q20" authorId="0" shapeId="0">
      <text>
        <t>Nexus | standalone FY2024
NXST-Condensed-Standalone-FS-March-2024.pdf p.8 P&amp;L; orig:'~8,939.10 Rs mn (PBT 8,959.90 less current tax 20.80; year ended Mar 31 2024)'</t>
      </text>
    </comment>
    <comment ref="R20" authorId="0" shapeId="0">
      <text>
        <t>Nexus | standalone FY2025
NXST-Standalone-Financial-Results-Q4-FY26.pdf p.3 P&amp;L 'Profit for the year'; orig:'1,069.01 Rs crore (FY25)' x10</t>
      </text>
    </comment>
    <comment ref="S20" authorId="0" shapeId="0">
      <text>
        <t>Nexus | standalone FY2026
NXST-Standalone-Financial-Results-Q4-FY26.pdf p.3 P&amp;L 'Profit for the year'; orig:'1,168.43 Rs crore (FY26)' x10</t>
      </text>
    </comment>
    <comment ref="H23" authorId="0" shapeId="0">
      <text>
        <t>Nexus | consolidated FY2024 (3rd pass)
NXST-Condensed-Consolidated-FS-March-2024.pdf p.14 'Net Distributable Cash Flows (NDCF) pursuant to guidance under Paragraph 6 to SEBI circular No. CIR/IMD/DF/146/2016', NDCF row, column 'For the year ended March 31, 2024 (Audited)' = 10,718.63 (OCR via pdftoppm 300dpi + tesseract; text layer was garbled). Document is stated in Rs. million ('All amounts are in Rs. million, unless otherwise stated') so NO crore conversion applied: value = 10,718.63 INR mn. Cross-check: same row half-year ended 31 Mar 2024 = 6,197.87, Q4 (qtr ended 31 Mar 2024) = 3,167.87. FY2024 was Nexus's first full reporting year (listed 19 May 2023); the FY25-Q4 consolidated file is fully scanned and carries no FY2024 NDCF comparative.</t>
      </text>
    </comment>
    <comment ref="I23" authorId="0" shapeId="0">
      <text>
        <t>Nexus | consolidated FY2025
NXST-Consolidated-Financial-Results-Q4-FY26.pdf p.12 'NDCF at Trust Level'; orig:'1,190.48 Rs crore (year ended Mar 31 2025)' x10</t>
      </text>
    </comment>
    <comment ref="J23" authorId="0" shapeId="0">
      <text>
        <t>Nexus | consolidated FY2026
NXST-Consolidated-Financial-Results-Q4-FY26.pdf p.11 'NDCF at Trust Level'; orig:'1,279.32 Rs crore (year ended Mar 31 2026)' x10</t>
      </text>
    </comment>
    <comment ref="H24" authorId="0" shapeId="0">
      <text>
        <t>Nexus | consolidated FY2024 (PAID-DURING basis - partial first year)
NXST-Condensed-Consolidated-FS-March-2024.pdf SOCE 'Distribution to unitholders' = 7550.76 Rs mn.
[Nexus listed 11 May 2023; Q4-FY24 distribution declared/paid after 31 Mar 2024, so this UNDERSTATES the declared-for-year amount. A declared-for-year FY2024 figure is NOT in the provided PDFs. The ~70% NDCF payout is a basis artifact, not a true payout.]</t>
      </text>
    </comment>
    <comment ref="I24" authorId="0" shapeId="0">
      <text>
        <t>Nexus | consolidated FY2025 (declared-for-year, audit-corrected)
Derived: DPU 8.15 (NXST-Consolidated-Financial-Results-Q4-FY26.pdf, p.~18, Ratios note 8, row '(t) distribution per unit', column 'For the year ended 31/03/2025' = 8.15) x 1,515,000,000 units = 12,347.25 mn (= Rs 1,234.73 crore). No explicit FY25 cumulative-crore note in the provided FY26 results doc; FY25 condensed FS is fully scanned and contains no OCR-able distribution-declared note.
[was 12788.12 = 'paid during the year' from SOCE; replaced with declared-for-year = DPU 8.15 x 1,515 mn units, consistent with FY2026 basis; NDCF payout now 103.7%]</t>
      </text>
    </comment>
    <comment ref="J24" authorId="0" shapeId="0">
      <text>
        <t>Nexus | consolidated FY2026
NXST-Consolidated-Financial-Results-Q4-FY26.pdf p.11 note; orig:'1,375.77 Rs crore cumulative distribution for year ended Mar 31 2026' x10</t>
      </text>
    </comment>
    <comment ref="H25" authorId="0" shapeId="0">
      <text>
        <t>Nexus | consolidated FY2024
NXST-Condensed-Consolidated-FS-March-2024.pdf p.8 computed: 7,550.76 Rs mn / 1,515 mn units; orig:'total distribution 7,550.76 Rs mn (partial year from May-2023 listing)'</t>
      </text>
    </comment>
    <comment ref="I25" authorId="0" shapeId="0">
      <text>
        <t>Nexus | consolidated FY2025
NXST-Consolidated-Financial-Results-Q4-FY26.pdf p.~13 ratios '(t) distribution per unit'; orig:'8.15 Rs/unit (FY25)'</t>
      </text>
    </comment>
    <comment ref="J25" authorId="0" shapeId="0">
      <text>
        <t>Nexus | consolidated FY2026
NXST-Consolidated-Financial-Results-Q4-FY26.pdf p.~13 ratios '(t) distribution per unit' / p.11 note; orig:'9.08 (9.081) Rs/unit (FY26)'</t>
      </text>
    </comment>
    <comment ref="H28" authorId="0" shapeId="0">
      <text>
        <t>Nexus | consolidated FY2024
NXST-Condensed-Consolidated-FS-March-2024.pdf p.~?? Statement of Net Assets at Fair Value; orig:'270,836.93 Rs mn Total Assets at Fair Value (Mar 31 2024)'</t>
      </text>
    </comment>
    <comment ref="I28" authorId="0" shapeId="0">
      <text>
        <t>Nexus | consolidated FY2025 (2nd pass)
Condensed-Consolidated-Financial-Statements-FY25-Q4.pdf p14 (OCR, high-res) 'Statement of Net Assets at Fair Value (NAV)': (A) Total Assets Fair value as at March 31, 2025 = 294,113.32 (Rs. million) = GAV. Project-wise fair value of assets total also = 294,113.32 mn. Net assets at fair value = 230,020.50 mn; NAV/unit = 151.83. Already in INR mn; ~INR 29,411 cr.</t>
      </text>
    </comment>
    <comment ref="J28" authorId="0" shapeId="0">
      <text>
        <t>Nexus | consolidated FY2026
Detailed-Valuation-Report-Q4-FY26.pdf p.108 sec 4.21 Value Summary Total; orig:'305,583 INR Mn portfolio Market Value (as on Mar 31 2026)'</t>
      </text>
    </comment>
    <comment ref="H29" authorId="0" shapeId="0">
      <text>
        <t>Nexus | consolidated FY2024
NXST-Condensed-Consolidated-FS-March-2024.pdf p.6/7 BS; orig:'non-current Borrowings 41,698.11 + current Borrowings 937.20 Rs mn (Mar 31 2024)'</t>
      </text>
    </comment>
    <comment ref="I29" authorId="0" shapeId="0">
      <text>
        <t>Nexus | consolidated FY2025
NXST-Consolidated-Financial-Results-Q4-FY26.pdf p.6 BS; orig:'non-current 4,981.65 + current 346.90 Rs crore (Mar 31 2025)' x10</t>
      </text>
    </comment>
    <comment ref="J29" authorId="0" shapeId="0">
      <text>
        <t>Nexus | consolidated FY2026
NXST-Consolidated-Financial-Results-Q4-FY26.pdf p.6 BS; orig:'non-current 5,998.72 + current 198.51 Rs crore (Mar 31 2026)' x10</t>
      </text>
    </comment>
    <comment ref="Q29" authorId="0" shapeId="0">
      <text>
        <t>Nexus | standalone FY2024
NXST-Condensed-Standalone-FS-March-2024.pdf p.4 BS; orig:'non-current Borrowings 71,308.37 + current 937.00 Rs mn (Mar 31 2024)'</t>
      </text>
    </comment>
    <comment ref="R29" authorId="0" shapeId="0">
      <text>
        <t>Nexus | standalone FY2025
NXST-Standalone-Financial-Results-Q4-FY26.pdf p.4 BS; orig:'non-current 3,174.23 + current 346.90 Rs crore (Mar 31 2025)' x10</t>
      </text>
    </comment>
    <comment ref="S29" authorId="0" shapeId="0">
      <text>
        <t>Nexus | standalone FY2026
NXST-Standalone-Financial-Results-Q4-FY26.pdf p.4 BS; orig:'non-current 4,186.40 + current 198.51 Rs crore (Mar 31 2026)' x10</t>
      </text>
    </comment>
    <comment ref="H30" authorId="0" shapeId="0">
      <text>
        <t>Nexus | consolidated FY2024
NXST-Condensed-Consolidated-FS-March-2024.pdf p.6 BS; orig:'394.04 Rs mn Cash and cash equivalents (Mar 31 2024)'</t>
      </text>
    </comment>
    <comment ref="I30" authorId="0" shapeId="0">
      <text>
        <t>Nexus | consolidated FY2025
NXST-Consolidated-Financial-Results-Q4-FY26.pdf p.6 BS; orig:'19.30 Rs crore (Mar 31 2025)' x10</t>
      </text>
    </comment>
    <comment ref="J30" authorId="0" shapeId="0">
      <text>
        <t>Nexus | consolidated FY2026
NXST-Consolidated-Financial-Results-Q4-FY26.pdf p.6 BS; orig:'36.03 Rs crore (Mar 31 2026)' x10</t>
      </text>
    </comment>
    <comment ref="Q30" authorId="0" shapeId="0">
      <text>
        <t>Nexus | standalone FY2024
NXST-Condensed-Standalone-FS-March-2024.pdf p.4 BS; orig:'520.16 Rs mn Cash and cash equivalents (Mar 31 2024)'</t>
      </text>
    </comment>
    <comment ref="R30" authorId="0" shapeId="0">
      <text>
        <t>Nexus | standalone FY2025
NXST-Standalone-Financial-Results-Q4-FY26.pdf p.4 BS; orig:'7.72 Rs crore (Mar 31 2025)' x10</t>
      </text>
    </comment>
    <comment ref="S30" authorId="0" shapeId="0">
      <text>
        <t>Nexus | standalone FY2026
NXST-Standalone-Financial-Results-Q4-FY26.pdf p.4 BS; orig:'23.11 Rs crore (Mar 31 2026)' x10</t>
      </text>
    </comment>
    <comment ref="H32" authorId="0" shapeId="0">
      <text>
        <t>Nexus | consolidated FY2024
NXST-Condensed-Consolidated-FS-March-2024.pdf p.6 BS Total Equity; orig:'149,348.50 Rs mn (Mar 31 2024)'</t>
      </text>
    </comment>
    <comment ref="I32" authorId="0" shapeId="0">
      <text>
        <t>Nexus | consolidated FY2025
NXST-Consolidated-Financial-Results-Q4-FY26.pdf p.~13 ratios '(f) net worth' / BS; orig:'14,138.66 Rs crore (Mar 31 2025)' x10</t>
      </text>
    </comment>
    <comment ref="J32" authorId="0" shapeId="0">
      <text>
        <t>Nexus | consolidated FY2026
NXST-Consolidated-Financial-Results-Q4-FY26.pdf p.~13 ratios '(f) net worth' / BS; orig:'13,210.10 Rs crore (Mar 31 2026)' x10</t>
      </text>
    </comment>
    <comment ref="Q32" authorId="0" shapeId="0">
      <text>
        <t>Nexus | standalone FY2024
NXST-Condensed-Standalone-FS-March-2024.pdf p.4 BS Total Equity; orig:'152,309.14 Rs mn (Mar 31 2024)'</t>
      </text>
    </comment>
    <comment ref="R32" authorId="0" shapeId="0">
      <text>
        <t>Nexus | standalone FY2025
NXST-Standalone-Financial-Results-Q4-FY26.pdf p.~ ratios/BS; orig:'15,021.11 Rs crore (Mar 31 2025)' x10</t>
      </text>
    </comment>
    <comment ref="S32" authorId="0" shapeId="0">
      <text>
        <t>Nexus | standalone FY2026
NXST-Standalone-Financial-Results-Q4-FY26.pdf p.4 BS Total Equity; orig:'14,857.09 Rs crore (Mar 31 2026)' x10</t>
      </text>
    </comment>
    <comment ref="H34" authorId="0" shapeId="0">
      <text>
        <t>Nexus | consolidated FY2024
NXST-Condensed-Consolidated-FS-March-2024.pdf Statement of Net Assets at Fair Value; orig:'NAV book value 98.58 Rs/unit (Mar 31 2024); fair-value NAV higher'</t>
      </text>
    </comment>
    <comment ref="I34" authorId="0" shapeId="0">
      <text>
        <t>Nexus | consolidated FY2025
NXST-Consolidated-Financial-Results-Q4-FY26.pdf p.8 Statement of Net Assets at Fair Value (NAV); orig:'93.32 Rs/unit book value (Mar 31 2025); fair value 151.83'</t>
      </text>
    </comment>
    <comment ref="J34" authorId="0" shapeId="0">
      <text>
        <t>Nexus | consolidated FY2026
NXST-Consolidated-Financial-Results-Q4-FY26.pdf p.8 Statement of Net Assets at Fair Value (NAV); orig:'87.70 Rs/unit book value (Mar 31 2026); fair value 164.00'</t>
      </text>
    </comment>
    <comment ref="H36" authorId="0" shapeId="0">
      <text>
        <t>Nexus | consolidated FY2024
NXST-Condensed-Consolidated-FS-March-2024.pdf p.8 SOCE / NAV statement; orig:'1,515,000,000 units = 151.50 crore = 1,515 mn'</t>
      </text>
    </comment>
    <comment ref="I36" authorId="0" shapeId="0">
      <text>
        <t>Nexus | consolidated FY2025
NXST-Consolidated-Financial-Results-Q4-FY26.pdf p.8 NAV statement; orig:'151.50 crore units = 1,515 mn'</t>
      </text>
    </comment>
    <comment ref="J36" authorId="0" shapeId="0">
      <text>
        <t>Nexus | consolidated FY2026
NXST-Consolidated-Financial-Results-Q4-FY26.pdf p.8 NAV statement; orig:'151.50 crore units = 1,515 mn'</t>
      </text>
    </comment>
    <comment ref="H37" authorId="0" shapeId="0">
      <text>
        <t>Nexus | Unit Price FY2024
REIT_Tableau_Ready_1.xlsx 'Prices' sheet; exchange close on 2024-03-28 (last trading day on/before 31-Mar).</t>
      </text>
    </comment>
    <comment ref="I37" authorId="0" shapeId="0">
      <text>
        <t>Nexus | Unit Price FY2025
REIT_Tableau_Ready_1.xlsx 'Prices' sheet; exchange close on 2025-03-28 (last trading day on/before 31-Mar).</t>
      </text>
    </comment>
    <comment ref="J37" authorId="0" shapeId="0">
      <text>
        <t>Nexus | Unit Price FY2026
REIT_Tableau_Ready_1.xlsx 'Prices' sheet; exchange close on 2026-03-30 (last trading day on/before 31-Mar).</t>
      </text>
    </comment>
    <comment ref="H40" authorId="0" shapeId="0">
      <text>
        <t>Nexus | consolidated FY2024 (investor presentation)
Earnings-Update-Q4-FY24-2.pdf slide 33; orig:'8.1% Average Debt Cost; Gross Debt INR 43 Bn'; as-at 31 Mar 2024</t>
      </text>
    </comment>
    <comment ref="I40" authorId="0" shapeId="0">
      <text>
        <t>Nexus | consolidated FY2025 (investor presentation)
Earning-Call-Transcript_Q4-FY25_vf.pdf slide 22; orig:'7.9% Average Debt Cost; Gross Debt INR 53 Bn (down 20bps YoY)'; as-at 31 Mar 2025</t>
      </text>
    </comment>
    <comment ref="J40" authorId="0" shapeId="0">
      <text>
        <t>Nexus | consolidated FY2026
Half-Yearly-Report-FY-2026.pdf p.~ financial snapshot; orig:'Average Debt Cost 7.5% (declined 40 bps, H1 FY2025-26 as on Sep 30 2025)'</t>
      </text>
    </comment>
    <comment ref="H42" authorId="0" shapeId="0">
      <text>
        <t>Nexus | consolidated FY2024 (investor presentation)
Earnings-Update-Q4-FY24-2.pdf slide 39; orig:'9.9M sf Retail Portfolio across 17 Consumption Centres / 14 cities'; as-at 31 Mar 2024</t>
      </text>
    </comment>
    <comment ref="I42" authorId="0" shapeId="0">
      <text>
        <t>Nexus | consolidated FY2025 (investor presentation)
Earning-Call-Transcript_Q4-FY25_vf.pdf slide 28; orig:'10.4M sf Retail Portfolio across 18 Consumption Centres (excl MBD complex acquired 7 May 25)'; as-at 31 Mar 2025</t>
      </text>
    </comment>
    <comment ref="J42" authorId="0" shapeId="0">
      <text>
        <t>Nexus | consolidated FY2026
Half-Yearly-Report-FY-2026.pdf p.~ portfolio summary; orig:'Retail 10.6 Msf + Commercial Offices 1.3 Msf = ~11.9 Msf Gross Leasable Area (H1 FY26 / Sep 2025); DVR Total: retail 10.05 + offices 1.25 msf'</t>
      </text>
    </comment>
    <comment ref="H43" authorId="0" shapeId="0">
      <text>
        <t>Nexus | consolidated FY2024 (investor presentation)
Earnings-Update-Q4-FY24-2.pdf; derived = trading occupancy 95.6% x retail GLA 9.9M sf; def:'Trading Occupancy = Total operational area / Total leasable area'; as-at 31 Mar 2024</t>
      </text>
    </comment>
    <comment ref="I43" authorId="0" shapeId="0">
      <text>
        <t>Nexus | consolidated FY2025 (investor presentation)
Earning-Call-Transcript_Q4-FY25_vf.pdf; derived = trading occupancy 96.6% x retail GLA 10.4M sf; def:'Trading Occupancy = Total operational area / Total leasable area'; as-at 31 Mar 2025</t>
      </text>
    </comment>
    <comment ref="J43" authorId="0" shapeId="0">
      <text>
        <t>Nexus | consolidated FY2026
Detailed-Valuation-Report-Q4-FY26.pdf p.108 Value Summary; orig:'Urban Consumption Centres 10.05 msf + Offices 1.25 msf = 11.30 msf (completed, Mar 31 2026)'</t>
      </text>
    </comment>
    <comment ref="H45" authorId="0" shapeId="0">
      <text>
        <t>Nexus | consolidated FY2024 (investor presentation)
Earnings-Update-Q4-FY24-2.pdf slide 14/39; orig:'97.6% Leased Occupancy' (retail leased/committed occupancy); as-at 31 Mar 2024</t>
      </text>
    </comment>
    <comment ref="I45" authorId="0" shapeId="0">
      <text>
        <t>Nexus | consolidated FY2025 (investor presentation)
Earning-Call-Transcript_Q4-FY25_vf.pdf slide 28; orig:'97.2% Leased Occupancy'; as-at 31 Mar 2025</t>
      </text>
    </comment>
    <comment ref="J45" authorId="0" shapeId="0">
      <text>
        <t>Nexus | consolidated FY2026
Half-Yearly-Report-FY-2026.pdf p.~ portfolio summary; orig:'97% Leased Occupancy (retail; H1 FY26 / Sep 2025); retail sub-total 97%'</t>
      </text>
    </comment>
    <comment ref="H46" authorId="0" shapeId="0">
      <text>
        <t>Nexus | consolidated FY2024 (investor presentation)
Earnings-Update-Q4-FY24-2.pdf FY24 leasing slide; orig:'95.6% Trading Occupancy'; as-at 31 Mar 2024</t>
      </text>
    </comment>
    <comment ref="I46" authorId="0" shapeId="0">
      <text>
        <t>Nexus | consolidated FY2025 (investor presentation)
Earning-Call-Transcript_Q4-FY25_vf.pdf slide 28; orig:'96.6% Trading Occupancy (improved 100bps YoY)'; as-at 31 Mar 2025</t>
      </text>
    </comment>
    <comment ref="J46" authorId="0" shapeId="0">
      <text>
        <t>Nexus | consolidated FY2026
Half-Yearly-Report-FY-2026.pdf p.~ portfolio summary; orig:'95% Trading Occupancy (retail; H1 FY26 / Sep 2025)'</t>
      </text>
    </comment>
    <comment ref="H47" authorId="0" shapeId="0">
      <text>
        <t>Nexus | consolidated FY2024 (investor presentation)
Earnings-Update-Q4-FY24-2.pdf slide 14; orig:'5.1 Years WALE (weighted average based on gross rental)'; as-at 31 Mar 2024</t>
      </text>
    </comment>
    <comment ref="I47" authorId="0" shapeId="0">
      <text>
        <t>Nexus | consolidated FY2025 (investor presentation)
Earning-Call-Transcript_Q4-FY25_vf.pdf slide 28; orig:'4.9 Years Retail Portfolio WALE'; as-at 31 Mar 2025</t>
      </text>
    </comment>
    <comment ref="J47" authorId="0" shapeId="0">
      <text>
        <t>Nexus | consolidated FY2026
Half-Yearly-Report-FY-2026.pdf p.~ retail metrics; orig:'4.7 Years WALE (retail; H1 FY26 / Sep 2025)'</t>
      </text>
    </comment>
    <comment ref="H48" authorId="0" shapeId="0">
      <text>
        <t>Nexus | consolidated FY2024 (investor presentation)
Earnings-Update-Q4-FY24-2.pdf slide 39; orig:'~3,000 Retail Stores with 1,000+ Brands' (stores, approx); as-at 31 Mar 2024</t>
      </text>
    </comment>
    <comment ref="I48" authorId="0" shapeId="0">
      <text>
        <t>Nexus | consolidated FY2025 (investor presentation)
Earning-Call-Transcript_Q4-FY25_vf.pdf slide 28; orig:'~3,000 Retail Stores with 1,000+ Brands' (stores, approx); as-at 31 Mar 2025</t>
      </text>
    </comment>
    <comment ref="J48" authorId="0" shapeId="0">
      <text>
        <t>Nexus | consolidated FY2026
Half-Yearly-Report-FY-2026.pdf p.~ portfolio highlights; orig:'3,200+ Stores (1,000+ domestic &amp; international brands), H1 FY26'</t>
      </text>
    </comment>
    <comment ref="H49" authorId="0" shapeId="0">
      <text>
        <t>Nexus | consolidated FY2024 (investor presentation)
Earnings-Update-Q4-FY24-2.pdf MTM slide; orig:'In-place Rents 127 (INR psf/month) vs Market Rents 144' (retail, consumption centres); as-at 31 Mar 2024</t>
      </text>
    </comment>
    <comment ref="I49" authorId="0" shapeId="0">
      <text>
        <t>Nexus | consolidated FY2025 (investor presentation)
Earning-Call-Transcript_Q4-FY25_vf.pdf slide 32 + FY25 KPIs; orig:'Increase in-place rental by 5.5% YoY to INR 134 psf pm; In-place 134 vs Market 147' (retail); as-at 31 Mar 2025</t>
      </text>
    </comment>
    <comment ref="U57" authorId="0" shapeId="0">
      <text>
        <t>Embassy | consolidated FY2024 (AR, 3rd pass)
embassy_reit_ar_2024_final.pdf p.14 (Portfolio Summary, Sub-total Commercial offices) &amp; p.4; orig:'Sub-total (Commercial offices) ... 85%' / 'Occupancy(1) 85%'; commercial offices, completed-area basis; as-at 31 Mar 2024</t>
      </text>
    </comment>
    <comment ref="V57" authorId="0" shapeId="0">
      <text>
        <t>Embassy | consolidated FY2025 (AR, 3rd pass)
annual_report_2025.pdf p.21 (Portfolio Summary); orig:'Sub-Total (Commercial Offices) ... 87%'; commercial offices completed-area basis; as-at 31 Mar 2025</t>
      </text>
    </comment>
    <comment ref="W57" authorId="0" shapeId="0">
      <text>
        <t>Embassy | consolidated FY2026
eop_reit_valuation_report_march_2026.pdf p.34; orig: 'Occupancy (%) 90%' (portfolio-level, as at 31 March 2026)</t>
      </text>
    </comment>
    <comment ref="U58" authorId="0" shapeId="0">
      <text>
        <t>Embassy | consolidated FY2024 (AR, 3rd pass)
embassy_reit_ar_2024_final.pdf p.14 (Portfolio Summary); orig:'Sub-total (Commercial offices) ... WALE 6.8' (yrs); portfolio commercial offices; as-at 31 Mar 2024</t>
      </text>
    </comment>
    <comment ref="V58" authorId="0" shapeId="0">
      <text>
        <t>Embassy | consolidated FY2025 (AR, 3rd pass)
annual_report_2025.pdf p.21 (Portfolio Summary); orig:'Sub-Total (Commercial Offices) ... 8.4' (WALE yrs); as-at 31 Mar 2025</t>
      </text>
    </comment>
    <comment ref="W58" authorId="0" shapeId="0">
      <text>
        <t>Embassy | consolidated FY2026 (AR, 3rd pass)
embassy_half_yearly_report_2025_-_final_file.pdf Portfolio Summary (printed p.38-39); orig:'Sub-Total (Commercial Offices) ... 8.5' (WALE yrs); as-at 30 Sep 2025</t>
      </text>
    </comment>
    <comment ref="H68" authorId="0" shapeId="0">
      <text>
        <t>NXST-Condensed-Consolidated-FS-March-2024.pdf consol borrowings; deck Earnings-Update-Q4-FY24 rounds to INR 43 Bn</t>
      </text>
    </comment>
    <comment ref="I68" authorId="0" shapeId="0">
      <text>
        <t>NXST-Consolidated-Financial-Results-Q4-FY26.pdf (FY25 comparative); transcript Q4 FY25 'Gross Debt INR 53 Bn'</t>
      </text>
    </comment>
    <comment ref="J68" authorId="0" shapeId="0">
      <text>
        <t>NXST-Consolidated-Financial-Results-Q4-FY26.pdf consol B/S; non-current Borrowings 5,998.72cr + current 198.51cr = 6,197.23cr x10 (Half-Yearly Report FY26 cites Rs58 Bn at Sep-25)</t>
      </text>
    </comment>
    <comment ref="H69" authorId="0" shapeId="0">
      <text>
        <t>NXST-Condensed-Standalone-FS-March-2024.pdf B/S; non-current Loans 28,707.42 + current 1,347.76 (Rs mn, 31 Mar 2024)</t>
      </text>
    </comment>
    <comment ref="I69" authorId="0" shapeId="0">
      <text>
        <t>Condensed-Standalone-Financial-Statements-FY25-Q4.pdf p6 (OCR); non-current Loans 40,285.70 + current 1,225.00 (Rs mn, 31 Mar 2025); also =4,151.07cr x10 from FY26 SA comparative</t>
      </text>
    </comment>
    <comment ref="J69" authorId="0" shapeId="0">
      <text>
        <t>NXST-Standalone-Financial-Results-Q4-FY26.pdf B/S; non-current Loans 4,619.45cr + current 166.00cr = 4,785.45cr x10 (Rs mn, 31 Mar 2026; reported in Rs crore)</t>
      </text>
    </comment>
    <comment ref="H75" authorId="0" shapeId="0">
      <text>
        <t>Earnings-Update-Q4-FY24-2.pdf; orig:'Floating Debt 74%' (Fixed 26%)</t>
      </text>
    </comment>
    <comment ref="I75" authorId="0" shapeId="0">
      <text>
        <t>Earning-Call-Transcript_Q4-FY25_vf.pdf DEBT PROFILE; orig:'56% floating debt and 44% fixed debt'</t>
      </text>
    </comment>
    <comment ref="J75" authorId="0" shapeId="0">
      <text>
        <t>Half-Yearly-Report-FY-2026.pdf debt summary (as at Sep-25); orig:'Floating Debt 51% / Fixed Debt 49%'</t>
      </text>
    </comment>
  </commentList>
</comments>
</file>

<file path=xl/comments/comment5.xml><?xml version="1.0" encoding="utf-8"?>
<comments xmlns="http://schemas.openxmlformats.org/spreadsheetml/2006/main">
  <authors>
    <author>Source</author>
  </authors>
  <commentList>
    <comment ref="I9" authorId="0" shapeId="0">
      <text>
        <t>KRT | consolidated FY2025
Q4_FY26_Consolidated_Financial_Results.pdf p7 - period 10 Oct 2024 to 31 Mar 2025: no Revenue from operations line (Total expenses 23.56; shell period). Reported as nil/blank.</t>
      </text>
    </comment>
    <comment ref="J9" authorId="0" shapeId="0">
      <text>
        <t>KRT | consolidated FY2026
Q4_FY26_Consolidated_Financial_Results.pdf p7 'Revenue from operations ... 30,466.28' for year ended 31 March 2026 (Rs in million)</t>
      </text>
    </comment>
    <comment ref="J10" authorId="0" shapeId="0">
      <text>
        <t>KRT | consolidated FY2026
Q4_FY26_Consolidated_Financial_Results.pdf p7 'Other income (refer note 2) ... 439.82' year ended 31 Mar 2026 (Rs in million). Note: separate Interest income 311.84 also shown.</t>
      </text>
    </comment>
    <comment ref="S10" authorId="0" shapeId="0">
      <text>
        <t>KRT | standalone FY2026
Q4_FY26_Standalone_Financial_Results.pdf p4 'Other Income ... 72.00' year ended 31 Mar 2026 (Rs in million). Plus Dividend Income 19,584.86 and Interest Income 5,953.70 separately.</t>
      </text>
    </comment>
    <comment ref="J12" authorId="0" shapeId="0">
      <text>
        <t>KRT | consolidated FY2026
Q4_FY26_Consolidated_Financial_Results.pdf p7 'Operating and maintenance expenses (refer note 3) ... 2,710.98' year ended 31 Mar 2026 (Rs in million)</t>
      </text>
    </comment>
    <comment ref="J13" authorId="0" shapeId="0">
      <text>
        <t>KRT | consolidated FY2026
Q4_FY26_Consolidated_Financial_Results.pdf p32 ratio (s) 'net operating income (Rs. in million) ... 26,940.76' for year ended 31 Mar 2026 (audited statutory). NOTE: Annual Report FY2025-26 highlights p~15 quotes proforma full-year NOI of Rs 40,484 million (+18%), which exceeds statutory NOI because statutory results only cover the post-SPV-acquisition period.</t>
      </text>
    </comment>
    <comment ref="J15" authorId="0" shapeId="0">
      <text>
        <t>KRT | consolidated FY2026
Q4_FY26_Consolidated_Financial_Results.pdf p7 'Earnings before finance costs, depreciation, amortisation and tax (EBITDA) ... 25,325.79' year ended 31 Mar 2026 (Rs in million). NOTE: Annual Report highlights quote proforma full-year EBITDA Rs 38,784 million (+18%).</t>
      </text>
    </comment>
    <comment ref="S15" authorId="0" shapeId="0">
      <text>
        <t>KRT | standalone FY2026
Q4_FY26_Standalone_Financial_Results.pdf p4 'Earnings before finance costs, depreciation, amortisation and tax ... 25,197.10' year ended 31 Mar 2026 (Rs in million)</t>
      </text>
    </comment>
    <comment ref="J17" authorId="0" shapeId="0">
      <text>
        <t>KRT | consolidated FY2026
Q4_FY26_Consolidated_Financial_Results.pdf p7 'Finance costs ... 6,819.52' year ended 31 Mar 2026 (Rs in million)</t>
      </text>
    </comment>
    <comment ref="S17" authorId="0" shapeId="0">
      <text>
        <t>KRT | standalone FY2026
Q4_FY26_Standalone_Financial_Results.pdf p4 'Finance costs ... 1,281.54' year ended 31 Mar 2026 (Rs in million)</t>
      </text>
    </comment>
    <comment ref="J18" authorId="0" shapeId="0">
      <text>
        <t>KRT | consolidated FY2026
Q4_FY26_Consolidated_Financial_Results.pdf p7 'Depreciation and amortisation expenses ... 10,504.79' year ended 31 Mar 2026 (Rs in million)</t>
      </text>
    </comment>
    <comment ref="S18" authorId="0" shapeId="0">
      <text>
        <t>KRT | standalone FY2026
Q4_FY26_Standalone_Financial_Results.pdf p4 'Depreciation and amortisation expenses' line blank/nil for year ended 31 Mar 2026 (Trust holds no operating assets)</t>
      </text>
    </comment>
    <comment ref="J19" authorId="0" shapeId="0">
      <text>
        <t>KRT | consolidated FY2026
Q4_FY26_Consolidated_Financial_Results.pdf p7 'Profit/(Loss) before tax ... 8,001.48' year ended 31 Mar 2026 (Rs in million)</t>
      </text>
    </comment>
    <comment ref="S19" authorId="0" shapeId="0">
      <text>
        <t>KRT | standalone FY2026
Q4_FY26_Standalone_Financial_Results.pdf p4 'Profit/(Loss) before tax ... 23,915.56' year ended 31 Mar 2026 (Rs in million)</t>
      </text>
    </comment>
    <comment ref="J20" authorId="0" shapeId="0">
      <text>
        <t>KRT | consolidated FY2026
Q4_FY26_Consolidated_Financial_Results.pdf p7 'Profit/(Loss) for the year/period ... 3,754.36' year ended 31 Mar 2026 (Rs in million)</t>
      </text>
    </comment>
    <comment ref="S20" authorId="0" shapeId="0">
      <text>
        <t>KRT | standalone FY2026
Q4_FY26_Standalone_Financial_Results.pdf p4 'Profit/(Loss) for the year/period ... 23,906.30' year ended 31 Mar 2026 (Rs in million)</t>
      </text>
    </comment>
    <comment ref="J23" authorId="0" shapeId="0">
      <text>
        <t>KRT | consolidated FY2026
Q4_FY26_Consolidated_Financial_Results.pdf p14 'NDCF at Trust level (including distribution from surplus cash reserves) ... 21,019.72' year ended 31 Mar 2026 (Rs in millions). NDCF at Trust Level (before surplus) = 15,808.41. NOTE: calculated from date of SPV acquisition; does not represent full year.</t>
      </text>
    </comment>
    <comment ref="J24" authorId="0" shapeId="0">
      <text>
        <t>KRT | consolidated FY2026
Q4_FY26_Consolidated_Financial_Results.pdf p14 note: 'cumulative distribution for the nine months ended 31 March 2026 aggregates to Rs. 21,019.19 million (Rs. 4.740 per unit)' (Rs in million)</t>
      </text>
    </comment>
    <comment ref="J25" authorId="0" shapeId="0">
      <text>
        <t>KRT | consolidated FY2026
Q4_FY26_Consolidated_Financial_Results.pdf p32 ratio (t) 'distribution per unit ... 4.74' for year ended 31 Mar 2026; also p14 note 'Rs. 4.740 per unit' cumulative for nine months ended 31 Mar 2026 (INR per unit)</t>
      </text>
    </comment>
    <comment ref="J28" authorId="0" shapeId="0">
      <text>
        <t>KRT | consolidated FY2026
Q4_March_2026_Detailed_Valuation_Report.pdf p~55 Value Summary 'Total (A+B+C) ... 674,111' INR Mn (46.5 msf/63.0 MW) as on 31 March 2026 [Operational subtotal A=651,708; Under-Construction B=12,479; Future Development C=9,925]. Also Annual Report FY2025-26 highlights: GAV Rs 674,111 million (+9%).</t>
      </text>
    </comment>
    <comment ref="J29" authorId="0" shapeId="0">
      <text>
        <t>KRT | consolidated FY2026
Q4_FY26_Consolidated_Financial_Results.pdf p8 balance sheet: Non-current Borrowings 1,22,883.62 + Current Borrowings 702.82 = 123,586.44 (Rs in million), as at 31 Mar 2026 (excludes accrued interest/lease liabilities)</t>
      </text>
    </comment>
    <comment ref="S29" authorId="0" shapeId="0">
      <text>
        <t>KRT | standalone FY2026
Q4_FY26_Standalone_Financial_Results.pdf p5 balance sheet: Non-current Borrowings 41,537.42; no current borrowings (Rs in million), as at 31 Mar 2026</t>
      </text>
    </comment>
    <comment ref="J30" authorId="0" shapeId="0">
      <text>
        <t>KRT | consolidated FY2026
Q4_FY26_Consolidated_Financial_Results.pdf p8 'Cash and cash equivalents ... 6,265.53' as at 31 Mar 2026 (Rs in million; excludes Other bank balances 268.78 and current Investments 2,563.61)</t>
      </text>
    </comment>
    <comment ref="S30" authorId="0" shapeId="0">
      <text>
        <t>KRT | standalone FY2026
Q4_FY26_Standalone_Financial_Results.pdf p5 'Cash and cash equivalents ... 136.55' as at 31 Mar 2026 (Rs in million; excludes Other bank balances 182.52)</t>
      </text>
    </comment>
    <comment ref="J32" authorId="0" shapeId="0">
      <text>
        <t>KRT | consolidated FY2026
Q4_FY26_Consolidated_Financial_Results.pdf p8 'Total Equity ... 4,31,872.95' (also p32 ratio (f) net worth 4,31,872.95) as at 31 Mar 2026 (Rs in million)</t>
      </text>
    </comment>
    <comment ref="S32" authorId="0" shapeId="0">
      <text>
        <t>KRT | standalone FY2026
Q4_FY26_Standalone_Financial_Results.pdf p5 'Total Equity ... 4,52,020.77' (also p12 ratio (f) net worth 4,52,020.77) as at 31 Mar 2026 (Rs in million)</t>
      </text>
    </comment>
    <comment ref="J34" authorId="0" shapeId="0">
      <text>
        <t>KRT | consolidated FY2026
Q4_FY26_Consolidated_Financial_Results.pdf 'Statement of Net Assets at Fair value (NAV)': Net Assets (fair value) 5,48,152.04 / Number of Units 4,43,43,99,541 = NAV per unit (fair value) 123.61 as at 31 Mar 2026 (INR/unit). Book-value NAV per unit = 97.39.</t>
      </text>
    </comment>
    <comment ref="J36" authorId="0" shapeId="0">
      <text>
        <t>KRT | consolidated FY2026
Q4_FY26_Consolidated_Financial_Results.pdf NAV statement 'Number of Units 4,43,43,99,541' = 4,434,399,541 units = 4,434.40 million units as at 31 Mar 2026</t>
      </text>
    </comment>
    <comment ref="J37" authorId="0" shapeId="0">
      <text>
        <t>Knowledge (KRT) | Unit Price FY2026
REIT_Tableau_Ready_1.xlsx 'Prices' sheet; exchange close on 2026-03-30 (last trading day on/before 31-Mar). [replaced approximation 100]</t>
      </text>
    </comment>
    <comment ref="J40" authorId="0" shapeId="0">
      <text>
        <t>KRT | consolidated FY2026
KRT-AnnualReport-FY2025-26.pdf highlights '7.2% Blended Cost of Debt'; also '...reduced our overall cost of debt from 8.6% to 7.2%' (140 bps reduction) as at FY2025-26 (%)</t>
      </text>
    </comment>
    <comment ref="J42" authorId="0" shapeId="0">
      <text>
        <t>KRT | consolidated FY2026
KRT-AnnualReport-FY2025-26.pdf '46.5 msf Total Leasable Area' (29 assets across 6 cities); also Valuation Report Total 46.5 msf as on 31 Mar 2026 (Msf)</t>
      </text>
    </comment>
    <comment ref="J43" authorId="0" shapeId="0">
      <text>
        <t>KRT | consolidated FY2026
KRT-AnnualReport-FY2025-26.pdf '37.2 msf Completed Area'; Valuation Report Operational Assets Subtotal (A) = 37.2 msf as on 31 Mar 2026 (Msf)</t>
      </text>
    </comment>
    <comment ref="J44" authorId="0" shapeId="0">
      <text>
        <t>KRT | consolidated FY2026
KRT-AnnualReport-FY2025-26.pdf '9.2 msf Under Construction and Future Development Area' (comprises 2.6 msf UC + 6.6 msf FD) (Msf). Valuation Report shows UC subtotal 1.2 msf + Future Development 8.0 msf = 9.2 msf.</t>
      </text>
    </comment>
    <comment ref="J45" authorId="0" shapeId="0">
      <text>
        <t>KRT | consolidated FY2026
KRT-AnnualReport-FY2025-26.pdf highlights '92% Committed Occupancy' as at 31 Mar 2026 (%)</t>
      </text>
    </comment>
    <comment ref="J47" authorId="0" shapeId="0">
      <text>
        <t>KRT | consolidated FY2026
KRT-AnnualReport-FY2025-26.pdf highlights '8.0 Year WALE' as at 31 Mar 2026 (years)</t>
      </text>
    </comment>
    <comment ref="J48" authorId="0" shapeId="0">
      <text>
        <t>KRT | consolidated FY2026
KRT-AnnualReport-FY2025-26.pdf '475+ Tenants' (across 20+ sectors); stated as 475+ (minimum) as at 31 Mar 2026</t>
      </text>
    </comment>
    <comment ref="J49" authorId="0" shapeId="0">
      <text>
        <t>KRT | consolidated FY2026
KRT-AnnualReport-FY2025-26.pdf highlights 'Rs 97 In-Place Rent' (psf pm), grew 7% YoY, as at FY2025-26 (INR psf per month)</t>
      </text>
    </comment>
    <comment ref="U57" authorId="0" shapeId="0">
      <text>
        <t>4q-fy2019-earnings-presentation.pdf (Portfolio table &amp; cover); orig:'94.3% Occupancy' / 'Subtotal (Office) 94.3%' (on 24.8 msf completed office; 31 Mar 2019)</t>
      </text>
    </comment>
    <comment ref="V57" authorId="0" shapeId="0">
      <text>
        <t>4q-fy2020-earnings-materials.pdf (cover &amp; portfolio); orig:'c.92.8% occupancy on c.26.2 msf completed office portfolio' (31 Mar 2020)</t>
      </text>
    </comment>
    <comment ref="W57" authorId="0" shapeId="0">
      <text>
        <t>embassy_reit_ar_2021_web.pdf (MD&amp;A/portfolio); orig:'occupancy as of March 31, 2021 was at 88.9%'</t>
      </text>
    </comment>
    <comment ref="X57" authorId="0" shapeId="0">
      <text>
        <t>final_annual_report.pdf (Directors'/portfolio review); orig:'occupancy of Embassy REIT as of March 31, 2022 was 87.1%'</t>
      </text>
    </comment>
    <comment ref="Y57" authorId="0" shapeId="0">
      <text>
        <t>embassy_reit_-_annual_report_-_fy_2022-23.pdf (MD&amp;A/portfolio); orig:'occupancy as of March 31, 2023 was at 86%'</t>
      </text>
    </comment>
    <comment ref="Z57" authorId="0" shapeId="0">
      <text>
        <t>Embassy | consolidated FY2024 (AR, 3rd pass)
embassy_reit_ar_2024_final.pdf p.14 (Portfolio Summary, Sub-total Commercial offices) &amp; p.4; orig:'Sub-total (Commercial offices) ... 85%' / 'Occupancy(1) 85%'; commercial offices, completed-area basis; as-at 31 Mar 2024</t>
      </text>
    </comment>
    <comment ref="AA57" authorId="0" shapeId="0">
      <text>
        <t>Embassy | consolidated FY2025 (AR, 3rd pass)
annual_report_2025.pdf p.21 (Portfolio Summary); orig:'Sub-Total (Commercial Offices) ... 87%'; commercial offices completed-area basis; as-at 31 Mar 2025</t>
      </text>
    </comment>
    <comment ref="AB57" authorId="0" shapeId="0">
      <text>
        <t>Embassy | consolidated FY2026
eop_reit_valuation_report_march_2026.pdf p.34; orig: 'Occupancy (%) 90%' (portfolio-level, as at 31 March 2026)</t>
      </text>
    </comment>
    <comment ref="U58" authorId="0" shapeId="0">
      <text>
        <t>4q-fy2019-earnings-presentation.pdf (Portfolio table &amp; cover); orig:'7 Years WALE' / 'Subtotal (Office) WALE 7.0' (31 Mar 2019)</t>
      </text>
    </comment>
    <comment ref="V58" authorId="0" shapeId="0">
      <text>
        <t>4q-fy2020-earnings-materials.pdf (Portfolio summary &amp; cover); orig:'7.0 years WALE' / 'Subtotal (Office) 7.0' (31 Mar 2020)</t>
      </text>
    </comment>
    <comment ref="W58" authorId="0" shapeId="0">
      <text>
        <t>embassy_reit_ar_2021_web.pdf (Portfolio summary); orig:'Sub-total Commercial Office WALE 7.0' (yrs; 31 Mar 2021)</t>
      </text>
    </comment>
    <comment ref="X58" authorId="0" shapeId="0">
      <text>
        <t>final_annual_report.pdf (Key highlights &amp; portfolio); orig:'7.0 years Weighted average lease expiry (WALE)' (31 Mar 2022)</t>
      </text>
    </comment>
    <comment ref="Y58" authorId="0" shapeId="0">
      <text>
        <t>embassy_reit_-_annual_report_-_fy_2022-23.pdf p.26-27; orig:'Subtotal (Office) WALE 6.6' (yrs; 31 Mar 2023)</t>
      </text>
    </comment>
    <comment ref="Z58" authorId="0" shapeId="0">
      <text>
        <t>Embassy | consolidated FY2024 (AR, 3rd pass)
embassy_reit_ar_2024_final.pdf p.14 (Portfolio Summary); orig:'Sub-total (Commercial offices) ... WALE 6.8' (yrs); portfolio commercial offices; as-at 31 Mar 2024</t>
      </text>
    </comment>
    <comment ref="AA58" authorId="0" shapeId="0">
      <text>
        <t>Embassy | consolidated FY2025 (AR, 3rd pass)
annual_report_2025.pdf p.21 (Portfolio Summary); orig:'Sub-Total (Commercial Offices) ... 8.4' (WALE yrs); as-at 31 Mar 2025</t>
      </text>
    </comment>
    <comment ref="AB58" authorId="0" shapeId="0">
      <text>
        <t>Embassy | consolidated FY2026 (AR, 3rd pass)
embassy_half_yearly_report_2025_-_final_file.pdf Portfolio Summary (printed p.38-39); orig:'Sub-Total (Commercial Offices) ... 8.5' (WALE yrs); as-at 30 Sep 2025</t>
      </text>
    </comment>
    <comment ref="J68" authorId="0" shapeId="0">
      <text>
        <t>Q4_FY26_Earnings_Update.pdf debt schedule; orig:'TOTAL (A+B) ... 1,23,654' (Rs M outstanding; sanctioned Rs1,46,426M; deck rounds to Rs124 B)</t>
      </text>
    </comment>
    <comment ref="J69" authorId="0" shapeId="0">
      <text>
        <t>Q4_FY26_Standalone_Financial_Results.pdf B/S; non-current Loans 87,278.68 + current Loans 2,546.87 (Rs mn, 31 Mar 2026)</t>
      </text>
    </comment>
    <comment ref="J75" authorId="0" shapeId="0">
      <text>
        <t>Q4_FY26_Earnings_Update.pdf FINANCING BENCHMARKS; orig:'Fixed 21%' (T-bill 20% + Repo Rate 59% = ~79% floating/benchmark-linked)</t>
      </text>
    </comment>
    <comment ref="J77" authorId="0" shapeId="0">
      <text>
        <t>Q4_FY26_Earnings_Update.pdf debt schedule; computed: sanctioned Rs1,46,426M - drawn Rs1,23,654M = Rs22,772M undrawn facilities (not labelled as headroom)</t>
      </text>
    </comment>
  </commentList>
</comments>
</file>

<file path=xl/comments/comment6.xml><?xml version="1.0" encoding="utf-8"?>
<comments xmlns="http://schemas.openxmlformats.org/spreadsheetml/2006/main">
  <authors>
    <author>Source</author>
  </authors>
  <commentList>
    <comment ref="H9" authorId="0" shapeId="0">
      <text>
        <t>Final_Offer_Document (RHP).pdf p.314; orig:'Revenue from operations ... 22,053.65' (year ended March 31, 2024, In Rs million); PROFORMA/COMBINED (Special Purpose Combined Financial Statements)</t>
      </text>
    </comment>
    <comment ref="I9" authorId="0" shapeId="0">
      <text>
        <t>Final_Offer_Document (RHP).pdf p.314; orig:'Revenue from operations ... 23,707.52' (year ended March 31, 2025, In Rs million); PROFORMA/COMBINED</t>
      </text>
    </comment>
    <comment ref="J9" authorId="0" shapeId="0">
      <text>
        <t>Final_Offer_Document (RHP).pdf p.314; orig:'Revenue from operations ... 19,429.37' (NINE MONTHS ended December 31, 2025, In Rs million); PROFORMA/COMBINED; 9M only - no full FY2026 combined P&amp;L exists (Trust pre-operational)</t>
      </text>
    </comment>
    <comment ref="S9" authorId="0" shapeId="0">
      <text>
        <t>Bagmane | standalone FY2026
Financial statements PDF p5, Statement of P&amp;L for period 30 May 2025 to 31 Mar 2026: INCOME - Other income &amp; Total Income blank (nil); no revenue from operations line. INR million.</t>
      </text>
    </comment>
    <comment ref="H10" authorId="0" shapeId="0">
      <text>
        <t>Final_Offer_Document (RHP).pdf p.314; orig:'Other income ... 319.60' (year ended March 31, 2024); PROFORMA/COMBINED</t>
      </text>
    </comment>
    <comment ref="I10" authorId="0" shapeId="0">
      <text>
        <t>Final_Offer_Document (RHP).pdf p.314; orig:'Other income ... 201.25' (year ended March 31, 2025); PROFORMA/COMBINED</t>
      </text>
    </comment>
    <comment ref="J10" authorId="0" shapeId="0">
      <text>
        <t>Final_Offer_Document (RHP).pdf p.314; orig:'Other income ... 168.57' (NINE MONTHS ended December 31, 2025); PROFORMA/COMBINED; 9M only</t>
      </text>
    </comment>
    <comment ref="S10" authorId="0" shapeId="0">
      <text>
        <t>Bagmane | standalone FY2026
Financial statements PDF p5 / Financial results PDF p4: 'Other income' line blank (nil) for period 30 May 2025 to 31 Mar 2026. INR million.</t>
      </text>
    </comment>
    <comment ref="H13" authorId="0" shapeId="0">
      <text>
        <t>Final_Offer_Document (RHP).pdf p.361-362; orig:'Net operating income (Segment results) (A) ... 18,659.48' (year ended March 31, 2024, Rs in millions); PROFORMA/COMBINED; NOI Margin 84.61%</t>
      </text>
    </comment>
    <comment ref="I13" authorId="0" shapeId="0">
      <text>
        <t>Final_Offer_Document (RHP).pdf p.361-362; orig:'Net operating income (Segment results) (A) ... 20,843.68' (year ended March 31, 2025); PROFORMA/COMBINED; NOI Margin 87.92%</t>
      </text>
    </comment>
    <comment ref="J13" authorId="0" shapeId="0">
      <text>
        <t>Final_Offer_Document (RHP).pdf p.361-362; orig:'Net operating income (Segment results) (A) ... 17,589.76' (NINE MONTHS ended December 31, 2025); PROFORMA/COMBINED; NOI Margin 90.53%; 9M only</t>
      </text>
    </comment>
    <comment ref="H15" authorId="0" shapeId="0">
      <text>
        <t>Final_Offer_Document (RHP).pdf p.362; orig:'Earnings before finance costs, depreciation and tax (EBITDA) (A) ... 17,402.97' (year ended March 31, 2024); PROFORMA/COMBINED; EBITDA Margin 78.91%</t>
      </text>
    </comment>
    <comment ref="I15" authorId="0" shapeId="0">
      <text>
        <t>Final_Offer_Document (RHP).pdf p.362; orig:'... EBITDA (A) ... 19,066.70' (year ended March 31, 2025); PROFORMA/COMBINED; EBITDA Margin 80.42%</t>
      </text>
    </comment>
    <comment ref="J15" authorId="0" shapeId="0">
      <text>
        <t>Final_Offer_Document (RHP).pdf p.362; orig:'... EBITDA (A) ... 16,300.93' (NINE MONTHS ended December 31, 2025); PROFORMA/COMBINED; EBITDA Margin 83.90%; 9M only</t>
      </text>
    </comment>
    <comment ref="H17" authorId="0" shapeId="0">
      <text>
        <t>Final_Offer_Document (RHP).pdf p.314; orig:'Finance costs ... 3,531.07' (year ended March 31, 2024); PROFORMA/COMBINED</t>
      </text>
    </comment>
    <comment ref="I17" authorId="0" shapeId="0">
      <text>
        <t>Final_Offer_Document (RHP).pdf p.314; orig:'Finance costs ... 3,940.26' (year ended March 31, 2025); PROFORMA/COMBINED</t>
      </text>
    </comment>
    <comment ref="J17" authorId="0" shapeId="0">
      <text>
        <t>Final_Offer_Document (RHP).pdf p.314; orig:'Finance costs ... 2,510.91' (NINE MONTHS ended December 31, 2025); PROFORMA/COMBINED; 9M only</t>
      </text>
    </comment>
    <comment ref="S17" authorId="0" shapeId="0">
      <text>
        <t>Bagmane | standalone FY2026
Financial results PDF p12 note 10: 'The Trust does not have any outstanding borrowings as at 31 Mar 2026'; no finance cost line in P&amp;L (p4/p5). INR million.</t>
      </text>
    </comment>
    <comment ref="H18" authorId="0" shapeId="0">
      <text>
        <t>Final_Offer_Document (RHP).pdf p.314; orig:'Depreciation expenses ... 1,616.63' (year ended March 31, 2024); PROFORMA/COMBINED</t>
      </text>
    </comment>
    <comment ref="I18" authorId="0" shapeId="0">
      <text>
        <t>Final_Offer_Document (RHP).pdf p.314; orig:'Depreciation expenses ... 1,688.30' (year ended March 31, 2025); PROFORMA/COMBINED</t>
      </text>
    </comment>
    <comment ref="J18" authorId="0" shapeId="0">
      <text>
        <t>Final_Offer_Document (RHP).pdf p.314; orig:'Depreciation expenses ... 1,364.15' (NINE MONTHS ended December 31, 2025); PROFORMA/COMBINED; 9M only</t>
      </text>
    </comment>
    <comment ref="S18" authorId="0" shapeId="0">
      <text>
        <t>Bagmane | standalone FY2026
Financial statements PDF p5: no depreciation/amortisation line in P&amp;L; Trust held no real estate/fixed assets. INR million.</t>
      </text>
    </comment>
    <comment ref="H19" authorId="0" shapeId="0">
      <text>
        <t>Final_Offer_Document (RHP).pdf p.314; orig:'Profit before tax ... 12,255.27' (year ended March 31, 2024); PROFORMA/COMBINED</t>
      </text>
    </comment>
    <comment ref="I19" authorId="0" shapeId="0">
      <text>
        <t>Final_Offer_Document (RHP).pdf p.314; orig:'Profit before tax ... 13,438.14' (year ended March 31, 2025); PROFORMA/COMBINED</t>
      </text>
    </comment>
    <comment ref="J19" authorId="0" shapeId="0">
      <text>
        <t>Final_Offer_Document (RHP).pdf p.314; orig:'Profit before tax ... 12,425.87' (NINE MONTHS ended December 31, 2025); PROFORMA/COMBINED; 9M only</t>
      </text>
    </comment>
    <comment ref="S19" authorId="0" shapeId="0">
      <text>
        <t>Bagmane | standalone FY2026
Financial statements PDF p5 / Financial results PDF p4: 'Loss before tax (2.57)' for period 30 May 2025 to 31 Mar 2026. INR million.</t>
      </text>
    </comment>
    <comment ref="H20" authorId="0" shapeId="0">
      <text>
        <t>Final_Offer_Document (RHP).pdf p.314; orig:'Profit for the year/period ... 8,093.57' (year ended March 31, 2024); PROFORMA/COMBINED</t>
      </text>
    </comment>
    <comment ref="I20" authorId="0" shapeId="0">
      <text>
        <t>Final_Offer_Document (RHP).pdf p.314; orig:'Profit for the year/period ... 8,971.01' (year ended March 31, 2025); PROFORMA/COMBINED</t>
      </text>
    </comment>
    <comment ref="J20" authorId="0" shapeId="0">
      <text>
        <t>Final_Offer_Document (RHP).pdf p.314; orig:'Profit for the year/period ... 8,290.18' (NINE MONTHS ended December 31, 2025); PROFORMA/COMBINED; 9M only</t>
      </text>
    </comment>
    <comment ref="S20" authorId="0" shapeId="0">
      <text>
        <t>Bagmane | standalone FY2026
Financial statements PDF p5 / Financial results PDF p4: 'Loss for the period (2.57)' for period 30 May 2025 to 31 Mar 2026. INR million. (Quarterly columns show deferred tax timing of +/-0.69 between quarters but full-period PAT = -2.57.)</t>
      </text>
    </comment>
    <comment ref="J28" authorId="0" shapeId="0">
      <text>
        <t>Final_Offer_Document (RHP).pdf Summary Valuation Report (Total** ... 349,784.5/52,850.4/402,634.9) and Portfolio table p.332 ('Total Portfolio ... Market Value ... 402,634.9'); orig:'402,634.9' Rs million; Market Value (GAV) as at December 31, 2025; PROFORMA/COMBINED portfolio</t>
      </text>
    </comment>
    <comment ref="H29" authorId="0" shapeId="0">
      <text>
        <t>Final_Offer_Document (RHP).pdf p.313 Summary Combined Balance Sheet; non-current Borrowings 30,869.87 + current Borrowings 7,867.27 (as at March 31, 2024); Rs million; PROFORMA/COMBINED</t>
      </text>
    </comment>
    <comment ref="I29" authorId="0" shapeId="0">
      <text>
        <t>Final_Offer_Document (RHP).pdf p.313; non-current Borrowings 30,131.26 + current Borrowings 7,508.43 (as at March 31, 2025); PROFORMA/COMBINED</t>
      </text>
    </comment>
    <comment ref="J29" authorId="0" shapeId="0">
      <text>
        <t>Final_Offer_Document (RHP).pdf p.317 Financial Indebtedness; orig:'Total ... 30,296.19' outstanding as on December 31, 2025 (term loans 23,943.41 + FI 4,629.74 + OD 218.62 + Share Warrants/OCDs 1,504.43). [Balance-sheet borrowings non-current 23,885.89 + current 6,282.34 = 30,168.23 at Dec 31, 2025.] PROFORMA/COMBINED HoldCo+SPVs</t>
      </text>
    </comment>
    <comment ref="S29" authorId="0" shapeId="0">
      <text>
        <t>Bagmane | standalone FY2026
Financial results PDF p12 note 10: 'The Trust does not have any outstanding borrowings as at 31 Mar 2026'. INR million.</t>
      </text>
    </comment>
    <comment ref="H30" authorId="0" shapeId="0">
      <text>
        <t>Final_Offer_Document (RHP).pdf p.313; orig:'Cash and cash equivalents ... 1,456.39' (as at March 31, 2024); PROFORMA/COMBINED</t>
      </text>
    </comment>
    <comment ref="I30" authorId="0" shapeId="0">
      <text>
        <t>Final_Offer_Document (RHP).pdf p.313; orig:'Cash and cash equivalents ... 2,431.48' (as at March 31, 2025); PROFORMA/COMBINED</t>
      </text>
    </comment>
    <comment ref="J30" authorId="0" shapeId="0">
      <text>
        <t>Final_Offer_Document (RHP).pdf p.313; orig:'Cash and cash equivalents ... 2,846.49' (as at December 31, 2025); PROFORMA/COMBINED</t>
      </text>
    </comment>
    <comment ref="S30" authorId="0" shapeId="0">
      <text>
        <t>Bagmane | standalone FY2026
Financial statements PDF p6, Statement of Cash Flows: 'Cash and cash equivalents at the end of the period' = nil; Balance Sheet p4 has no cash line (Total assets = Other current assets 64.40 only). INR million.</t>
      </text>
    </comment>
    <comment ref="H32" authorId="0" shapeId="0">
      <text>
        <t>Final_Offer_Document (RHP).pdf p.313; orig:'Total Equity ... 12,303.50' (as at March 31, 2024); PROFORMA/COMBINED book value</t>
      </text>
    </comment>
    <comment ref="I32" authorId="0" shapeId="0">
      <text>
        <t>Final_Offer_Document (RHP).pdf p.313; orig:'Total Equity ... 15,922.68' (as at March 31, 2025); PROFORMA/COMBINED book value</t>
      </text>
    </comment>
    <comment ref="J32" authorId="0" shapeId="0">
      <text>
        <t>Final_Offer_Document (RHP).pdf p.313; orig:'Total Equity ... 26,923.54' (as at December 31, 2025); PROFORMA/COMBINED book value. Net Assets at Fair Value at Dec 31, 2025 = Rs 331,369.03 mn per RHP p.415.</t>
      </text>
    </comment>
    <comment ref="S32" authorId="0" shapeId="0">
      <text>
        <t>Bagmane | standalone FY2026
Financial statements PDF p4 Balance Sheet: 'Total Equity (2.57)' (Other equity -2.57) as at 31 Mar 2026. INR million.</t>
      </text>
    </comment>
    <comment ref="J34" authorId="0" shapeId="0">
      <text>
        <t>Final_Offer_Document (RHP).pdf Basis for Offer Price p.415; orig:'Net Asset Value per Unit (1) ... 108.49' Rs/unit; based on Net Assets at Fair Value Rs 331,369.03 mn as at December 31, 2025 adjusted for funds raised &amp; Fresh Issue; PROFORMA/COMBINED</t>
      </text>
    </comment>
    <comment ref="J36" authorId="0" shapeId="0">
      <text>
        <t>Final_Offer_Document (RHP).pdf The Offer p.409; orig:'Units issued and outstanding immediately after the Offer ... 3,400,000,000' = 3,400 mn units. Offer comprised 340,500,000 Units (Fresh Issue 239,000,000 + OFS 101,500,000); pre-offer 3,161,000,000. PROFORMA/at-listing (May 2026)</t>
      </text>
    </comment>
    <comment ref="J37" authorId="0" shapeId="0">
      <text>
        <t>Final_Offer_Document (RHP).pdf p.409; orig:'Offer Price ... Rs 100' per Unit (IPO price; no market price pre-listing). Listed May 2026.</t>
      </text>
    </comment>
    <comment ref="J42" authorId="0" shapeId="0">
      <text>
        <t>Final_Offer_Document (RHP).pdf p.331-332 &amp; Overview; orig:'19.6 msf of Leasable Area' (as of December 31, 2025); Total Area 20.3 msf; PROFORMA/COMBINED portfolio (GLA = Leasable Area)</t>
      </text>
    </comment>
    <comment ref="J43" authorId="0" shapeId="0">
      <text>
        <t>Final_Offer_Document (RHP).pdf p.332 &amp; Overview; orig:'16.6 msf of Completed Area' (as of December 31, 2025) with 98.8% Committed Occupancy &amp; 7.4yr WALE; PROFORMA/COMBINED</t>
      </text>
    </comment>
    <comment ref="J44" authorId="0" shapeId="0">
      <text>
        <t>Final_Offer_Document (RHP).pdf p.332; orig:'1.0 msf of Under Construction Area + 2.0 msf of Future Development Area' = 3.0 msf (as of December 31, 2025); plus 0.7 msf built-up for 2 hotels (607 keys) &amp; 72.5 MW(DC) under-construction solar; PROFORMA/COMBINED</t>
      </text>
    </comment>
    <comment ref="J45" authorId="0" shapeId="0">
      <text>
        <t>Final_Offer_Document (RHP).pdf p.332 &amp; Overview; orig:'98.8% Committed Occupancy as of December 31, 2025'; rounded to 99% (exact 98.8%); PROFORMA/COMBINED portfolio</t>
      </text>
    </comment>
    <comment ref="J47" authorId="0" shapeId="0">
      <text>
        <t>Final_Offer_Document (RHP).pdf p.332 &amp; Overview; orig:'7.4 year WALE' (Sub-Total Office / Total Portfolio, as of December 31, 2025, weighted against Gross Contracted Rentals assuming renewals); PROFORMA/COMBINED. (Top-10 tenants WALE 8.3 yrs; SEZ area 7.2 yrs.)</t>
      </text>
    </comment>
    <comment ref="J48" authorId="0" shapeId="0">
      <text>
        <t>Final_Offer_Document (RHP).pdf p.275/Overview; orig:'Our Portfolio Assets serve over 60 tenants across 11 sectors' (as of December 31, 2025); approximate ('over 60'); PROFORMA/COMBINED portfolio</t>
      </text>
    </comment>
    <comment ref="G68" authorId="0" shapeId="0">
      <text>
        <t>Final_Offer_Document (RHP).pdf; combined Portfolio-Companies Total Borrowings (current+non-current) as at 31 Mar 2023 (proforma SPV-level)</t>
      </text>
    </comment>
    <comment ref="H68" authorId="0" shapeId="0">
      <text>
        <t>Final_Offer_Document (RHP).pdf; combined Total Borrowings as at 31 Mar 2024 (proforma SPV-level)</t>
      </text>
    </comment>
    <comment ref="I68" authorId="0" shapeId="0">
      <text>
        <t>Final_Offer_Document (RHP).pdf; combined Total Borrowings as at 31 Mar 2025 (proforma SPV-level)</t>
      </text>
    </comment>
    <comment ref="J68" authorId="0" shapeId="0">
      <text>
        <t>Final_Offer_Document (RHP).pdf p; combined Total Borrowings as at 31 Dec 2025 (latest in RHP; non-current 23,885.89 + current 6,282.34). Note: REIT-level Trust had nil borrowings at 31 Mar 2026</t>
      </text>
    </comment>
    <comment ref="J69" authorId="0" shapeId="0">
      <text>
        <t>bagmane_prime_office_reit_-_financial_results.pdf note 10: 'The Trust does not have any outstanding borrowings as at 31 March 2026'; Trust had not yet on-lent to SPVs (post-listing structure: Shareholder Debt to carry 10.0-14.0% p.a. per RHP)</t>
      </text>
    </comment>
    <comment ref="J75" authorId="0" shapeId="0">
      <text>
        <t>Final_Offer_Document (RHP).pdf; orig:'95.01% of our total borrowings were on a floating rate basis as at December 31, 2025'</t>
      </text>
    </comment>
    <comment ref="G77" authorId="0" shapeId="0">
      <text>
        <t>Final_Offer_Document (RHP).pdf; orig:'undrawn committed borrowing facilities ... March 31, 2023: INR 3,860.86 million'</t>
      </text>
    </comment>
    <comment ref="H77" authorId="0" shapeId="0">
      <text>
        <t>Final_Offer_Document (RHP).pdf; orig:'March 31, 2024: INR 7,300.86 million' undrawn committed facilities</t>
      </text>
    </comment>
    <comment ref="I77" authorId="0" shapeId="0">
      <text>
        <t>Final_Offer_Document (RHP).pdf; orig:'March 31, 2025: INR 3,600.00 million' undrawn committed facilities</t>
      </text>
    </comment>
    <comment ref="J77" authorId="0" shapeId="0">
      <text>
        <t>Final_Offer_Document (RHP).pdf; orig:'As at December 31, 2025, the Group has INR 500.00 million of undrawn committed borrowing facilities available'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_rels/drawing3.xml.rels><Relationships xmlns="http://schemas.openxmlformats.org/package/2006/relationships"><Relationship Type="http://schemas.openxmlformats.org/officeDocument/2006/relationships/chart" Target="/xl/charts/chart3.xml" Id="rId1"/></Relationships>
</file>

<file path=xl/drawings/_rels/drawing4.xml.rels><Relationships xmlns="http://schemas.openxmlformats.org/package/2006/relationships"><Relationship Type="http://schemas.openxmlformats.org/officeDocument/2006/relationships/chart" Target="/xl/charts/chart4.xml" Id="rId1"/></Relationships>
</file>

<file path=xl/drawings/drawing1.xml><?xml version="1.0" encoding="utf-8"?>
<wsDr xmlns="http://schemas.openxmlformats.org/drawingml/2006/spreadsheetDrawing">
  <twoCellAnchor editAs="oneCell">
    <from>
      <col>21</col>
      <colOff>316080</colOff>
      <row>22</row>
      <rowOff>36000</rowOff>
    </from>
    <to>
      <col>31</col>
      <colOff>131400</colOff>
      <row>39</row>
      <rowOff>36360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2.xml><?xml version="1.0" encoding="utf-8"?>
<wsDr xmlns="http://schemas.openxmlformats.org/drawingml/2006/spreadsheetDrawing">
  <twoCellAnchor editAs="oneCell">
    <from>
      <col>20</col>
      <colOff>157680</colOff>
      <row>31</row>
      <rowOff>131760</rowOff>
    </from>
    <to>
      <col>29</col>
      <colOff>567360</colOff>
      <row>48</row>
      <rowOff>132120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3.xml><?xml version="1.0" encoding="utf-8"?>
<wsDr xmlns="http://schemas.openxmlformats.org/drawingml/2006/spreadsheetDrawing">
  <twoCellAnchor editAs="oneCell">
    <from>
      <col>20</col>
      <colOff>139320</colOff>
      <row>31</row>
      <rowOff>83880</rowOff>
    </from>
    <to>
      <col>29</col>
      <colOff>549000</colOff>
      <row>48</row>
      <rowOff>84240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drawings/drawing4.xml><?xml version="1.0" encoding="utf-8"?>
<wsDr xmlns="http://schemas.openxmlformats.org/drawingml/2006/spreadsheetDrawing">
  <twoCellAnchor editAs="oneCell">
    <from>
      <col>21</col>
      <colOff>56520</colOff>
      <row>26</row>
      <rowOff>7560</rowOff>
    </from>
    <to>
      <col>30</col>
      <colOff>466200</colOff>
      <row>43</row>
      <rowOff>7920</rowOff>
    </to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../../../../../../../../Users/ishan/Downloads/INDIAN%20REITS/Embassy/4q-fy2019-condensed-combined-financial-statements.pdf" TargetMode="External" Id="rId1"/><Relationship Type="http://schemas.openxmlformats.org/officeDocument/2006/relationships/hyperlink" Target="../../../../../../../../Users/ishan/Downloads/INDIAN%20REITS/Embassy/4q-fy2020-condensed-consolidated-financial-statements.pdf" TargetMode="External" Id="rId2"/><Relationship Type="http://schemas.openxmlformats.org/officeDocument/2006/relationships/hyperlink" Target="../../../../../../../../Users/ishan/Downloads/INDIAN%20REITS/Embassy/embassy_reit_ar_2021_web.pdf" TargetMode="External" Id="rId3"/><Relationship Type="http://schemas.openxmlformats.org/officeDocument/2006/relationships/hyperlink" Target="../../../../../../../../Users/ishan/Downloads/INDIAN%20REITS/Embassy/4_reit_detailed_consol_fy_22.pdf" TargetMode="External" Id="rId4"/><Relationship Type="http://schemas.openxmlformats.org/officeDocument/2006/relationships/hyperlink" Target="../../../../../../../../Users/ishan/Downloads/INDIAN%20REITS/Embassy/1reit_consol_condensed_mar23.pdf" TargetMode="External" Id="rId5"/><Relationship Type="http://schemas.openxmlformats.org/officeDocument/2006/relationships/hyperlink" Target="../../../../../../../../Users/ishan/Downloads/INDIAN%20REITS/Embassy/condensed_consolidated_fs.pdf" TargetMode="External" Id="rId6"/><Relationship Type="http://schemas.openxmlformats.org/officeDocument/2006/relationships/hyperlink" Target="../../../../../../../../Users/ishan/Downloads/INDIAN%20REITS/Embassy/reit_consol_fs_and_ar_mar_2026.pdf" TargetMode="External" Id="rId7"/><Relationship Type="http://schemas.openxmlformats.org/officeDocument/2006/relationships/hyperlink" Target="../../../../../../../../Users/ishan/Downloads/INDIAN%20REITS/Embassy/reit_consol_fs_and_ar_mar_2026.pdf" TargetMode="External" Id="rId8"/><Relationship Type="http://schemas.openxmlformats.org/officeDocument/2006/relationships/hyperlink" Target="../../../../../../../../Users/ishan/Downloads/INDIAN%20REITS/Embassy/4q-fy2019-condensed-combined-financial-statements.pdf" TargetMode="External" Id="rId9"/><Relationship Type="http://schemas.openxmlformats.org/officeDocument/2006/relationships/hyperlink" Target="../../../../../../../../Users/ishan/Downloads/INDIAN%20REITS/Embassy/4q-fy2020-condensed-consolidated-financial-statements.pdf" TargetMode="External" Id="rId10"/><Relationship Type="http://schemas.openxmlformats.org/officeDocument/2006/relationships/hyperlink" Target="../../../../../../../../Users/ishan/Downloads/INDIAN%20REITS/Embassy/embassy_reit_ar_2021_web.pdf" TargetMode="External" Id="rId11"/><Relationship Type="http://schemas.openxmlformats.org/officeDocument/2006/relationships/hyperlink" Target="../../../../../../../../Users/ishan/Downloads/INDIAN%20REITS/Embassy/4_reit_detailed_consol_fy_22.pdf" TargetMode="External" Id="rId12"/><Relationship Type="http://schemas.openxmlformats.org/officeDocument/2006/relationships/hyperlink" Target="../../../../../../../../Users/ishan/Downloads/INDIAN%20REITS/Embassy/1reit_consol_condensed_mar23.pdf" TargetMode="External" Id="rId13"/><Relationship Type="http://schemas.openxmlformats.org/officeDocument/2006/relationships/hyperlink" Target="../../../../../../../../Users/ishan/Downloads/INDIAN%20REITS/Embassy/condensed_consolidated_fs.pdf" TargetMode="External" Id="rId14"/><Relationship Type="http://schemas.openxmlformats.org/officeDocument/2006/relationships/hyperlink" Target="../../../../../../../../Users/ishan/Downloads/INDIAN%20REITS/Embassy/reit_consol_fs_and_ar_mar_2026.pdf" TargetMode="External" Id="rId15"/><Relationship Type="http://schemas.openxmlformats.org/officeDocument/2006/relationships/hyperlink" Target="../../../../../../../../Users/ishan/Downloads/INDIAN%20REITS/Embassy/reit_consol_fs_and_ar_mar_2026.pdf" TargetMode="External" Id="rId16"/><Relationship Type="http://schemas.openxmlformats.org/officeDocument/2006/relationships/hyperlink" Target="../../../../../../../../Users/ishan/Downloads/INDIAN%20REITS/Embassy/embassy_reit_ar_2021_web.pdf" TargetMode="External" Id="rId17"/><Relationship Type="http://schemas.openxmlformats.org/officeDocument/2006/relationships/hyperlink" Target="../../../../../../../../Users/ishan/Downloads/INDIAN%20REITS/Embassy/2_reit_detailed_standalone_fy_22.pdf" TargetMode="External" Id="rId18"/><Relationship Type="http://schemas.openxmlformats.org/officeDocument/2006/relationships/hyperlink" Target="../../../../../../../../Users/ishan/Downloads/INDIAN%20REITS/Embassy/3reit_standalone_condesned_mar23.pdf" TargetMode="External" Id="rId19"/><Relationship Type="http://schemas.openxmlformats.org/officeDocument/2006/relationships/hyperlink" Target="../../../../../../../../Users/ishan/Downloads/INDIAN%20REITS/Embassy/condensed_standalone.pdf" TargetMode="External" Id="rId20"/><Relationship Type="http://schemas.openxmlformats.org/officeDocument/2006/relationships/hyperlink" Target="../../../../../../../../Users/ishan/Downloads/INDIAN%20REITS/Embassy/reit_sa_fs_and_ar_mar_2026.pdf" TargetMode="External" Id="rId21"/><Relationship Type="http://schemas.openxmlformats.org/officeDocument/2006/relationships/hyperlink" Target="../../../../../../../../Users/ishan/Downloads/INDIAN%20REITS/Embassy/reit_sa_fs_and_ar_mar_2026.pdf" TargetMode="External" Id="rId22"/><Relationship Type="http://schemas.openxmlformats.org/officeDocument/2006/relationships/hyperlink" Target="../../../../../../../../Users/ishan/Downloads/INDIAN%20REITS/Embassy/4q-fy2019-condensed-combined-financial-statements.pdf" TargetMode="External" Id="rId23"/><Relationship Type="http://schemas.openxmlformats.org/officeDocument/2006/relationships/hyperlink" Target="../../../../../../../../Users/ishan/Downloads/INDIAN%20REITS/Embassy/4q-fy2020-condensed-consolidated-financial-statements.pdf" TargetMode="External" Id="rId24"/><Relationship Type="http://schemas.openxmlformats.org/officeDocument/2006/relationships/hyperlink" Target="../../../../../../../../Users/ishan/Downloads/INDIAN%20REITS/Embassy/embassy_reit_ar_2021_web.pdf" TargetMode="External" Id="rId25"/><Relationship Type="http://schemas.openxmlformats.org/officeDocument/2006/relationships/hyperlink" Target="../../../../../../../../Users/ishan/Downloads/INDIAN%20REITS/Embassy/4_reit_detailed_consol_fy_22.pdf" TargetMode="External" Id="rId26"/><Relationship Type="http://schemas.openxmlformats.org/officeDocument/2006/relationships/hyperlink" Target="../../../../../../../../Users/ishan/Downloads/INDIAN%20REITS/Embassy/1reit_consol_condensed_mar23.pdf" TargetMode="External" Id="rId27"/><Relationship Type="http://schemas.openxmlformats.org/officeDocument/2006/relationships/hyperlink" Target="../../../../../../../../Users/ishan/Downloads/INDIAN%20REITS/Embassy/annual_report_2025.pdf" TargetMode="External" Id="rId28"/><Relationship Type="http://schemas.openxmlformats.org/officeDocument/2006/relationships/hyperlink" Target="../../../../../../../../Users/ishan/Downloads/INDIAN%20REITS/Embassy/reit_consol_fs_and_ar_mar_2026.pdf" TargetMode="External" Id="rId29"/><Relationship Type="http://schemas.openxmlformats.org/officeDocument/2006/relationships/hyperlink" Target="../../../../../../../../Users/ishan/Downloads/INDIAN%20REITS/Embassy/reit_consol_fs_and_ar_mar_2026.pdf" TargetMode="External" Id="rId30"/><Relationship Type="http://schemas.openxmlformats.org/officeDocument/2006/relationships/hyperlink" Target="../../../../../../../../Users/ishan/Downloads/INDIAN%20REITS/Embassy/4q-fy2019-earnings-presentation.pdf" TargetMode="External" Id="rId31"/><Relationship Type="http://schemas.openxmlformats.org/officeDocument/2006/relationships/hyperlink" Target="../../../../../../../../Users/ishan/Downloads/INDIAN%20REITS/Embassy/4q-fy2020-earnings-materials.pdf" TargetMode="External" Id="rId32"/><Relationship Type="http://schemas.openxmlformats.org/officeDocument/2006/relationships/hyperlink" Target="../../../../../../../../Users/ishan/Downloads/INDIAN%20REITS/Embassy/final_annual_report.pdf" TargetMode="External" Id="rId33"/><Relationship Type="http://schemas.openxmlformats.org/officeDocument/2006/relationships/hyperlink" Target="../../../../../../../../Users/ishan/Downloads/INDIAN%20REITS/Embassy/embassy_reit_-_annual_report_-_fy_2022-23.pdf" TargetMode="External" Id="rId34"/><Relationship Type="http://schemas.openxmlformats.org/officeDocument/2006/relationships/hyperlink" Target="../../../../../../../../Users/ishan/Downloads/INDIAN%20REITS/Embassy/embassy_reit_ar_2024_final.pdf" TargetMode="External" Id="rId35"/><Relationship Type="http://schemas.openxmlformats.org/officeDocument/2006/relationships/hyperlink" Target="../../../../../../../../Users/ishan/Downloads/INDIAN%20REITS/Embassy/annual_report_2025.pdf" TargetMode="External" Id="rId36"/><Relationship Type="http://schemas.openxmlformats.org/officeDocument/2006/relationships/hyperlink" Target="../../../../../../../../Users/ishan/Downloads/INDIAN%20REITS/Nexus/earnings_presentation_q4_fy26_v1.pdf" TargetMode="External" Id="rId37"/><Relationship Type="http://schemas.openxmlformats.org/officeDocument/2006/relationships/hyperlink" Target="../../../../../../../../Users/ishan/Downloads/INDIAN%20REITS/Embassy/4q-fy2019-condensed-combined-financial-statements.pdf" TargetMode="External" Id="rId38"/><Relationship Type="http://schemas.openxmlformats.org/officeDocument/2006/relationships/hyperlink" Target="../../../../../../../../Users/ishan/Downloads/INDIAN%20REITS/Embassy/4q-fy2020-condensed-consolidated-financial-statements.pdf" TargetMode="External" Id="rId39"/><Relationship Type="http://schemas.openxmlformats.org/officeDocument/2006/relationships/hyperlink" Target="../../../../../../../../Users/ishan/Downloads/INDIAN%20REITS/Embassy/embassy_reit_ar_2021_web.pdf" TargetMode="External" Id="rId40"/><Relationship Type="http://schemas.openxmlformats.org/officeDocument/2006/relationships/hyperlink" Target="../../../../../../../../Users/ishan/Downloads/INDIAN%20REITS/Embassy/4_reit_detailed_consol_fy_22.pdf" TargetMode="External" Id="rId41"/><Relationship Type="http://schemas.openxmlformats.org/officeDocument/2006/relationships/hyperlink" Target="../../../../../../../../Users/ishan/Downloads/INDIAN%20REITS/Embassy/1reit_consol_condensed_mar23.pdf" TargetMode="External" Id="rId42"/><Relationship Type="http://schemas.openxmlformats.org/officeDocument/2006/relationships/hyperlink" Target="../../../../../../../../Users/ishan/Downloads/INDIAN%20REITS/Embassy/condensed_consolidated_fs.pdf" TargetMode="External" Id="rId43"/><Relationship Type="http://schemas.openxmlformats.org/officeDocument/2006/relationships/hyperlink" Target="../../../../../../../../Users/ishan/Downloads/INDIAN%20REITS/Embassy/reit_consol_fs_and_ar_mar_2026.pdf" TargetMode="External" Id="rId44"/><Relationship Type="http://schemas.openxmlformats.org/officeDocument/2006/relationships/hyperlink" Target="../../../../../../../../Users/ishan/Downloads/INDIAN%20REITS/Embassy/reit_consol_fs_and_ar_mar_2026.pdf" TargetMode="External" Id="rId45"/><Relationship Type="http://schemas.openxmlformats.org/officeDocument/2006/relationships/hyperlink" Target="../../../../../../../../Users/ishan/Downloads/INDIAN%20REITS/Embassy/4q-fy2019-standalone-financial-statements.pdf" TargetMode="External" Id="rId46"/><Relationship Type="http://schemas.openxmlformats.org/officeDocument/2006/relationships/hyperlink" Target="../../../../../../../../Users/ishan/Downloads/INDIAN%20REITS/Embassy/embassy_reit_ar_2021_web.pdf" TargetMode="External" Id="rId47"/><Relationship Type="http://schemas.openxmlformats.org/officeDocument/2006/relationships/hyperlink" Target="../../../../../../../../Users/ishan/Downloads/INDIAN%20REITS/Embassy/2_reit_detailed_standalone_fy_22.pdf" TargetMode="External" Id="rId48"/><Relationship Type="http://schemas.openxmlformats.org/officeDocument/2006/relationships/hyperlink" Target="../../../../../../../../Users/ishan/Downloads/INDIAN%20REITS/Embassy/3reit_standalone_condesned_mar23.pdf" TargetMode="External" Id="rId49"/><Relationship Type="http://schemas.openxmlformats.org/officeDocument/2006/relationships/hyperlink" Target="../../../../../../../../Users/ishan/Downloads/INDIAN%20REITS/Embassy/4q-fy2019-condensed-combined-financial-statements.pdf" TargetMode="External" Id="rId50"/><Relationship Type="http://schemas.openxmlformats.org/officeDocument/2006/relationships/hyperlink" Target="../../../../../../../../Users/ishan/Downloads/INDIAN%20REITS/Embassy/4q-fy2020-condensed-consolidated-financial-statements.pdf" TargetMode="External" Id="rId51"/><Relationship Type="http://schemas.openxmlformats.org/officeDocument/2006/relationships/hyperlink" Target="../../../../../../../../Users/ishan/Downloads/INDIAN%20REITS/Embassy/embassy_reit_ar_2021_web.pdf" TargetMode="External" Id="rId52"/><Relationship Type="http://schemas.openxmlformats.org/officeDocument/2006/relationships/hyperlink" Target="../../../../../../../../Users/ishan/Downloads/INDIAN%20REITS/Embassy/4_reit_detailed_consol_fy_22.pdf" TargetMode="External" Id="rId53"/><Relationship Type="http://schemas.openxmlformats.org/officeDocument/2006/relationships/hyperlink" Target="../../../../../../../../Users/ishan/Downloads/INDIAN%20REITS/Embassy/1reit_consol_condensed_mar23.pdf" TargetMode="External" Id="rId54"/><Relationship Type="http://schemas.openxmlformats.org/officeDocument/2006/relationships/hyperlink" Target="../../../../../../../../Users/ishan/Downloads/INDIAN%20REITS/Embassy/condensed_consolidated_fs.pdf" TargetMode="External" Id="rId55"/><Relationship Type="http://schemas.openxmlformats.org/officeDocument/2006/relationships/hyperlink" Target="../../../../../../../../Users/ishan/Downloads/INDIAN%20REITS/Embassy/reit_consol_fs_and_ar_mar_2026.pdf" TargetMode="External" Id="rId56"/><Relationship Type="http://schemas.openxmlformats.org/officeDocument/2006/relationships/hyperlink" Target="../../../../../../../../Users/ishan/Downloads/INDIAN%20REITS/Embassy/reit_consol_fs_and_ar_mar_2026.pdf" TargetMode="External" Id="rId57"/><Relationship Type="http://schemas.openxmlformats.org/officeDocument/2006/relationships/hyperlink" Target="../../../../../../../../Users/ishan/Downloads/INDIAN%20REITS/Embassy/4q-fy2019-standalone-financial-statements.pdf" TargetMode="External" Id="rId58"/><Relationship Type="http://schemas.openxmlformats.org/officeDocument/2006/relationships/hyperlink" Target="../../../../../../../../Users/ishan/Downloads/INDIAN%20REITS/Embassy/embassy_reit_ar_2021_web.pdf" TargetMode="External" Id="rId59"/><Relationship Type="http://schemas.openxmlformats.org/officeDocument/2006/relationships/hyperlink" Target="../../../../../../../../Users/ishan/Downloads/INDIAN%20REITS/Embassy/2_reit_detailed_standalone_fy_22.pdf" TargetMode="External" Id="rId60"/><Relationship Type="http://schemas.openxmlformats.org/officeDocument/2006/relationships/hyperlink" Target="../../../../../../../../Users/ishan/Downloads/INDIAN%20REITS/Embassy/3reit_standalone_condesned_mar23.pdf" TargetMode="External" Id="rId61"/><Relationship Type="http://schemas.openxmlformats.org/officeDocument/2006/relationships/hyperlink" Target="../../../../../../../../Users/ishan/Downloads/INDIAN%20REITS/Embassy/condensed_standalone.pdf" TargetMode="External" Id="rId62"/><Relationship Type="http://schemas.openxmlformats.org/officeDocument/2006/relationships/hyperlink" Target="../../../../../../../../Users/ishan/Downloads/INDIAN%20REITS/Embassy/reit_sa_fs_and_ar_mar_2026.pdf" TargetMode="External" Id="rId63"/><Relationship Type="http://schemas.openxmlformats.org/officeDocument/2006/relationships/hyperlink" Target="../../../../../../../../Users/ishan/Downloads/INDIAN%20REITS/Embassy/reit_sa_fs_and_ar_mar_2026.pdf" TargetMode="External" Id="rId64"/><Relationship Type="http://schemas.openxmlformats.org/officeDocument/2006/relationships/hyperlink" Target="../../../../../../../../Users/ishan/Downloads/INDIAN%20REITS/Embassy/4q-fy2019-condensed-combined-financial-statements.pdf" TargetMode="External" Id="rId65"/><Relationship Type="http://schemas.openxmlformats.org/officeDocument/2006/relationships/hyperlink" Target="../../../../../../../../Users/ishan/Downloads/INDIAN%20REITS/Embassy/4q-fy2020-condensed-consolidated-financial-statements.pdf" TargetMode="External" Id="rId66"/><Relationship Type="http://schemas.openxmlformats.org/officeDocument/2006/relationships/hyperlink" Target="../../../../../../../../Users/ishan/Downloads/INDIAN%20REITS/Embassy/embassy_reit_ar_2021_web.pdf" TargetMode="External" Id="rId67"/><Relationship Type="http://schemas.openxmlformats.org/officeDocument/2006/relationships/hyperlink" Target="../../../../../../../../Users/ishan/Downloads/INDIAN%20REITS/Embassy/4_reit_detailed_consol_fy_22.pdf" TargetMode="External" Id="rId68"/><Relationship Type="http://schemas.openxmlformats.org/officeDocument/2006/relationships/hyperlink" Target="../../../../../../../../Users/ishan/Downloads/INDIAN%20REITS/Embassy/1reit_consol_condensed_mar23.pdf" TargetMode="External" Id="rId69"/><Relationship Type="http://schemas.openxmlformats.org/officeDocument/2006/relationships/hyperlink" Target="../../../../../../../../Users/ishan/Downloads/INDIAN%20REITS/Embassy/condensed_consolidated_fs.pdf" TargetMode="External" Id="rId70"/><Relationship Type="http://schemas.openxmlformats.org/officeDocument/2006/relationships/hyperlink" Target="../../../../../../../../Users/ishan/Downloads/INDIAN%20REITS/Embassy/reit_consol_fs_and_ar_mar_2026.pdf" TargetMode="External" Id="rId71"/><Relationship Type="http://schemas.openxmlformats.org/officeDocument/2006/relationships/hyperlink" Target="../../../../../../../../Users/ishan/Downloads/INDIAN%20REITS/Embassy/reit_consol_fs_and_ar_mar_2026.pdf" TargetMode="External" Id="rId72"/><Relationship Type="http://schemas.openxmlformats.org/officeDocument/2006/relationships/hyperlink" Target="../../../../../../../../Users/ishan/Downloads/INDIAN%20REITS/Embassy/4q-fy2019-condensed-combined-financial-statements.pdf" TargetMode="External" Id="rId73"/><Relationship Type="http://schemas.openxmlformats.org/officeDocument/2006/relationships/hyperlink" Target="../../../../../../../../Users/ishan/Downloads/INDIAN%20REITS/Embassy/4q-fy2020-condensed-consolidated-financial-statements.pdf" TargetMode="External" Id="rId74"/><Relationship Type="http://schemas.openxmlformats.org/officeDocument/2006/relationships/hyperlink" Target="../../../../../../../../Users/ishan/Downloads/INDIAN%20REITS/Embassy/embassy_reit_ar_2021_web.pdf" TargetMode="External" Id="rId75"/><Relationship Type="http://schemas.openxmlformats.org/officeDocument/2006/relationships/hyperlink" Target="../../../../../../../../Users/ishan/Downloads/INDIAN%20REITS/Embassy/4_reit_detailed_consol_fy_22.pdf" TargetMode="External" Id="rId76"/><Relationship Type="http://schemas.openxmlformats.org/officeDocument/2006/relationships/hyperlink" Target="../../../../../../../../Users/ishan/Downloads/INDIAN%20REITS/Embassy/1reit_consol_condensed_mar23.pdf" TargetMode="External" Id="rId77"/><Relationship Type="http://schemas.openxmlformats.org/officeDocument/2006/relationships/hyperlink" Target="../../../../../../../../Users/ishan/Downloads/INDIAN%20REITS/Embassy/condensed_consolidated_fs.pdf" TargetMode="External" Id="rId78"/><Relationship Type="http://schemas.openxmlformats.org/officeDocument/2006/relationships/hyperlink" Target="../../../../../../../../Users/ishan/Downloads/INDIAN%20REITS/Embassy/reit_consol_fs_and_ar_mar_2026.pdf" TargetMode="External" Id="rId79"/><Relationship Type="http://schemas.openxmlformats.org/officeDocument/2006/relationships/hyperlink" Target="../../../../../../../../Users/ishan/Downloads/INDIAN%20REITS/Embassy/reit_consol_fs_and_ar_mar_2026.pdf" TargetMode="External" Id="rId80"/><Relationship Type="http://schemas.openxmlformats.org/officeDocument/2006/relationships/hyperlink" Target="../../../../../../../../Users/ishan/Downloads/INDIAN%20REITS/Embassy/4q-fy2019-standalone-financial-statements.pdf" TargetMode="External" Id="rId81"/><Relationship Type="http://schemas.openxmlformats.org/officeDocument/2006/relationships/hyperlink" Target="../../../../../../../../Users/ishan/Downloads/INDIAN%20REITS/Embassy/embassy_reit_ar_2021_web.pdf" TargetMode="External" Id="rId82"/><Relationship Type="http://schemas.openxmlformats.org/officeDocument/2006/relationships/hyperlink" Target="../../../../../../../../Users/ishan/Downloads/INDIAN%20REITS/Embassy/2_reit_detailed_standalone_fy_22.pdf" TargetMode="External" Id="rId83"/><Relationship Type="http://schemas.openxmlformats.org/officeDocument/2006/relationships/hyperlink" Target="../../../../../../../../Users/ishan/Downloads/INDIAN%20REITS/Embassy/3reit_standalone_condesned_mar23.pdf" TargetMode="External" Id="rId84"/><Relationship Type="http://schemas.openxmlformats.org/officeDocument/2006/relationships/hyperlink" Target="../../../../../../../../Users/ishan/Downloads/INDIAN%20REITS/Embassy/condensed_standalone.pdf" TargetMode="External" Id="rId85"/><Relationship Type="http://schemas.openxmlformats.org/officeDocument/2006/relationships/hyperlink" Target="../../../../../../../../Users/ishan/Downloads/INDIAN%20REITS/Embassy/reit_sa_fs_and_ar_mar_2026.pdf" TargetMode="External" Id="rId86"/><Relationship Type="http://schemas.openxmlformats.org/officeDocument/2006/relationships/hyperlink" Target="../../../../../../../../Users/ishan/Downloads/INDIAN%20REITS/Embassy/reit_sa_fs_and_ar_mar_2026.pdf" TargetMode="External" Id="rId87"/><Relationship Type="http://schemas.openxmlformats.org/officeDocument/2006/relationships/hyperlink" Target="../../../../../../../../Users/ishan/Downloads/INDIAN%20REITS/Embassy/4q-fy2019-condensed-combined-financial-statements.pdf" TargetMode="External" Id="rId88"/><Relationship Type="http://schemas.openxmlformats.org/officeDocument/2006/relationships/hyperlink" Target="../../../../../../../../Users/ishan/Downloads/INDIAN%20REITS/Embassy/4q-fy2020-condensed-consolidated-financial-statements.pdf" TargetMode="External" Id="rId89"/><Relationship Type="http://schemas.openxmlformats.org/officeDocument/2006/relationships/hyperlink" Target="../../../../../../../../Users/ishan/Downloads/INDIAN%20REITS/Embassy/embassy_reit_ar_2021_web.pdf" TargetMode="External" Id="rId90"/><Relationship Type="http://schemas.openxmlformats.org/officeDocument/2006/relationships/hyperlink" Target="../../../../../../../../Users/ishan/Downloads/INDIAN%20REITS/Embassy/4_reit_detailed_consol_fy_22.pdf" TargetMode="External" Id="rId91"/><Relationship Type="http://schemas.openxmlformats.org/officeDocument/2006/relationships/hyperlink" Target="../../../../../../../../Users/ishan/Downloads/INDIAN%20REITS/Embassy/1reit_consol_condensed_mar23.pdf" TargetMode="External" Id="rId92"/><Relationship Type="http://schemas.openxmlformats.org/officeDocument/2006/relationships/hyperlink" Target="../../../../../../../../Users/ishan/Downloads/INDIAN%20REITS/Embassy/condensed_consolidated_fs.pdf" TargetMode="External" Id="rId93"/><Relationship Type="http://schemas.openxmlformats.org/officeDocument/2006/relationships/hyperlink" Target="../../../../../../../../Users/ishan/Downloads/INDIAN%20REITS/Embassy/reit_consol_fs_and_ar_mar_2026.pdf" TargetMode="External" Id="rId94"/><Relationship Type="http://schemas.openxmlformats.org/officeDocument/2006/relationships/hyperlink" Target="../../../../../../../../Users/ishan/Downloads/INDIAN%20REITS/Embassy/reit_consol_fs_and_ar_mar_2026.pdf" TargetMode="External" Id="rId95"/><Relationship Type="http://schemas.openxmlformats.org/officeDocument/2006/relationships/hyperlink" Target="../../../../../../../../Users/ishan/Downloads/INDIAN%20REITS/Embassy/4q-fy2019-standalone-financial-statements.pdf" TargetMode="External" Id="rId96"/><Relationship Type="http://schemas.openxmlformats.org/officeDocument/2006/relationships/hyperlink" Target="../../../../../../../../Users/ishan/Downloads/INDIAN%20REITS/Embassy/embassy_reit_ar_2021_web.pdf" TargetMode="External" Id="rId97"/><Relationship Type="http://schemas.openxmlformats.org/officeDocument/2006/relationships/hyperlink" Target="../../../../../../../../Users/ishan/Downloads/INDIAN%20REITS/Embassy/2_reit_detailed_standalone_fy_22.pdf" TargetMode="External" Id="rId98"/><Relationship Type="http://schemas.openxmlformats.org/officeDocument/2006/relationships/hyperlink" Target="../../../../../../../../Users/ishan/Downloads/INDIAN%20REITS/Embassy/3reit_standalone_condesned_mar23.pdf" TargetMode="External" Id="rId99"/><Relationship Type="http://schemas.openxmlformats.org/officeDocument/2006/relationships/hyperlink" Target="../../../../../../../../Users/ishan/Downloads/INDIAN%20REITS/Embassy/condensed_standalone.pdf" TargetMode="External" Id="rId100"/><Relationship Type="http://schemas.openxmlformats.org/officeDocument/2006/relationships/hyperlink" Target="../../../../../../../../Users/ishan/Downloads/INDIAN%20REITS/Embassy/reit_sa_fs_and_ar_mar_2026.pdf" TargetMode="External" Id="rId101"/><Relationship Type="http://schemas.openxmlformats.org/officeDocument/2006/relationships/hyperlink" Target="../../../../../../../../Users/ishan/Downloads/INDIAN%20REITS/Embassy/reit_sa_fs_and_ar_mar_2026.pdf" TargetMode="External" Id="rId102"/><Relationship Type="http://schemas.openxmlformats.org/officeDocument/2006/relationships/hyperlink" Target="../../../../../../../../Users/ishan/Downloads/INDIAN%20REITS/Embassy/4q-fy2020-condensed-consolidated-financial-statements.pdf" TargetMode="External" Id="rId103"/><Relationship Type="http://schemas.openxmlformats.org/officeDocument/2006/relationships/hyperlink" Target="../../../../../../../../Users/ishan/Downloads/INDIAN%20REITS/Embassy/embassy_reit_ar_2021_web.pdf" TargetMode="External" Id="rId104"/><Relationship Type="http://schemas.openxmlformats.org/officeDocument/2006/relationships/hyperlink" Target="../../../../../../../../Users/ishan/Downloads/INDIAN%20REITS/Embassy/4_reit_detailed_consol_fy_22.pdf" TargetMode="External" Id="rId105"/><Relationship Type="http://schemas.openxmlformats.org/officeDocument/2006/relationships/hyperlink" Target="../../../../../../../../Users/ishan/Downloads/INDIAN%20REITS/Embassy/1reit_consol_condensed_mar23.pdf" TargetMode="External" Id="rId106"/><Relationship Type="http://schemas.openxmlformats.org/officeDocument/2006/relationships/hyperlink" Target="../../../../../../../../Users/ishan/Downloads/INDIAN%20REITS/Embassy/standalone_reit_fs_condensed_mar_24.pdf" TargetMode="External" Id="rId107"/><Relationship Type="http://schemas.openxmlformats.org/officeDocument/2006/relationships/hyperlink" Target="../../../../../../../../Users/ishan/Downloads/INDIAN%20REITS/Embassy/reit_consol_fs_and_ar_mar_2026.pdf" TargetMode="External" Id="rId108"/><Relationship Type="http://schemas.openxmlformats.org/officeDocument/2006/relationships/hyperlink" Target="../../../../../../../../Users/ishan/Downloads/INDIAN%20REITS/Embassy/consol_results_-_march_2026.pdf" TargetMode="External" Id="rId109"/><Relationship Type="http://schemas.openxmlformats.org/officeDocument/2006/relationships/hyperlink" Target="../../../../../../../../Users/ishan/Downloads/INDIAN%20REITS/Embassy/4q-fy2020-earnings-materials.pdf" TargetMode="External" Id="rId110"/><Relationship Type="http://schemas.openxmlformats.org/officeDocument/2006/relationships/hyperlink" Target="../../../../../../../../Users/ishan/Downloads/INDIAN%20REITS/Embassy/embassy_reit_ar_2021_web.pdf" TargetMode="External" Id="rId111"/><Relationship Type="http://schemas.openxmlformats.org/officeDocument/2006/relationships/hyperlink" Target="../../../../../../../../Users/ishan/Downloads/INDIAN%20REITS/Embassy/4_reit_detailed_consol_fy_22.pdf" TargetMode="External" Id="rId112"/><Relationship Type="http://schemas.openxmlformats.org/officeDocument/2006/relationships/hyperlink" Target="../../../../../../../../Users/ishan/Downloads/INDIAN%20REITS/Embassy/1reit_consol_condensed_mar23.pdf" TargetMode="External" Id="rId113"/><Relationship Type="http://schemas.openxmlformats.org/officeDocument/2006/relationships/hyperlink" Target="../../../../../../../../Users/ishan/Downloads/INDIAN%20REITS/Embassy/consol_reit_fs_condensed_mar_24.pdf" TargetMode="External" Id="rId114"/><Relationship Type="http://schemas.openxmlformats.org/officeDocument/2006/relationships/hyperlink" Target="../../../../../../../../Users/ishan/Downloads/INDIAN%20REITS/Embassy/condensed_standalone.pdf" TargetMode="External" Id="rId115"/><Relationship Type="http://schemas.openxmlformats.org/officeDocument/2006/relationships/hyperlink" Target="../../../../../../../../Users/ishan/Downloads/INDIAN%20REITS/Embassy/consol_results_-_march_2026.pdf" TargetMode="External" Id="rId116"/><Relationship Type="http://schemas.openxmlformats.org/officeDocument/2006/relationships/hyperlink" Target="../../../../../../../../Users/ishan/Downloads/INDIAN%20REITS/Embassy/4q-fy2020-condensed-consolidated-financial-statements.pdf" TargetMode="External" Id="rId117"/><Relationship Type="http://schemas.openxmlformats.org/officeDocument/2006/relationships/hyperlink" Target="../../../../../../../../Users/ishan/Downloads/INDIAN%20REITS/Embassy/embassy_reit_ar_2021_web.pdf" TargetMode="External" Id="rId118"/><Relationship Type="http://schemas.openxmlformats.org/officeDocument/2006/relationships/hyperlink" Target="../../../../../../../../Users/ishan/Downloads/INDIAN%20REITS/Embassy/4_reit_detailed_consol_fy_22.pdf" TargetMode="External" Id="rId119"/><Relationship Type="http://schemas.openxmlformats.org/officeDocument/2006/relationships/hyperlink" Target="../../../../../../../../Users/ishan/Downloads/INDIAN%20REITS/Embassy/embassy_reit_-_annual_report_-_fy_2022-23.pdf" TargetMode="External" Id="rId120"/><Relationship Type="http://schemas.openxmlformats.org/officeDocument/2006/relationships/hyperlink" Target="../../../../../../../../Users/ishan/Downloads/INDIAN%20REITS/Embassy/consol_reit_fs_condensed_mar_24.pdf" TargetMode="External" Id="rId121"/><Relationship Type="http://schemas.openxmlformats.org/officeDocument/2006/relationships/hyperlink" Target="../../../../../../../../Users/ishan/Downloads/INDIAN%20REITS/Embassy/condensed_standalone.pdf" TargetMode="External" Id="rId122"/><Relationship Type="http://schemas.openxmlformats.org/officeDocument/2006/relationships/hyperlink" Target="../../../../../../../../Users/ishan/Downloads/INDIAN%20REITS/Embassy/consol_results_-_march_2026.pdf" TargetMode="External" Id="rId123"/><Relationship Type="http://schemas.openxmlformats.org/officeDocument/2006/relationships/hyperlink" Target="../../../../../../../../Users/ishan/Downloads/INDIAN%20REITS/Embassy/4q-fy2019-earnings-presentation.pdf" TargetMode="External" Id="rId124"/><Relationship Type="http://schemas.openxmlformats.org/officeDocument/2006/relationships/hyperlink" Target="../../../../../../../../Users/ishan/Downloads/INDIAN%20REITS/Embassy/4q-fy2020-condensed-consolidated-financial-statements.pdf" TargetMode="External" Id="rId125"/><Relationship Type="http://schemas.openxmlformats.org/officeDocument/2006/relationships/hyperlink" Target="../../../../../../../../Users/ishan/Downloads/INDIAN%20REITS/Embassy/embassy_reit_ar_2021_web.pdf" TargetMode="External" Id="rId126"/><Relationship Type="http://schemas.openxmlformats.org/officeDocument/2006/relationships/hyperlink" Target="../../../../../../../../Users/ishan/Downloads/INDIAN%20REITS/Embassy/final_annual_report.pdf" TargetMode="External" Id="rId127"/><Relationship Type="http://schemas.openxmlformats.org/officeDocument/2006/relationships/hyperlink" Target="../../../../../../../../Users/ishan/Downloads/INDIAN%20REITS/Embassy/embassy_reit_-_annual_report_-_fy_2022-23.pdf" TargetMode="External" Id="rId128"/><Relationship Type="http://schemas.openxmlformats.org/officeDocument/2006/relationships/hyperlink" Target="../../../../../../../../Users/ishan/Downloads/INDIAN%20REITS/Embassy/consol_reit_fs_condensed_mar_24.pdf" TargetMode="External" Id="rId129"/><Relationship Type="http://schemas.openxmlformats.org/officeDocument/2006/relationships/hyperlink" Target="../../../../../../../../Users/ishan/Downloads/INDIAN%20REITS/Embassy/reit_consol_fs_and_ar_mar_2026.pdf" TargetMode="External" Id="rId130"/><Relationship Type="http://schemas.openxmlformats.org/officeDocument/2006/relationships/hyperlink" Target="../../../../../../../../Users/ishan/Downloads/INDIAN%20REITS/Embassy/reit_consol_fs_and_ar_mar_2026.pdf" TargetMode="External" Id="rId131"/><Relationship Type="http://schemas.openxmlformats.org/officeDocument/2006/relationships/hyperlink" Target="../../../../../../../../Users/ishan/Downloads/INDIAN%20REITS/Embassy/4q-fy2019-condensed-combined-financial-statements.pdf" TargetMode="External" Id="rId132"/><Relationship Type="http://schemas.openxmlformats.org/officeDocument/2006/relationships/hyperlink" Target="../../../../../../../../Users/ishan/Downloads/INDIAN%20REITS/Embassy/4q-fy2020-condensed-consolidated-financial-statements.pdf" TargetMode="External" Id="rId133"/><Relationship Type="http://schemas.openxmlformats.org/officeDocument/2006/relationships/hyperlink" Target="../../../../../../../../Users/ishan/Downloads/INDIAN%20REITS/Embassy/embassy_reit_ar_2021_web.pdf" TargetMode="External" Id="rId134"/><Relationship Type="http://schemas.openxmlformats.org/officeDocument/2006/relationships/hyperlink" Target="../../../../../../../../Users/ishan/Downloads/INDIAN%20REITS/Embassy/4_reit_detailed_consol_fy_22.pdf" TargetMode="External" Id="rId135"/><Relationship Type="http://schemas.openxmlformats.org/officeDocument/2006/relationships/hyperlink" Target="../../../../../../../../Users/ishan/Downloads/INDIAN%20REITS/Embassy/1reit_consol_condensed_mar23.pdf" TargetMode="External" Id="rId136"/><Relationship Type="http://schemas.openxmlformats.org/officeDocument/2006/relationships/hyperlink" Target="../../../../../../../../Users/ishan/Downloads/INDIAN%20REITS/Embassy/consol_reit_fs_condensed_mar_24.pdf" TargetMode="External" Id="rId137"/><Relationship Type="http://schemas.openxmlformats.org/officeDocument/2006/relationships/hyperlink" Target="../../../../../../../../Users/ishan/Downloads/INDIAN%20REITS/Embassy/reit_consol_fs_and_ar_mar_2026.pdf" TargetMode="External" Id="rId138"/><Relationship Type="http://schemas.openxmlformats.org/officeDocument/2006/relationships/hyperlink" Target="../../../../../../../../Users/ishan/Downloads/INDIAN%20REITS/Embassy/reit_consol_fs_and_ar_mar_2026.pdf" TargetMode="External" Id="rId139"/><Relationship Type="http://schemas.openxmlformats.org/officeDocument/2006/relationships/hyperlink" Target="../../../../../../../../Users/ishan/Downloads/INDIAN%20REITS/Embassy/4q-fy2019-standalone-financial-statements.pdf" TargetMode="External" Id="rId140"/><Relationship Type="http://schemas.openxmlformats.org/officeDocument/2006/relationships/hyperlink" Target="../../../../../../../../Users/ishan/Downloads/INDIAN%20REITS/Embassy/embassy_reit_ar_2021_web.pdf" TargetMode="External" Id="rId141"/><Relationship Type="http://schemas.openxmlformats.org/officeDocument/2006/relationships/hyperlink" Target="../../../../../../../../Users/ishan/Downloads/INDIAN%20REITS/Embassy/2_reit_detailed_standalone_fy_22.pdf" TargetMode="External" Id="rId142"/><Relationship Type="http://schemas.openxmlformats.org/officeDocument/2006/relationships/hyperlink" Target="../../../../../../../../Users/ishan/Downloads/INDIAN%20REITS/Embassy/3reit_standalone_condesned_mar23.pdf" TargetMode="External" Id="rId143"/><Relationship Type="http://schemas.openxmlformats.org/officeDocument/2006/relationships/hyperlink" Target="../../../../../../../../Users/ishan/Downloads/INDIAN%20REITS/Embassy/standalone_reit_fs_condensed_mar_24.pdf" TargetMode="External" Id="rId144"/><Relationship Type="http://schemas.openxmlformats.org/officeDocument/2006/relationships/hyperlink" Target="../../../../../../../../Users/ishan/Downloads/INDIAN%20REITS/Embassy/reit_sa_fs_and_ar_mar_2026.pdf" TargetMode="External" Id="rId145"/><Relationship Type="http://schemas.openxmlformats.org/officeDocument/2006/relationships/hyperlink" Target="../../../../../../../../Users/ishan/Downloads/INDIAN%20REITS/Embassy/reit_sa_fs_and_ar_mar_2026.pdf" TargetMode="External" Id="rId146"/><Relationship Type="http://schemas.openxmlformats.org/officeDocument/2006/relationships/hyperlink" Target="../../../../../../../../Users/ishan/Downloads/INDIAN%20REITS/Embassy/4q-fy2019-condensed-combined-financial-statements.pdf" TargetMode="External" Id="rId147"/><Relationship Type="http://schemas.openxmlformats.org/officeDocument/2006/relationships/hyperlink" Target="../../../../../../../../Users/ishan/Downloads/INDIAN%20REITS/Embassy/4q-fy2020-condensed-consolidated-financial-statements.pdf" TargetMode="External" Id="rId148"/><Relationship Type="http://schemas.openxmlformats.org/officeDocument/2006/relationships/hyperlink" Target="../../../../../../../../Users/ishan/Downloads/INDIAN%20REITS/Embassy/embassy_reit_ar_2021_web.pdf" TargetMode="External" Id="rId149"/><Relationship Type="http://schemas.openxmlformats.org/officeDocument/2006/relationships/hyperlink" Target="../../../../../../../../Users/ishan/Downloads/INDIAN%20REITS/Embassy/4_reit_detailed_consol_fy_22.pdf" TargetMode="External" Id="rId150"/><Relationship Type="http://schemas.openxmlformats.org/officeDocument/2006/relationships/hyperlink" Target="../../../../../../../../Users/ishan/Downloads/INDIAN%20REITS/Embassy/1reit_consol_condensed_mar23.pdf" TargetMode="External" Id="rId151"/><Relationship Type="http://schemas.openxmlformats.org/officeDocument/2006/relationships/hyperlink" Target="../../../../../../../../Users/ishan/Downloads/INDIAN%20REITS/Embassy/consol_reit_fs_condensed_mar_24.pdf" TargetMode="External" Id="rId152"/><Relationship Type="http://schemas.openxmlformats.org/officeDocument/2006/relationships/hyperlink" Target="../../../../../../../../Users/ishan/Downloads/INDIAN%20REITS/Embassy/reit_consol_fs_and_ar_mar_2026.pdf" TargetMode="External" Id="rId153"/><Relationship Type="http://schemas.openxmlformats.org/officeDocument/2006/relationships/hyperlink" Target="../../../../../../../../Users/ishan/Downloads/INDIAN%20REITS/Embassy/reit_consol_fs_and_ar_mar_2026.pdf" TargetMode="External" Id="rId154"/><Relationship Type="http://schemas.openxmlformats.org/officeDocument/2006/relationships/hyperlink" Target="../../../../../../../../Users/ishan/Downloads/INDIAN%20REITS/Embassy/4q-fy2019-standalone-financial-statements.pdf" TargetMode="External" Id="rId155"/><Relationship Type="http://schemas.openxmlformats.org/officeDocument/2006/relationships/hyperlink" Target="../../../../../../../../Users/ishan/Downloads/INDIAN%20REITS/Embassy/embassy_reit_ar_2021_web.pdf" TargetMode="External" Id="rId156"/><Relationship Type="http://schemas.openxmlformats.org/officeDocument/2006/relationships/hyperlink" Target="../../../../../../../../Users/ishan/Downloads/INDIAN%20REITS/Embassy/2_reit_detailed_standalone_fy_22.pdf" TargetMode="External" Id="rId157"/><Relationship Type="http://schemas.openxmlformats.org/officeDocument/2006/relationships/hyperlink" Target="../../../../../../../../Users/ishan/Downloads/INDIAN%20REITS/Embassy/3reit_standalone_condesned_mar23.pdf" TargetMode="External" Id="rId158"/><Relationship Type="http://schemas.openxmlformats.org/officeDocument/2006/relationships/hyperlink" Target="../../../../../../../../Users/ishan/Downloads/INDIAN%20REITS/Embassy/standalone_reit_fs_condensed_mar_24.pdf" TargetMode="External" Id="rId159"/><Relationship Type="http://schemas.openxmlformats.org/officeDocument/2006/relationships/hyperlink" Target="../../../../../../../../Users/ishan/Downloads/INDIAN%20REITS/Embassy/reit_sa_fs_and_ar_mar_2026.pdf" TargetMode="External" Id="rId160"/><Relationship Type="http://schemas.openxmlformats.org/officeDocument/2006/relationships/hyperlink" Target="../../../../../../../../Users/ishan/Downloads/INDIAN%20REITS/Embassy/reit_sa_fs_and_ar_mar_2026.pdf" TargetMode="External" Id="rId161"/><Relationship Type="http://schemas.openxmlformats.org/officeDocument/2006/relationships/hyperlink" Target="../../../../../../../../Users/ishan/Downloads/INDIAN%20REITS/Embassy/4q-fy2019-condensed-combined-financial-statements.pdf" TargetMode="External" Id="rId162"/><Relationship Type="http://schemas.openxmlformats.org/officeDocument/2006/relationships/hyperlink" Target="../../../../../../../../Users/ishan/Downloads/INDIAN%20REITS/Embassy/4q-fy2020-condensed-consolidated-financial-statements.pdf" TargetMode="External" Id="rId163"/><Relationship Type="http://schemas.openxmlformats.org/officeDocument/2006/relationships/hyperlink" Target="../../../../../../../../Users/ishan/Downloads/INDIAN%20REITS/Embassy/embassy_reit_ar_2021_web.pdf" TargetMode="External" Id="rId164"/><Relationship Type="http://schemas.openxmlformats.org/officeDocument/2006/relationships/hyperlink" Target="../../../../../../../../Users/ishan/Downloads/INDIAN%20REITS/Embassy/4_reit_detailed_consol_fy_22.pdf" TargetMode="External" Id="rId165"/><Relationship Type="http://schemas.openxmlformats.org/officeDocument/2006/relationships/hyperlink" Target="../../../../../../../../Users/ishan/Downloads/INDIAN%20REITS/Embassy/1reit_consol_condensed_mar23.pdf" TargetMode="External" Id="rId166"/><Relationship Type="http://schemas.openxmlformats.org/officeDocument/2006/relationships/hyperlink" Target="../../../../../../../../Users/ishan/Downloads/INDIAN%20REITS/Embassy/consol_reit_fs_condensed_mar_24.pdf" TargetMode="External" Id="rId167"/><Relationship Type="http://schemas.openxmlformats.org/officeDocument/2006/relationships/hyperlink" Target="../../../../../../../../Users/ishan/Downloads/INDIAN%20REITS/Embassy/reit_consol_fs_and_ar_mar_2026.pdf" TargetMode="External" Id="rId168"/><Relationship Type="http://schemas.openxmlformats.org/officeDocument/2006/relationships/hyperlink" Target="../../../../../../../../Users/ishan/Downloads/INDIAN%20REITS/Embassy/reit_consol_fs_and_ar_mar_2026.pdf" TargetMode="External" Id="rId169"/><Relationship Type="http://schemas.openxmlformats.org/officeDocument/2006/relationships/hyperlink" Target="../../../../../../../../Users/ishan/Downloads/INDIAN%20REITS/Embassy/4q-fy2019-standalone-financial-statements.pdf" TargetMode="External" Id="rId170"/><Relationship Type="http://schemas.openxmlformats.org/officeDocument/2006/relationships/hyperlink" Target="../../../../../../../../Users/ishan/Downloads/INDIAN%20REITS/Embassy/embassy_reit_ar_2021_web.pdf" TargetMode="External" Id="rId171"/><Relationship Type="http://schemas.openxmlformats.org/officeDocument/2006/relationships/hyperlink" Target="../../../../../../../../Users/ishan/Downloads/INDIAN%20REITS/Embassy/2_reit_detailed_standalone_fy_22.pdf" TargetMode="External" Id="rId172"/><Relationship Type="http://schemas.openxmlformats.org/officeDocument/2006/relationships/hyperlink" Target="../../../../../../../../Users/ishan/Downloads/INDIAN%20REITS/Embassy/3reit_standalone_condesned_mar23.pdf" TargetMode="External" Id="rId173"/><Relationship Type="http://schemas.openxmlformats.org/officeDocument/2006/relationships/hyperlink" Target="../../../../../../../../Users/ishan/Downloads/INDIAN%20REITS/Embassy/standalone_reit_fs_condensed_mar_24.pdf" TargetMode="External" Id="rId174"/><Relationship Type="http://schemas.openxmlformats.org/officeDocument/2006/relationships/hyperlink" Target="../../../../../../../../Users/ishan/Downloads/INDIAN%20REITS/Embassy/reit_sa_fs_and_ar_mar_2026.pdf" TargetMode="External" Id="rId175"/><Relationship Type="http://schemas.openxmlformats.org/officeDocument/2006/relationships/hyperlink" Target="../../../../../../../../Users/ishan/Downloads/INDIAN%20REITS/Embassy/reit_sa_fs_and_ar_mar_2026.pdf" TargetMode="External" Id="rId176"/><Relationship Type="http://schemas.openxmlformats.org/officeDocument/2006/relationships/hyperlink" Target="../../../../../../../../Users/ishan/Downloads/INDIAN%20REITS/Embassy/4q-fy2019-earnings-presentation.pdf" TargetMode="External" Id="rId177"/><Relationship Type="http://schemas.openxmlformats.org/officeDocument/2006/relationships/hyperlink" Target="../../../../../../../../Users/ishan/Downloads/INDIAN%20REITS/Embassy/4q-fy2020-condensed-consolidated-financial-statements.pdf" TargetMode="External" Id="rId178"/><Relationship Type="http://schemas.openxmlformats.org/officeDocument/2006/relationships/hyperlink" Target="../../../../../../../../Users/ishan/Downloads/INDIAN%20REITS/Embassy/embassy_reit_ar_2021_web.pdf" TargetMode="External" Id="rId179"/><Relationship Type="http://schemas.openxmlformats.org/officeDocument/2006/relationships/hyperlink" Target="../../../../../../../../Users/ishan/Downloads/INDIAN%20REITS/Embassy/4_reit_detailed_consol_fy_22.pdf" TargetMode="External" Id="rId180"/><Relationship Type="http://schemas.openxmlformats.org/officeDocument/2006/relationships/hyperlink" Target="../../../../../../../../Users/ishan/Downloads/INDIAN%20REITS/Embassy/embassy_reit_-_annual_report_-_fy_2022-23.pdf" TargetMode="External" Id="rId181"/><Relationship Type="http://schemas.openxmlformats.org/officeDocument/2006/relationships/hyperlink" Target="../../../../../../../../Users/ishan/Downloads/INDIAN%20REITS/Embassy/consol_reit_fs_condensed_mar_24.pdf" TargetMode="External" Id="rId182"/><Relationship Type="http://schemas.openxmlformats.org/officeDocument/2006/relationships/hyperlink" Target="../../../../../../../../Users/ishan/Downloads/INDIAN%20REITS/Embassy/reit_consol_fs_and_ar_mar_2026.pdf" TargetMode="External" Id="rId183"/><Relationship Type="http://schemas.openxmlformats.org/officeDocument/2006/relationships/hyperlink" Target="../../../../../../../../Users/ishan/Downloads/INDIAN%20REITS/Embassy/reit_consol_fs_and_ar_mar_2026.pdf" TargetMode="External" Id="rId184"/><Relationship Type="http://schemas.openxmlformats.org/officeDocument/2006/relationships/hyperlink" Target="../../../../../../../../Users/ishan/Downloads/INDIAN%20REITS/Embassy/4q-fy2019-condensed-combined-financial-statements.pdf" TargetMode="External" Id="rId185"/><Relationship Type="http://schemas.openxmlformats.org/officeDocument/2006/relationships/hyperlink" Target="../../../../../../../../Users/ishan/Downloads/INDIAN%20REITS/Embassy/4q-fy2020-condensed-consolidated-financial-statements.pdf" TargetMode="External" Id="rId186"/><Relationship Type="http://schemas.openxmlformats.org/officeDocument/2006/relationships/hyperlink" Target="../../../../../../../../Users/ishan/Downloads/INDIAN%20REITS/Embassy/embassy_reit_ar_2021_web.pdf" TargetMode="External" Id="rId187"/><Relationship Type="http://schemas.openxmlformats.org/officeDocument/2006/relationships/hyperlink" Target="../../../../../../../../Users/ishan/Downloads/INDIAN%20REITS/Embassy/4_reit_detailed_consol_fy_22.pdf" TargetMode="External" Id="rId188"/><Relationship Type="http://schemas.openxmlformats.org/officeDocument/2006/relationships/hyperlink" Target="../../../../../../../../Users/ishan/Downloads/INDIAN%20REITS/Embassy/embassy_reit_-_annual_report_-_fy_2022-23.pdf" TargetMode="External" Id="rId189"/><Relationship Type="http://schemas.openxmlformats.org/officeDocument/2006/relationships/hyperlink" Target="../../../../../../../../Users/ishan/Downloads/INDIAN%20REITS/Embassy/consol_reit_fs_condensed_mar_24.pdf" TargetMode="External" Id="rId190"/><Relationship Type="http://schemas.openxmlformats.org/officeDocument/2006/relationships/hyperlink" Target="../../../../../../../../Users/ishan/Downloads/INDIAN%20REITS/Embassy/reit_consol_fs_and_ar_mar_2026.pdf" TargetMode="External" Id="rId191"/><Relationship Type="http://schemas.openxmlformats.org/officeDocument/2006/relationships/hyperlink" Target="../../../../../../../../Users/ishan/Downloads/INDIAN%20REITS/Embassy/reit_consol_fs_and_ar_mar_2026.pdf" TargetMode="External" Id="rId192"/><Relationship Type="http://schemas.openxmlformats.org/officeDocument/2006/relationships/hyperlink" Target="../../../../../../../../Users/ishan/Downloads/INDIAN%20REITS/Embassy/embassy_reit_ar_2021_web.pdf" TargetMode="External" Id="rId193"/><Relationship Type="http://schemas.openxmlformats.org/officeDocument/2006/relationships/hyperlink" Target="../../../../../../../../Users/ishan/Downloads/INDIAN%20REITS/REIT_Tableau_Ready_1.xlsx" TargetMode="External" Id="rId194"/><Relationship Type="http://schemas.openxmlformats.org/officeDocument/2006/relationships/hyperlink" Target="../../../../../../../../Users/ishan/Downloads/INDIAN%20REITS/REIT_Tableau_Ready_1.xlsx" TargetMode="External" Id="rId195"/><Relationship Type="http://schemas.openxmlformats.org/officeDocument/2006/relationships/hyperlink" Target="../../../../../../../../Users/ishan/Downloads/INDIAN%20REITS/Embassy/embassy_reit_ar_2024_final.pdf" TargetMode="External" Id="rId196"/><Relationship Type="http://schemas.openxmlformats.org/officeDocument/2006/relationships/hyperlink" Target="../../../../../../../../Users/ishan/Downloads/INDIAN%20REITS/Embassy/annual_report_2025.pdf" TargetMode="External" Id="rId197"/><Relationship Type="http://schemas.openxmlformats.org/officeDocument/2006/relationships/hyperlink" Target="../../../../../../../../Users/ishan/Downloads/INDIAN%20REITS/Nexus/earnings_presentation_q4_fy26_v1.pdf" TargetMode="External" Id="rId198"/><Relationship Type="http://schemas.openxmlformats.org/officeDocument/2006/relationships/hyperlink" Target="../../../../../../../../Users/ishan/Downloads/INDIAN%20REITS/Embassy/embassy_reit_ar_2021_web.pdf" TargetMode="External" Id="rId199"/><Relationship Type="http://schemas.openxmlformats.org/officeDocument/2006/relationships/hyperlink" Target="../../../../../../../../Users/ishan/Downloads/INDIAN%20REITS/Embassy/final_annual_report.pdf" TargetMode="External" Id="rId200"/><Relationship Type="http://schemas.openxmlformats.org/officeDocument/2006/relationships/hyperlink" Target="../../../../../../../../Users/ishan/Downloads/INDIAN%20REITS/Embassy/embassy_reit_-_annual_report_-_fy_2022-23.pdf" TargetMode="External" Id="rId201"/><Relationship Type="http://schemas.openxmlformats.org/officeDocument/2006/relationships/hyperlink" Target="../../../../../../../../Users/ishan/Downloads/INDIAN%20REITS/Embassy/embassy_reit_ar_2024_final.pdf" TargetMode="External" Id="rId202"/><Relationship Type="http://schemas.openxmlformats.org/officeDocument/2006/relationships/hyperlink" Target="../../../../../../../../Users/ishan/Downloads/INDIAN%20REITS/Embassy/annual_report_2025.pdf" TargetMode="External" Id="rId203"/><Relationship Type="http://schemas.openxmlformats.org/officeDocument/2006/relationships/hyperlink" Target="../../../../../../../../Users/ishan/Downloads/INDIAN%20REITS/Nexus/earnings_presentation_q4_fy26_v1.pdf" TargetMode="External" Id="rId204"/><Relationship Type="http://schemas.openxmlformats.org/officeDocument/2006/relationships/hyperlink" Target="../../../../../../../../Users/ishan/Downloads/INDIAN%20REITS/Embassy/4q-fy2019-earnings-presentation.pdf" TargetMode="External" Id="rId205"/><Relationship Type="http://schemas.openxmlformats.org/officeDocument/2006/relationships/hyperlink" Target="../../../../../../../../Users/ishan/Downloads/INDIAN%20REITS/Embassy/4q-fy2020-earnings-materials.pdf" TargetMode="External" Id="rId206"/><Relationship Type="http://schemas.openxmlformats.org/officeDocument/2006/relationships/hyperlink" Target="../../../../../../../../Users/ishan/Downloads/INDIAN%20REITS/Embassy/embassy_reit_ar_2021_web.pdf" TargetMode="External" Id="rId207"/><Relationship Type="http://schemas.openxmlformats.org/officeDocument/2006/relationships/hyperlink" Target="../../../../../../../../Users/ishan/Downloads/INDIAN%20REITS/Embassy/final_annual_report.pdf" TargetMode="External" Id="rId208"/><Relationship Type="http://schemas.openxmlformats.org/officeDocument/2006/relationships/hyperlink" Target="../../../../../../../../Users/ishan/Downloads/INDIAN%20REITS/Embassy/embassy_reit_-_annual_report_-_fy_2022-23.pdf" TargetMode="External" Id="rId209"/><Relationship Type="http://schemas.openxmlformats.org/officeDocument/2006/relationships/hyperlink" Target="../../../../../../../../Users/ishan/Downloads/INDIAN%20REITS/Embassy/embassy_reit_ar_2024_final.pdf" TargetMode="External" Id="rId210"/><Relationship Type="http://schemas.openxmlformats.org/officeDocument/2006/relationships/hyperlink" Target="../../../../../../../../Users/ishan/Downloads/INDIAN%20REITS/Embassy/annual_report_2025.pdf" TargetMode="External" Id="rId211"/><Relationship Type="http://schemas.openxmlformats.org/officeDocument/2006/relationships/hyperlink" Target="../../../../../../../../Users/ishan/Downloads/INDIAN%20REITS/Embassy/eop_reit_valuation_report_march_2026.pdf" TargetMode="External" Id="rId212"/><Relationship Type="http://schemas.openxmlformats.org/officeDocument/2006/relationships/hyperlink" Target="../../../../../../../../Users/ishan/Downloads/INDIAN%20REITS/Embassy/4q-fy2019-earnings-presentation.pdf" TargetMode="External" Id="rId213"/><Relationship Type="http://schemas.openxmlformats.org/officeDocument/2006/relationships/hyperlink" Target="../../../../../../../../Users/ishan/Downloads/INDIAN%20REITS/Embassy/4q-fy2020-earnings-materials.pdf" TargetMode="External" Id="rId214"/><Relationship Type="http://schemas.openxmlformats.org/officeDocument/2006/relationships/hyperlink" Target="../../../../../../../../Users/ishan/Downloads/INDIAN%20REITS/Embassy/embassy_reit_ar_2021_web.pdf" TargetMode="External" Id="rId215"/><Relationship Type="http://schemas.openxmlformats.org/officeDocument/2006/relationships/hyperlink" Target="../../../../../../../../Users/ishan/Downloads/INDIAN%20REITS/Embassy/final_annual_report.pdf" TargetMode="External" Id="rId216"/><Relationship Type="http://schemas.openxmlformats.org/officeDocument/2006/relationships/hyperlink" Target="../../../../../../../../Users/ishan/Downloads/INDIAN%20REITS/Embassy/embassy_reit_-_annual_report_-_fy_2022-23.pdf" TargetMode="External" Id="rId217"/><Relationship Type="http://schemas.openxmlformats.org/officeDocument/2006/relationships/hyperlink" Target="../../../../../../../../Users/ishan/Downloads/INDIAN%20REITS/Embassy/embassy_reit_ar_2024_final.pdf" TargetMode="External" Id="rId218"/><Relationship Type="http://schemas.openxmlformats.org/officeDocument/2006/relationships/hyperlink" Target="../../../../../../../../Users/ishan/Downloads/INDIAN%20REITS/Embassy/annual_report_2025.pdf" TargetMode="External" Id="rId219"/><Relationship Type="http://schemas.openxmlformats.org/officeDocument/2006/relationships/hyperlink" Target="../../../../../../../../Users/ishan/Downloads/INDIAN%20REITS/Embassy/eop_reit_valuation_report_march_2026.pdf" TargetMode="External" Id="rId220"/><Relationship Type="http://schemas.openxmlformats.org/officeDocument/2006/relationships/hyperlink" Target="../../../../../../../../Users/ishan/Downloads/INDIAN%20REITS/Embassy/4q-fy2019-earnings-presentation.pdf" TargetMode="External" Id="rId221"/><Relationship Type="http://schemas.openxmlformats.org/officeDocument/2006/relationships/hyperlink" Target="../../../../../../../../Users/ishan/Downloads/INDIAN%20REITS/Embassy/4q-fy2020-earnings-materials.pdf" TargetMode="External" Id="rId222"/><Relationship Type="http://schemas.openxmlformats.org/officeDocument/2006/relationships/hyperlink" Target="../../../../../../../../Users/ishan/Downloads/INDIAN%20REITS/Embassy/embassy_reit_ar_2021_web.pdf" TargetMode="External" Id="rId223"/><Relationship Type="http://schemas.openxmlformats.org/officeDocument/2006/relationships/hyperlink" Target="../../../../../../../../Users/ishan/Downloads/INDIAN%20REITS/Embassy/final_annual_report.pdf" TargetMode="External" Id="rId224"/><Relationship Type="http://schemas.openxmlformats.org/officeDocument/2006/relationships/hyperlink" Target="../../../../../../../../Users/ishan/Downloads/INDIAN%20REITS/Embassy/embassy_reit_-_annual_report_-_fy_2022-23.pdf" TargetMode="External" Id="rId225"/><Relationship Type="http://schemas.openxmlformats.org/officeDocument/2006/relationships/hyperlink" Target="../../../../../../../../Users/ishan/Downloads/INDIAN%20REITS/Embassy/embassy_reit_ar_2024_final.pdf" TargetMode="External" Id="rId226"/><Relationship Type="http://schemas.openxmlformats.org/officeDocument/2006/relationships/hyperlink" Target="../../../../../../../../Users/ishan/Downloads/INDIAN%20REITS/Embassy/annual_report_2025.pdf" TargetMode="External" Id="rId227"/><Relationship Type="http://schemas.openxmlformats.org/officeDocument/2006/relationships/hyperlink" Target="../../../../../../../../Users/ishan/Downloads/INDIAN%20REITS/Embassy/eop_reit_valuation_report_march_2026.pdf" TargetMode="External" Id="rId228"/><Relationship Type="http://schemas.openxmlformats.org/officeDocument/2006/relationships/hyperlink" Target="../../../../../../../../Users/ishan/Downloads/INDIAN%20REITS/Nexus/earnings_presentation_q4_fy26_v1.pdf" TargetMode="External" Id="rId229"/><Relationship Type="http://schemas.openxmlformats.org/officeDocument/2006/relationships/hyperlink" Target="../../../../../../../../Users/ishan/Downloads/INDIAN%20REITS/Embassy/4q-fy2019-earnings-presentation.pdf" TargetMode="External" Id="rId230"/><Relationship Type="http://schemas.openxmlformats.org/officeDocument/2006/relationships/hyperlink" Target="../../../../../../../../Users/ishan/Downloads/INDIAN%20REITS/Embassy/4q-fy2020-earnings-materials.pdf" TargetMode="External" Id="rId231"/><Relationship Type="http://schemas.openxmlformats.org/officeDocument/2006/relationships/hyperlink" Target="../../../../../../../../Users/ishan/Downloads/INDIAN%20REITS/Embassy/embassy_reit_ar_2021_web.pdf" TargetMode="External" Id="rId232"/><Relationship Type="http://schemas.openxmlformats.org/officeDocument/2006/relationships/hyperlink" Target="../../../../../../../../Users/ishan/Downloads/INDIAN%20REITS/Embassy/final_annual_report.pdf" TargetMode="External" Id="rId233"/><Relationship Type="http://schemas.openxmlformats.org/officeDocument/2006/relationships/hyperlink" Target="../../../../../../../../Users/ishan/Downloads/INDIAN%20REITS/Embassy/embassy_reit_-_annual_report_-_fy_2022-23.pdf" TargetMode="External" Id="rId234"/><Relationship Type="http://schemas.openxmlformats.org/officeDocument/2006/relationships/hyperlink" Target="../../../../../../../../Users/ishan/Downloads/INDIAN%20REITS/Embassy/embassy_reit_ar_2024_final.pdf" TargetMode="External" Id="rId235"/><Relationship Type="http://schemas.openxmlformats.org/officeDocument/2006/relationships/hyperlink" Target="../../../../../../../../Users/ishan/Downloads/INDIAN%20REITS/Embassy/annual_report_2025.pdf" TargetMode="External" Id="rId236"/><Relationship Type="http://schemas.openxmlformats.org/officeDocument/2006/relationships/hyperlink" Target="../../../../../../../../Users/ishan/Downloads/INDIAN%20REITS/Embassy/eop_reit_valuation_report_march_2026.pdf" TargetMode="External" Id="rId237"/><Relationship Type="http://schemas.openxmlformats.org/officeDocument/2006/relationships/hyperlink" Target="../../../../../../../../Users/ishan/Downloads/INDIAN%20REITS/Embassy/4q-fy2019-earnings-presentation.pdf" TargetMode="External" Id="rId238"/><Relationship Type="http://schemas.openxmlformats.org/officeDocument/2006/relationships/hyperlink" Target="../../../../../../../../Users/ishan/Downloads/INDIAN%20REITS/Embassy/4q-fy2020-earnings-materials.pdf" TargetMode="External" Id="rId239"/><Relationship Type="http://schemas.openxmlformats.org/officeDocument/2006/relationships/hyperlink" Target="../../../../../../../../Users/ishan/Downloads/INDIAN%20REITS/Embassy/embassy_reit_ar_2021_web.pdf" TargetMode="External" Id="rId240"/><Relationship Type="http://schemas.openxmlformats.org/officeDocument/2006/relationships/hyperlink" Target="../../../../../../../../Users/ishan/Downloads/INDIAN%20REITS/Embassy/final_annual_report.pdf" TargetMode="External" Id="rId241"/><Relationship Type="http://schemas.openxmlformats.org/officeDocument/2006/relationships/hyperlink" Target="../../../../../../../../Users/ishan/Downloads/INDIAN%20REITS/Embassy/embassy_reit_-_annual_report_-_fy_2022-23.pdf" TargetMode="External" Id="rId242"/><Relationship Type="http://schemas.openxmlformats.org/officeDocument/2006/relationships/hyperlink" Target="../../../../../../../../Users/ishan/Downloads/INDIAN%20REITS/Embassy/embassy_reit_ar_2024_final.pdf" TargetMode="External" Id="rId243"/><Relationship Type="http://schemas.openxmlformats.org/officeDocument/2006/relationships/hyperlink" Target="../../../../../../../../Users/ishan/Downloads/INDIAN%20REITS/Embassy/annual_report_2025.pdf" TargetMode="External" Id="rId244"/><Relationship Type="http://schemas.openxmlformats.org/officeDocument/2006/relationships/hyperlink" Target="../../../../../../../../Users/ishan/Downloads/INDIAN%20REITS/Embassy/embassy_half_yearly_report_2025_-_final_file.pdf" TargetMode="External" Id="rId245"/><Relationship Type="http://schemas.openxmlformats.org/officeDocument/2006/relationships/hyperlink" Target="../../../../../../../../Users/ishan/Downloads/INDIAN%20REITS/Embassy/4q-fy2019-earnings-presentation.pdf" TargetMode="External" Id="rId246"/><Relationship Type="http://schemas.openxmlformats.org/officeDocument/2006/relationships/hyperlink" Target="../../../../../../../../Users/ishan/Downloads/INDIAN%20REITS/Embassy/4q-fy2020-earnings-materials.pdf" TargetMode="External" Id="rId247"/><Relationship Type="http://schemas.openxmlformats.org/officeDocument/2006/relationships/hyperlink" Target="../../../../../../../../Users/ishan/Downloads/INDIAN%20REITS/Embassy/embassy_reit_ar_2021_web.pdf" TargetMode="External" Id="rId248"/><Relationship Type="http://schemas.openxmlformats.org/officeDocument/2006/relationships/hyperlink" Target="../../../../../../../../Users/ishan/Downloads/INDIAN%20REITS/Embassy/final_annual_report.pdf" TargetMode="External" Id="rId249"/><Relationship Type="http://schemas.openxmlformats.org/officeDocument/2006/relationships/hyperlink" Target="../../../../../../../../Users/ishan/Downloads/INDIAN%20REITS/Embassy/embassy_reit_-_annual_report_-_fy_2022-23.pdf" TargetMode="External" Id="rId250"/><Relationship Type="http://schemas.openxmlformats.org/officeDocument/2006/relationships/hyperlink" Target="../../../../../../../../Users/ishan/Downloads/INDIAN%20REITS/Embassy/embassy_reit_ar_2024_final.pdf" TargetMode="External" Id="rId251"/><Relationship Type="http://schemas.openxmlformats.org/officeDocument/2006/relationships/hyperlink" Target="../../../../../../../../Users/ishan/Downloads/INDIAN%20REITS/Embassy/annual_report_2025.pdf" TargetMode="External" Id="rId252"/><Relationship Type="http://schemas.openxmlformats.org/officeDocument/2006/relationships/hyperlink" Target="../../../../../../../../Users/ishan/Downloads/INDIAN%20REITS/Embassy/embassy_half_yearly_report_2025_-_final_file.pdf" TargetMode="External" Id="rId253"/><Relationship Type="http://schemas.openxmlformats.org/officeDocument/2006/relationships/hyperlink" Target="../../../../../../../../Users/ishan/Downloads/INDIAN%20REITS/Embassy/4q-fy2019-earnings-presentation.pdf" TargetMode="External" Id="rId254"/><Relationship Type="http://schemas.openxmlformats.org/officeDocument/2006/relationships/hyperlink" Target="../../../../../../../../Users/ishan/Downloads/INDIAN%20REITS/Embassy/4q-fy2020-earnings-materials.pdf" TargetMode="External" Id="rId255"/><Relationship Type="http://schemas.openxmlformats.org/officeDocument/2006/relationships/hyperlink" Target="../../../../../../../../Users/ishan/Downloads/INDIAN%20REITS/Embassy/embassy_reit_ar_2021_web.pdf" TargetMode="External" Id="rId256"/><Relationship Type="http://schemas.openxmlformats.org/officeDocument/2006/relationships/hyperlink" Target="../../../../../../../../Users/ishan/Downloads/INDIAN%20REITS/Embassy/final_annual_report.pdf" TargetMode="External" Id="rId257"/><Relationship Type="http://schemas.openxmlformats.org/officeDocument/2006/relationships/hyperlink" Target="../../../../../../../../Users/ishan/Downloads/INDIAN%20REITS/Embassy/embassy_reit_-_annual_report_-_fy_2022-23.pdf" TargetMode="External" Id="rId258"/><Relationship Type="http://schemas.openxmlformats.org/officeDocument/2006/relationships/hyperlink" Target="../../../../../../../../Users/ishan/Downloads/INDIAN%20REITS/Embassy/embassy_reit_ar_2024_final.pdf" TargetMode="External" Id="rId259"/><Relationship Type="http://schemas.openxmlformats.org/officeDocument/2006/relationships/hyperlink" Target="../../../../../../../../Users/ishan/Downloads/INDIAN%20REITS/Embassy/annual_report_2025.pdf" TargetMode="External" Id="rId260"/><Relationship Type="http://schemas.openxmlformats.org/officeDocument/2006/relationships/hyperlink" Target="../../../../../../../../Users/ishan/Downloads/INDIAN%20REITS/Nexus/earnings_presentation_q4_fy26_v1.pdf" TargetMode="External" Id="rId261"/><Relationship Type="http://schemas.openxmlformats.org/officeDocument/2006/relationships/hyperlink" Target="../../../../../../../../Users/ishan/Downloads/INDIAN%20REITS/Embassy/consol_results_-_march_2026.pdf" TargetMode="External" Id="rId262"/><Relationship Type="http://schemas.openxmlformats.org/officeDocument/2006/relationships/hyperlink" Target="../../../../../../../../Users/ishan/Downloads/INDIAN%20REITS/Embassy/consol_results_-_march_2026.pdf" TargetMode="External" Id="rId263"/><Relationship Type="http://schemas.openxmlformats.org/officeDocument/2006/relationships/hyperlink" Target="../../../../../../../../Users/ishan/Downloads/INDIAN%20REITS/Embassy/consol_results_-_march_2026.pdf" TargetMode="External" Id="rId264"/><Relationship Type="http://schemas.openxmlformats.org/officeDocument/2006/relationships/hyperlink" Target="../../../../../../../../Users/ishan/Downloads/INDIAN%20REITS/Embassy/consol_reit_fs_condensed_mar_24.pdf" TargetMode="External" Id="rId265"/><Relationship Type="http://schemas.openxmlformats.org/officeDocument/2006/relationships/hyperlink" Target="../../../../../../../../Users/ishan/Downloads/INDIAN%20REITS/Embassy/reit_consol_fs_and_ar_mar_2026.pdf" TargetMode="External" Id="rId266"/><Relationship Type="http://schemas.openxmlformats.org/officeDocument/2006/relationships/hyperlink" Target="../../../../../../../../Users/ishan/Downloads/INDIAN%20REITS/Embassy/reit_consol_fs_and_ar_mar_2026.pdf" TargetMode="External" Id="rId267"/><Relationship Type="http://schemas.openxmlformats.org/officeDocument/2006/relationships/hyperlink" Target="../../../../../../../../Users/ishan/Downloads/INDIAN%20REITS/Embassy/standalone_reit_fs_condensed_mar_24.pdf" TargetMode="External" Id="rId268"/><Relationship Type="http://schemas.openxmlformats.org/officeDocument/2006/relationships/hyperlink" Target="../../../../../../../../Users/ishan/Downloads/INDIAN%20REITS/Embassy/standalone_reit_fs_condensed_mar_24.pdf" TargetMode="External" Id="rId269"/><Relationship Type="http://schemas.openxmlformats.org/officeDocument/2006/relationships/hyperlink" Target="../../../../../../../../Users/ishan/Downloads/INDIAN%20REITS/Embassy/sa_results_-_march_2026.pdf" TargetMode="External" Id="rId270"/><Relationship Type="http://schemas.openxmlformats.org/officeDocument/2006/relationships/hyperlink" Target="../../../../../../../../Users/ishan/Downloads/INDIAN%20REITS/Embassy/sa_results_-_march_2026.pdf" TargetMode="External" Id="rId271"/><Relationship Type="http://schemas.openxmlformats.org/officeDocument/2006/relationships/hyperlink" Target="../../../../../../../../Users/ishan/Downloads/INDIAN%20REITS/Embassy/earnings_presentation_q4_fy24.pdf" TargetMode="External" Id="rId272"/><Relationship Type="http://schemas.openxmlformats.org/officeDocument/2006/relationships/hyperlink" Target="../../../../../../../../Users/ishan/Downloads/INDIAN%20REITS/Embassy/earnings_presentation_q4_fy25.pdf" TargetMode="External" Id="rId273"/><Relationship Type="http://schemas.openxmlformats.org/officeDocument/2006/relationships/hyperlink" Target="../../../../../../../../Users/ishan/Downloads/INDIAN%20REITS/Embassy/earnings_presentation_q4_fy24.pdf" TargetMode="External" Id="rId274"/><Relationship Type="http://schemas.openxmlformats.org/officeDocument/2006/relationships/hyperlink" Target="../../../../../../../../Users/ishan/Downloads/INDIAN%20REITS/Embassy/earnings_presentation_q4_fy25.pdf" TargetMode="External" Id="rId275"/><Relationship Type="http://schemas.openxmlformats.org/officeDocument/2006/relationships/hyperlink" Target="../../../../../../../../Users/ishan/Downloads/INDIAN%20REITS/Embassy/earnings_presentation_q4_fy24.pdf" TargetMode="External" Id="rId276"/><Relationship Type="http://schemas.openxmlformats.org/officeDocument/2006/relationships/hyperlink" Target="../../../../../../../../Users/ishan/Downloads/INDIAN%20REITS/Embassy/earnings_presentation_q4_fy25.pdf" TargetMode="External" Id="rId277"/><Relationship Type="http://schemas.openxmlformats.org/officeDocument/2006/relationships/drawing" Target="/xl/drawings/drawing1.xml" Id="rId278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hyperlink" Target="../../../../../../../../Users/ishan/Downloads/INDIAN%20REITS/MindSpace/1st-Annual-Report-2020-21-of-Mindspace-REIT.pdf" TargetMode="External" Id="rId1"/><Relationship Type="http://schemas.openxmlformats.org/officeDocument/2006/relationships/hyperlink" Target="../../../../../../../../Users/ishan/Downloads/INDIAN%20REITS/MindSpace/Mindspace-REIT-Annual-Report-FY22.pdf" TargetMode="External" Id="rId2"/><Relationship Type="http://schemas.openxmlformats.org/officeDocument/2006/relationships/hyperlink" Target="../../../../../../../../Users/ishan/Downloads/INDIAN%20REITS/MindSpace/Mindspace-Business-Parks-REIT-Annual-Report-2024-25.pdf" TargetMode="External" Id="rId3"/><Relationship Type="http://schemas.openxmlformats.org/officeDocument/2006/relationships/hyperlink" Target="../../../../../../../../Users/ishan/Downloads/INDIAN%20REITS/MindSpace/Mindspace-Business-Parks-REIT-Annual-Report-2024-25.pdf" TargetMode="External" Id="rId4"/><Relationship Type="http://schemas.openxmlformats.org/officeDocument/2006/relationships/hyperlink" Target="../../../../../../../../Users/ishan/Downloads/INDIAN%20REITS/MindSpace/MREIT-Console-Result-Q4.pdf" TargetMode="External" Id="rId5"/><Relationship Type="http://schemas.openxmlformats.org/officeDocument/2006/relationships/hyperlink" Target="../../../../../../../../Users/ishan/Downloads/INDIAN%20REITS/MindSpace/1st-Annual-Report-2020-21-of-Mindspace-REIT.pdf" TargetMode="External" Id="rId6"/><Relationship Type="http://schemas.openxmlformats.org/officeDocument/2006/relationships/hyperlink" Target="../../../../../../../../Users/ishan/Downloads/INDIAN%20REITS/MindSpace/Mindspace-REIT-Annual-Report-FY22.pdf" TargetMode="External" Id="rId7"/><Relationship Type="http://schemas.openxmlformats.org/officeDocument/2006/relationships/hyperlink" Target="../../../../../../../../Users/ishan/Downloads/INDIAN%20REITS/MindSpace/Mindspace-Business-Parks-REIT-Annual-Report-2024-25.pdf" TargetMode="External" Id="rId8"/><Relationship Type="http://schemas.openxmlformats.org/officeDocument/2006/relationships/hyperlink" Target="../../../../../../../../Users/ishan/Downloads/INDIAN%20REITS/MindSpace/Mindspace-Business-Parks-REIT-Annual-Report-2024-25.pdf" TargetMode="External" Id="rId9"/><Relationship Type="http://schemas.openxmlformats.org/officeDocument/2006/relationships/hyperlink" Target="../../../../../../../../Users/ishan/Downloads/INDIAN%20REITS/MindSpace/MREIT-Console-Result-Q4.pdf" TargetMode="External" Id="rId10"/><Relationship Type="http://schemas.openxmlformats.org/officeDocument/2006/relationships/hyperlink" Target="../../../../../../../../Users/ishan/Downloads/INDIAN%20REITS/MindSpace/1st-Annual-Report-2020-21-of-Mindspace-REIT.pdf" TargetMode="External" Id="rId11"/><Relationship Type="http://schemas.openxmlformats.org/officeDocument/2006/relationships/hyperlink" Target="../../../../../../../../Users/ishan/Downloads/INDIAN%20REITS/MindSpace/Mindspace-REIT-Annual-Report-FY22.pdf" TargetMode="External" Id="rId12"/><Relationship Type="http://schemas.openxmlformats.org/officeDocument/2006/relationships/hyperlink" Target="../../../../../../../../Users/ishan/Downloads/INDIAN%20REITS/MindSpace/Mindspace-Business-Parks-REIT-Annual-Report-2024-25.pdf" TargetMode="External" Id="rId13"/><Relationship Type="http://schemas.openxmlformats.org/officeDocument/2006/relationships/hyperlink" Target="../../../../../../../../Users/ishan/Downloads/INDIAN%20REITS/MindSpace/Mindspace-Business-Parks-REIT-Annual-Report-2024-25.pdf" TargetMode="External" Id="rId14"/><Relationship Type="http://schemas.openxmlformats.org/officeDocument/2006/relationships/hyperlink" Target="../../../../../../../../Users/ishan/Downloads/INDIAN%20REITS/MindSpace/Standalone-Financials-Q4-FY26.pdf" TargetMode="External" Id="rId15"/><Relationship Type="http://schemas.openxmlformats.org/officeDocument/2006/relationships/hyperlink" Target="../../../../../../../../Users/ishan/Downloads/INDIAN%20REITS/MindSpace/1st-Annual-Report-2020-21-of-Mindspace-REIT.pdf" TargetMode="External" Id="rId16"/><Relationship Type="http://schemas.openxmlformats.org/officeDocument/2006/relationships/hyperlink" Target="../../../../../../../../Users/ishan/Downloads/INDIAN%20REITS/MindSpace/Mindspace-REIT-Annual-Report-FY22.pdf" TargetMode="External" Id="rId17"/><Relationship Type="http://schemas.openxmlformats.org/officeDocument/2006/relationships/hyperlink" Target="../../../../../../../../Users/ishan/Downloads/INDIAN%20REITS/MindSpace/Mindspace-Business-Parks-REIT-Annual-Report-2024-25.pdf" TargetMode="External" Id="rId18"/><Relationship Type="http://schemas.openxmlformats.org/officeDocument/2006/relationships/hyperlink" Target="../../../../../../../../Users/ishan/Downloads/INDIAN%20REITS/MindSpace/Mindspace-Business-Parks-REIT-Annual-Report-2024-25.pdf" TargetMode="External" Id="rId19"/><Relationship Type="http://schemas.openxmlformats.org/officeDocument/2006/relationships/hyperlink" Target="../../../../../../../../Users/ishan/Downloads/INDIAN%20REITS/MindSpace/Investor-Presentation_Q4-FY26.pdf" TargetMode="External" Id="rId20"/><Relationship Type="http://schemas.openxmlformats.org/officeDocument/2006/relationships/hyperlink" Target="../../../../../../../../Users/ishan/Downloads/INDIAN%20REITS/MindSpace/1st-Annual-Report-2020-21-of-Mindspace-REIT.pdf" TargetMode="External" Id="rId21"/><Relationship Type="http://schemas.openxmlformats.org/officeDocument/2006/relationships/hyperlink" Target="../../../../../../../../Users/ishan/Downloads/INDIAN%20REITS/MindSpace/Mindspace-REIT-Annual-Report-FY22.pdf" TargetMode="External" Id="rId22"/><Relationship Type="http://schemas.openxmlformats.org/officeDocument/2006/relationships/hyperlink" Target="../../../../../../../../Users/ishan/Downloads/INDIAN%20REITS/MindSpace/Mindspace-Business-Parks-REIT-Annual-Report-2024-25.pdf" TargetMode="External" Id="rId23"/><Relationship Type="http://schemas.openxmlformats.org/officeDocument/2006/relationships/hyperlink" Target="../../../../../../../../Users/ishan/Downloads/INDIAN%20REITS/MindSpace/Mindspace-Business-Parks-REIT-Annual-Report-2024-25.pdf" TargetMode="External" Id="rId24"/><Relationship Type="http://schemas.openxmlformats.org/officeDocument/2006/relationships/hyperlink" Target="../../../../../../../../Users/ishan/Downloads/INDIAN%20REITS/MindSpace/MREIT-Console-Result-Q4.pdf" TargetMode="External" Id="rId25"/><Relationship Type="http://schemas.openxmlformats.org/officeDocument/2006/relationships/hyperlink" Target="../../../../../../../../Users/ishan/Downloads/INDIAN%20REITS/MindSpace/1st-Annual-Report-2020-21-of-Mindspace-REIT.pdf" TargetMode="External" Id="rId26"/><Relationship Type="http://schemas.openxmlformats.org/officeDocument/2006/relationships/hyperlink" Target="../../../../../../../../Users/ishan/Downloads/INDIAN%20REITS/MindSpace/Mindspace-REIT-Annual-Report-FY22.pdf" TargetMode="External" Id="rId27"/><Relationship Type="http://schemas.openxmlformats.org/officeDocument/2006/relationships/hyperlink" Target="../../../../../../../../Users/ishan/Downloads/INDIAN%20REITS/MindSpace/1st-Annual-Report-2020-21-of-Mindspace-REIT.pdf" TargetMode="External" Id="rId28"/><Relationship Type="http://schemas.openxmlformats.org/officeDocument/2006/relationships/hyperlink" Target="../../../../../../../../Users/ishan/Downloads/INDIAN%20REITS/MindSpace/Mindspace-REIT-Annual-Report-FY22.pdf" TargetMode="External" Id="rId29"/><Relationship Type="http://schemas.openxmlformats.org/officeDocument/2006/relationships/hyperlink" Target="../../../../../../../../Users/ishan/Downloads/INDIAN%20REITS/MindSpace/Mindspace-Business-Parks-REIT-Annual-Report-2024-25.pdf" TargetMode="External" Id="rId30"/><Relationship Type="http://schemas.openxmlformats.org/officeDocument/2006/relationships/hyperlink" Target="../../../../../../../../Users/ishan/Downloads/INDIAN%20REITS/MindSpace/Mindspace-Business-Parks-REIT-Annual-Report-2024-25.pdf" TargetMode="External" Id="rId31"/><Relationship Type="http://schemas.openxmlformats.org/officeDocument/2006/relationships/hyperlink" Target="../../../../../../../../Users/ishan/Downloads/INDIAN%20REITS/MindSpace/MREIT-Console-Result-Q4.pdf" TargetMode="External" Id="rId32"/><Relationship Type="http://schemas.openxmlformats.org/officeDocument/2006/relationships/hyperlink" Target="../../../../../../../../Users/ishan/Downloads/INDIAN%20REITS/MindSpace/1st-Annual-Report-2020-21-of-Mindspace-REIT.pdf" TargetMode="External" Id="rId33"/><Relationship Type="http://schemas.openxmlformats.org/officeDocument/2006/relationships/hyperlink" Target="../../../../../../../../Users/ishan/Downloads/INDIAN%20REITS/MindSpace/Mindspace-REIT-Annual-Report-FY22.pdf" TargetMode="External" Id="rId34"/><Relationship Type="http://schemas.openxmlformats.org/officeDocument/2006/relationships/hyperlink" Target="../../../../../../../../Users/ishan/Downloads/INDIAN%20REITS/MindSpace/Mindspace-Business-Parks-REIT-Annual-Report-2024-25.pdf" TargetMode="External" Id="rId35"/><Relationship Type="http://schemas.openxmlformats.org/officeDocument/2006/relationships/hyperlink" Target="../../../../../../../../Users/ishan/Downloads/INDIAN%20REITS/MindSpace/Mindspace-Business-Parks-REIT-Annual-Report-2024-25.pdf" TargetMode="External" Id="rId36"/><Relationship Type="http://schemas.openxmlformats.org/officeDocument/2006/relationships/hyperlink" Target="../../../../../../../../Users/ishan/Downloads/INDIAN%20REITS/MindSpace/Standalone-Financials-Q4-FY26.pdf" TargetMode="External" Id="rId37"/><Relationship Type="http://schemas.openxmlformats.org/officeDocument/2006/relationships/hyperlink" Target="../../../../../../../../Users/ishan/Downloads/INDIAN%20REITS/MindSpace/1st-Annual-Report-2020-21-of-Mindspace-REIT.pdf" TargetMode="External" Id="rId38"/><Relationship Type="http://schemas.openxmlformats.org/officeDocument/2006/relationships/hyperlink" Target="../../../../../../../../Users/ishan/Downloads/INDIAN%20REITS/MindSpace/Mindspace-REIT-Annual-Report-FY22.pdf" TargetMode="External" Id="rId39"/><Relationship Type="http://schemas.openxmlformats.org/officeDocument/2006/relationships/hyperlink" Target="../../../../../../../../Users/ishan/Downloads/INDIAN%20REITS/MindSpace/Mindspace-Business-Parks-REIT-Annual-Report-2024-25.pdf" TargetMode="External" Id="rId40"/><Relationship Type="http://schemas.openxmlformats.org/officeDocument/2006/relationships/hyperlink" Target="../../../../../../../../Users/ishan/Downloads/INDIAN%20REITS/MindSpace/Mindspace-Business-Parks-REIT-Annual-Report-2024-25.pdf" TargetMode="External" Id="rId41"/><Relationship Type="http://schemas.openxmlformats.org/officeDocument/2006/relationships/hyperlink" Target="../../../../../../../../Users/ishan/Downloads/INDIAN%20REITS/MindSpace/MREIT-Console-Result-Q4.pdf" TargetMode="External" Id="rId42"/><Relationship Type="http://schemas.openxmlformats.org/officeDocument/2006/relationships/hyperlink" Target="../../../../../../../../Users/ishan/Downloads/INDIAN%20REITS/MindSpace/1st-Annual-Report-2020-21-of-Mindspace-REIT.pdf" TargetMode="External" Id="rId43"/><Relationship Type="http://schemas.openxmlformats.org/officeDocument/2006/relationships/hyperlink" Target="../../../../../../../../Users/ishan/Downloads/INDIAN%20REITS/MindSpace/Mindspace-REIT-Annual-Report-FY22.pdf" TargetMode="External" Id="rId44"/><Relationship Type="http://schemas.openxmlformats.org/officeDocument/2006/relationships/hyperlink" Target="../../../../../../../../Users/ishan/Downloads/INDIAN%20REITS/MindSpace/1st-Annual-Report-2020-21-of-Mindspace-REIT.pdf" TargetMode="External" Id="rId45"/><Relationship Type="http://schemas.openxmlformats.org/officeDocument/2006/relationships/hyperlink" Target="../../../../../../../../Users/ishan/Downloads/INDIAN%20REITS/MindSpace/Mindspace-REIT-Annual-Report-FY22.pdf" TargetMode="External" Id="rId46"/><Relationship Type="http://schemas.openxmlformats.org/officeDocument/2006/relationships/hyperlink" Target="../../../../../../../../Users/ishan/Downloads/INDIAN%20REITS/MindSpace/Mindspace-Business-Parks-REIT-Annual-Report-2024-25.pdf" TargetMode="External" Id="rId47"/><Relationship Type="http://schemas.openxmlformats.org/officeDocument/2006/relationships/hyperlink" Target="../../../../../../../../Users/ishan/Downloads/INDIAN%20REITS/MindSpace/Mindspace-Business-Parks-REIT-Annual-Report-2024-25.pdf" TargetMode="External" Id="rId48"/><Relationship Type="http://schemas.openxmlformats.org/officeDocument/2006/relationships/hyperlink" Target="../../../../../../../../Users/ishan/Downloads/INDIAN%20REITS/MindSpace/MREIT-Console-Result-Q4.pdf" TargetMode="External" Id="rId49"/><Relationship Type="http://schemas.openxmlformats.org/officeDocument/2006/relationships/hyperlink" Target="../../../../../../../../Users/ishan/Downloads/INDIAN%20REITS/MindSpace/1st-Annual-Report-2020-21-of-Mindspace-REIT.pdf" TargetMode="External" Id="rId50"/><Relationship Type="http://schemas.openxmlformats.org/officeDocument/2006/relationships/hyperlink" Target="../../../../../../../../Users/ishan/Downloads/INDIAN%20REITS/MindSpace/Mindspace-REIT-Annual-Report-FY22.pdf" TargetMode="External" Id="rId51"/><Relationship Type="http://schemas.openxmlformats.org/officeDocument/2006/relationships/hyperlink" Target="../../../../../../../../Users/ishan/Downloads/INDIAN%20REITS/MindSpace/Mindspace-Business-Parks-REIT-Annual-Report-2024-25.pdf" TargetMode="External" Id="rId52"/><Relationship Type="http://schemas.openxmlformats.org/officeDocument/2006/relationships/hyperlink" Target="../../../../../../../../Users/ishan/Downloads/INDIAN%20REITS/MindSpace/Mindspace-Business-Parks-REIT-Annual-Report-2024-25.pdf" TargetMode="External" Id="rId53"/><Relationship Type="http://schemas.openxmlformats.org/officeDocument/2006/relationships/hyperlink" Target="../../../../../../../../Users/ishan/Downloads/INDIAN%20REITS/MindSpace/Standalone-Financials-Q4-FY26.pdf" TargetMode="External" Id="rId54"/><Relationship Type="http://schemas.openxmlformats.org/officeDocument/2006/relationships/hyperlink" Target="../../../../../../../../Users/ishan/Downloads/INDIAN%20REITS/MindSpace/1st-Annual-Report-2020-21-of-Mindspace-REIT.pdf" TargetMode="External" Id="rId55"/><Relationship Type="http://schemas.openxmlformats.org/officeDocument/2006/relationships/hyperlink" Target="../../../../../../../../Users/ishan/Downloads/INDIAN%20REITS/MindSpace/Mindspace-REIT-Annual-Report-FY22.pdf" TargetMode="External" Id="rId56"/><Relationship Type="http://schemas.openxmlformats.org/officeDocument/2006/relationships/hyperlink" Target="../../../../../../../../Users/ishan/Downloads/INDIAN%20REITS/MindSpace/Mindspace-Business-Parks-REIT-Annual-Report-2024-25.pdf" TargetMode="External" Id="rId57"/><Relationship Type="http://schemas.openxmlformats.org/officeDocument/2006/relationships/hyperlink" Target="../../../../../../../../Users/ishan/Downloads/INDIAN%20REITS/MindSpace/Mindspace-Business-Parks-REIT-Annual-Report-2024-25.pdf" TargetMode="External" Id="rId58"/><Relationship Type="http://schemas.openxmlformats.org/officeDocument/2006/relationships/hyperlink" Target="../../../../../../../../Users/ishan/Downloads/INDIAN%20REITS/MindSpace/MREIT-Console-Result-Q4.pdf" TargetMode="External" Id="rId59"/><Relationship Type="http://schemas.openxmlformats.org/officeDocument/2006/relationships/hyperlink" Target="../../../../../../../../Users/ishan/Downloads/INDIAN%20REITS/MindSpace/1st-Annual-Report-2020-21-of-Mindspace-REIT.pdf" TargetMode="External" Id="rId60"/><Relationship Type="http://schemas.openxmlformats.org/officeDocument/2006/relationships/hyperlink" Target="../../../../../../../../Users/ishan/Downloads/INDIAN%20REITS/MindSpace/Mindspace-REIT-Annual-Report-FY22.pdf" TargetMode="External" Id="rId61"/><Relationship Type="http://schemas.openxmlformats.org/officeDocument/2006/relationships/hyperlink" Target="../../../../../../../../Users/ishan/Downloads/INDIAN%20REITS/MindSpace/Mindspace-Business-Parks-REIT-Annual-Report-2024-25.pdf" TargetMode="External" Id="rId62"/><Relationship Type="http://schemas.openxmlformats.org/officeDocument/2006/relationships/hyperlink" Target="../../../../../../../../Users/ishan/Downloads/INDIAN%20REITS/MindSpace/Mindspace-Business-Parks-REIT-Annual-Report-2024-25.pdf" TargetMode="External" Id="rId63"/><Relationship Type="http://schemas.openxmlformats.org/officeDocument/2006/relationships/hyperlink" Target="../../../../../../../../Users/ishan/Downloads/INDIAN%20REITS/MindSpace/Standalone-Financials-Q4-FY26.pdf" TargetMode="External" Id="rId64"/><Relationship Type="http://schemas.openxmlformats.org/officeDocument/2006/relationships/hyperlink" Target="../../../../../../../../Users/ishan/Downloads/INDIAN%20REITS/MindSpace/1st-Annual-Report-2020-21-of-Mindspace-REIT.pdf" TargetMode="External" Id="rId65"/><Relationship Type="http://schemas.openxmlformats.org/officeDocument/2006/relationships/hyperlink" Target="../../../../../../../../Users/ishan/Downloads/INDIAN%20REITS/MindSpace/Mindspace-REIT-Annual-Report-FY22.pdf" TargetMode="External" Id="rId66"/><Relationship Type="http://schemas.openxmlformats.org/officeDocument/2006/relationships/hyperlink" Target="../../../../../../../../Users/ishan/Downloads/INDIAN%20REITS/MindSpace/Mindspace-Business-Parks-REIT-Annual-Report-2023-24.pdf" TargetMode="External" Id="rId67"/><Relationship Type="http://schemas.openxmlformats.org/officeDocument/2006/relationships/hyperlink" Target="../../../../../../../../Users/ishan/Downloads/INDIAN%20REITS/MindSpace/Mindspace-Business-Parks-REIT-Annual-Report-2024-25.pdf" TargetMode="External" Id="rId68"/><Relationship Type="http://schemas.openxmlformats.org/officeDocument/2006/relationships/hyperlink" Target="../../../../../../../../Users/ishan/Downloads/INDIAN%20REITS/MindSpace/MREIT-Console-Result-Q4.pdf" TargetMode="External" Id="rId69"/><Relationship Type="http://schemas.openxmlformats.org/officeDocument/2006/relationships/hyperlink" Target="../../../../../../../../Users/ishan/Downloads/INDIAN%20REITS/MindSpace/Investor-Presentation_Q4-FY21-FY21-1.pdf" TargetMode="External" Id="rId70"/><Relationship Type="http://schemas.openxmlformats.org/officeDocument/2006/relationships/hyperlink" Target="../../../../../../../../Users/ishan/Downloads/INDIAN%20REITS/MindSpace/Investor-Presentation_Q4-FY2022-final-1305.pdf" TargetMode="External" Id="rId71"/><Relationship Type="http://schemas.openxmlformats.org/officeDocument/2006/relationships/hyperlink" Target="../../../../../../../../Users/ishan/Downloads/INDIAN%20REITS/MindSpace/Mindspace-HYR-2025-26-1.pdf" TargetMode="External" Id="rId72"/><Relationship Type="http://schemas.openxmlformats.org/officeDocument/2006/relationships/hyperlink" Target="../../../../../../../../Users/ishan/Downloads/INDIAN%20REITS/MindSpace/Mindspace-Business-Parks-REIT-Annual-Report-2024-25.pdf" TargetMode="External" Id="rId73"/><Relationship Type="http://schemas.openxmlformats.org/officeDocument/2006/relationships/hyperlink" Target="../../../../../../../../Users/ishan/Downloads/INDIAN%20REITS/MindSpace/MREIT-Console-Result-Q4.pdf" TargetMode="External" Id="rId74"/><Relationship Type="http://schemas.openxmlformats.org/officeDocument/2006/relationships/hyperlink" Target="../../../../../../../../Users/ishan/Downloads/INDIAN%20REITS/MindSpace/1st-Annual-Report-2020-21-of-Mindspace-REIT.pdf" TargetMode="External" Id="rId75"/><Relationship Type="http://schemas.openxmlformats.org/officeDocument/2006/relationships/hyperlink" Target="../../../../../../../../Users/ishan/Downloads/INDIAN%20REITS/MindSpace/Mindspace-REIT-Annual-Report-FY22.pdf" TargetMode="External" Id="rId76"/><Relationship Type="http://schemas.openxmlformats.org/officeDocument/2006/relationships/hyperlink" Target="../../../../../../../../Users/ishan/Downloads/INDIAN%20REITS/MindSpace/Mindspace-Business-Parks-REIT-Annual-Report-2023-24.pdf" TargetMode="External" Id="rId77"/><Relationship Type="http://schemas.openxmlformats.org/officeDocument/2006/relationships/hyperlink" Target="../../../../../../../../Users/ishan/Downloads/INDIAN%20REITS/MindSpace/Mindspace-Business-Parks-REIT-Annual-Report-2024-25.pdf" TargetMode="External" Id="rId78"/><Relationship Type="http://schemas.openxmlformats.org/officeDocument/2006/relationships/hyperlink" Target="../../../../../../../../Users/ishan/Downloads/INDIAN%20REITS/MindSpace/MREIT-Console-Result-Q4.pdf" TargetMode="External" Id="rId79"/><Relationship Type="http://schemas.openxmlformats.org/officeDocument/2006/relationships/hyperlink" Target="../../../../../../../../Users/ishan/Downloads/INDIAN%20REITS/MindSpace/1st-Annual-Report-2020-21-of-Mindspace-REIT.pdf" TargetMode="External" Id="rId80"/><Relationship Type="http://schemas.openxmlformats.org/officeDocument/2006/relationships/hyperlink" Target="../../../../../../../../Users/ishan/Downloads/INDIAN%20REITS/MindSpace/Mindspace-REIT-Annual-Report-FY22.pdf" TargetMode="External" Id="rId81"/><Relationship Type="http://schemas.openxmlformats.org/officeDocument/2006/relationships/hyperlink" Target="../../../../../../../../Users/ishan/Downloads/INDIAN%20REITS/MindSpace/Mindspace-Business-Parks-REIT-Annual-Report-2023-24.pdf" TargetMode="External" Id="rId82"/><Relationship Type="http://schemas.openxmlformats.org/officeDocument/2006/relationships/hyperlink" Target="../../../../../../../../Users/ishan/Downloads/INDIAN%20REITS/MindSpace/Mindspace-Business-Parks-REIT-Annual-Report-2024-25.pdf" TargetMode="External" Id="rId83"/><Relationship Type="http://schemas.openxmlformats.org/officeDocument/2006/relationships/hyperlink" Target="../../../../../../../../Users/ishan/Downloads/INDIAN%20REITS/MindSpace/MREIT-Console-Result-Q4.pdf" TargetMode="External" Id="rId84"/><Relationship Type="http://schemas.openxmlformats.org/officeDocument/2006/relationships/hyperlink" Target="../../../../../../../../Users/ishan/Downloads/INDIAN%20REITS/MindSpace/1st-Annual-Report-2020-21-of-Mindspace-REIT.pdf" TargetMode="External" Id="rId85"/><Relationship Type="http://schemas.openxmlformats.org/officeDocument/2006/relationships/hyperlink" Target="../../../../../../../../Users/ishan/Downloads/INDIAN%20REITS/MindSpace/Mindspace-REIT-Annual-Report-FY22.pdf" TargetMode="External" Id="rId86"/><Relationship Type="http://schemas.openxmlformats.org/officeDocument/2006/relationships/hyperlink" Target="../../../../../../../../Users/ishan/Downloads/INDIAN%20REITS/MindSpace/Mindspace-Business-Parks-REIT-Annual-Report-2024-25.pdf" TargetMode="External" Id="rId87"/><Relationship Type="http://schemas.openxmlformats.org/officeDocument/2006/relationships/hyperlink" Target="../../../../../../../../Users/ishan/Downloads/INDIAN%20REITS/MindSpace/Mindspace-Business-Parks-REIT-Annual-Report-2024-25.pdf" TargetMode="External" Id="rId88"/><Relationship Type="http://schemas.openxmlformats.org/officeDocument/2006/relationships/hyperlink" Target="../../../../../../../../Users/ishan/Downloads/INDIAN%20REITS/MindSpace/MREIT-Console-Result-Q4.pdf" TargetMode="External" Id="rId89"/><Relationship Type="http://schemas.openxmlformats.org/officeDocument/2006/relationships/hyperlink" Target="../../../../../../../../Users/ishan/Downloads/INDIAN%20REITS/MindSpace/1st-Annual-Report-2020-21-of-Mindspace-REIT.pdf" TargetMode="External" Id="rId90"/><Relationship Type="http://schemas.openxmlformats.org/officeDocument/2006/relationships/hyperlink" Target="../../../../../../../../Users/ishan/Downloads/INDIAN%20REITS/MindSpace/Mindspace-REIT-Annual-Report-FY22.pdf" TargetMode="External" Id="rId91"/><Relationship Type="http://schemas.openxmlformats.org/officeDocument/2006/relationships/hyperlink" Target="../../../../../../../../Users/ishan/Downloads/INDIAN%20REITS/MindSpace/Mindspace-Business-Parks-REIT-Annual-Report-2024-25.pdf" TargetMode="External" Id="rId92"/><Relationship Type="http://schemas.openxmlformats.org/officeDocument/2006/relationships/hyperlink" Target="../../../../../../../../Users/ishan/Downloads/INDIAN%20REITS/MindSpace/Mindspace-Business-Parks-REIT-Annual-Report-2024-25.pdf" TargetMode="External" Id="rId93"/><Relationship Type="http://schemas.openxmlformats.org/officeDocument/2006/relationships/hyperlink" Target="../../../../../../../../Users/ishan/Downloads/INDIAN%20REITS/MindSpace/Standalone-Financials-Q4-FY26.pdf" TargetMode="External" Id="rId94"/><Relationship Type="http://schemas.openxmlformats.org/officeDocument/2006/relationships/hyperlink" Target="../../../../../../../../Users/ishan/Downloads/INDIAN%20REITS/MindSpace/1st-Annual-Report-2020-21-of-Mindspace-REIT.pdf" TargetMode="External" Id="rId95"/><Relationship Type="http://schemas.openxmlformats.org/officeDocument/2006/relationships/hyperlink" Target="../../../../../../../../Users/ishan/Downloads/INDIAN%20REITS/MindSpace/Mindspace-REIT-Annual-Report-FY22.pdf" TargetMode="External" Id="rId96"/><Relationship Type="http://schemas.openxmlformats.org/officeDocument/2006/relationships/hyperlink" Target="../../../../../../../../Users/ishan/Downloads/INDIAN%20REITS/MindSpace/Mindspace-Business-Parks-REIT-Annual-Report-2024-25.pdf" TargetMode="External" Id="rId97"/><Relationship Type="http://schemas.openxmlformats.org/officeDocument/2006/relationships/hyperlink" Target="../../../../../../../../Users/ishan/Downloads/INDIAN%20REITS/MindSpace/Mindspace-Business-Parks-REIT-Annual-Report-2024-25.pdf" TargetMode="External" Id="rId98"/><Relationship Type="http://schemas.openxmlformats.org/officeDocument/2006/relationships/hyperlink" Target="../../../../../../../../Users/ishan/Downloads/INDIAN%20REITS/MindSpace/MREIT-Console-Result-Q4.pdf" TargetMode="External" Id="rId99"/><Relationship Type="http://schemas.openxmlformats.org/officeDocument/2006/relationships/hyperlink" Target="../../../../../../../../Users/ishan/Downloads/INDIAN%20REITS/MindSpace/1st-Annual-Report-2020-21-of-Mindspace-REIT.pdf" TargetMode="External" Id="rId100"/><Relationship Type="http://schemas.openxmlformats.org/officeDocument/2006/relationships/hyperlink" Target="../../../../../../../../Users/ishan/Downloads/INDIAN%20REITS/MindSpace/Mindspace-REIT-Annual-Report-FY22.pdf" TargetMode="External" Id="rId101"/><Relationship Type="http://schemas.openxmlformats.org/officeDocument/2006/relationships/hyperlink" Target="../../../../../../../../Users/ishan/Downloads/INDIAN%20REITS/MindSpace/Mindspace-Business-Parks-REIT-Annual-Report-2024-25.pdf" TargetMode="External" Id="rId102"/><Relationship Type="http://schemas.openxmlformats.org/officeDocument/2006/relationships/hyperlink" Target="../../../../../../../../Users/ishan/Downloads/INDIAN%20REITS/MindSpace/Mindspace-Business-Parks-REIT-Annual-Report-2024-25.pdf" TargetMode="External" Id="rId103"/><Relationship Type="http://schemas.openxmlformats.org/officeDocument/2006/relationships/hyperlink" Target="../../../../../../../../Users/ishan/Downloads/INDIAN%20REITS/MindSpace/Standalone-Financials-Q4-FY26.pdf" TargetMode="External" Id="rId104"/><Relationship Type="http://schemas.openxmlformats.org/officeDocument/2006/relationships/hyperlink" Target="../../../../../../../../Users/ishan/Downloads/INDIAN%20REITS/MindSpace/1st-Annual-Report-2020-21-of-Mindspace-REIT.pdf" TargetMode="External" Id="rId105"/><Relationship Type="http://schemas.openxmlformats.org/officeDocument/2006/relationships/hyperlink" Target="../../../../../../../../Users/ishan/Downloads/INDIAN%20REITS/MindSpace/Mindspace-REIT-Annual-Report-FY22.pdf" TargetMode="External" Id="rId106"/><Relationship Type="http://schemas.openxmlformats.org/officeDocument/2006/relationships/hyperlink" Target="../../../../../../../../Users/ishan/Downloads/INDIAN%20REITS/MindSpace/Mindspace-Business-Parks-REIT-Annual-Report-2024-25.pdf" TargetMode="External" Id="rId107"/><Relationship Type="http://schemas.openxmlformats.org/officeDocument/2006/relationships/hyperlink" Target="../../../../../../../../Users/ishan/Downloads/INDIAN%20REITS/MindSpace/Mindspace-Business-Parks-REIT-Annual-Report-2024-25.pdf" TargetMode="External" Id="rId108"/><Relationship Type="http://schemas.openxmlformats.org/officeDocument/2006/relationships/hyperlink" Target="../../../../../../../../Users/ishan/Downloads/INDIAN%20REITS/MindSpace/MREIT-Console-Result-Q4.pdf" TargetMode="External" Id="rId109"/><Relationship Type="http://schemas.openxmlformats.org/officeDocument/2006/relationships/hyperlink" Target="../../../../../../../../Users/ishan/Downloads/INDIAN%20REITS/MindSpace/1st-Annual-Report-2020-21-of-Mindspace-REIT.pdf" TargetMode="External" Id="rId110"/><Relationship Type="http://schemas.openxmlformats.org/officeDocument/2006/relationships/hyperlink" Target="../../../../../../../../Users/ishan/Downloads/INDIAN%20REITS/MindSpace/Mindspace-REIT-Annual-Report-FY22.pdf" TargetMode="External" Id="rId111"/><Relationship Type="http://schemas.openxmlformats.org/officeDocument/2006/relationships/hyperlink" Target="../../../../../../../../Users/ishan/Downloads/INDIAN%20REITS/MindSpace/Mindspace-Business-Parks-REIT-Annual-Report-2024-25.pdf" TargetMode="External" Id="rId112"/><Relationship Type="http://schemas.openxmlformats.org/officeDocument/2006/relationships/hyperlink" Target="../../../../../../../../Users/ishan/Downloads/INDIAN%20REITS/MindSpace/Mindspace-Business-Parks-REIT-Annual-Report-2024-25.pdf" TargetMode="External" Id="rId113"/><Relationship Type="http://schemas.openxmlformats.org/officeDocument/2006/relationships/hyperlink" Target="../../../../../../../../Users/ishan/Downloads/INDIAN%20REITS/MindSpace/Standalone-Financials-Q4-FY26.pdf" TargetMode="External" Id="rId114"/><Relationship Type="http://schemas.openxmlformats.org/officeDocument/2006/relationships/hyperlink" Target="../../../../../../../../Users/ishan/Downloads/INDIAN%20REITS/MindSpace/1st-Annual-Report-2020-21-of-Mindspace-REIT.pdf" TargetMode="External" Id="rId115"/><Relationship Type="http://schemas.openxmlformats.org/officeDocument/2006/relationships/hyperlink" Target="../../../../../../../../Users/ishan/Downloads/INDIAN%20REITS/MindSpace/Mindspace-REIT-Annual-Report-FY22.pdf" TargetMode="External" Id="rId116"/><Relationship Type="http://schemas.openxmlformats.org/officeDocument/2006/relationships/hyperlink" Target="../../../../../../../../Users/ishan/Downloads/INDIAN%20REITS/MindSpace/Mindspace-Business-Parks-REIT-Annual-Report-2024-25.pdf" TargetMode="External" Id="rId117"/><Relationship Type="http://schemas.openxmlformats.org/officeDocument/2006/relationships/hyperlink" Target="../../../../../../../../Users/ishan/Downloads/INDIAN%20REITS/MindSpace/Mindspace-Business-Parks-REIT-Annual-Report-2024-25.pdf" TargetMode="External" Id="rId118"/><Relationship Type="http://schemas.openxmlformats.org/officeDocument/2006/relationships/hyperlink" Target="../../../../../../../../Users/ishan/Downloads/INDIAN%20REITS/MindSpace/MREIT-Console-Result-Q4.pdf" TargetMode="External" Id="rId119"/><Relationship Type="http://schemas.openxmlformats.org/officeDocument/2006/relationships/hyperlink" Target="../../../../../../../../Users/ishan/Downloads/INDIAN%20REITS/MindSpace/1st-Annual-Report-2020-21-of-Mindspace-REIT.pdf" TargetMode="External" Id="rId120"/><Relationship Type="http://schemas.openxmlformats.org/officeDocument/2006/relationships/hyperlink" Target="../../../../../../../../Users/ishan/Downloads/INDIAN%20REITS/MindSpace/Mindspace-REIT-Annual-Report-FY22.pdf" TargetMode="External" Id="rId121"/><Relationship Type="http://schemas.openxmlformats.org/officeDocument/2006/relationships/hyperlink" Target="../../../../../../../../Users/ishan/Downloads/INDIAN%20REITS/MindSpace/Mindspace-Business-Parks-REIT-Annual-Report-2023-24.pdf" TargetMode="External" Id="rId122"/><Relationship Type="http://schemas.openxmlformats.org/officeDocument/2006/relationships/hyperlink" Target="../../../../../../../../Users/ishan/Downloads/INDIAN%20REITS/MindSpace/MREIT-Console-Result-Q4.pdf" TargetMode="External" Id="rId123"/><Relationship Type="http://schemas.openxmlformats.org/officeDocument/2006/relationships/hyperlink" Target="../../../../../../../../Users/ishan/Downloads/INDIAN%20REITS/MindSpace/MREIT-Console-Result-Q4.pdf" TargetMode="External" Id="rId124"/><Relationship Type="http://schemas.openxmlformats.org/officeDocument/2006/relationships/hyperlink" Target="../../../../../../../../Users/ishan/Downloads/INDIAN%20REITS/REIT_Tableau_Ready_1.xlsx" TargetMode="External" Id="rId125"/><Relationship Type="http://schemas.openxmlformats.org/officeDocument/2006/relationships/hyperlink" Target="../../../../../../../../Users/ishan/Downloads/INDIAN%20REITS/REIT_Tableau_Ready_1.xlsx" TargetMode="External" Id="rId126"/><Relationship Type="http://schemas.openxmlformats.org/officeDocument/2006/relationships/hyperlink" Target="../../../../../../../../Users/ishan/Downloads/INDIAN%20REITS/REIT_Tableau_Ready_1.xlsx" TargetMode="External" Id="rId127"/><Relationship Type="http://schemas.openxmlformats.org/officeDocument/2006/relationships/hyperlink" Target="../../../../../../../../Users/ishan/Downloads/INDIAN%20REITS/REIT_Tableau_Ready_1.xlsx" TargetMode="External" Id="rId128"/><Relationship Type="http://schemas.openxmlformats.org/officeDocument/2006/relationships/hyperlink" Target="../../../../../../../../Users/ishan/Downloads/INDIAN%20REITS/REIT_Tableau_Ready_1.xlsx" TargetMode="External" Id="rId129"/><Relationship Type="http://schemas.openxmlformats.org/officeDocument/2006/relationships/hyperlink" Target="../../../../../../../../Users/ishan/Downloads/INDIAN%20REITS/MindSpace/1st-Annual-Report-2020-21-of-Mindspace-REIT.pdf" TargetMode="External" Id="rId130"/><Relationship Type="http://schemas.openxmlformats.org/officeDocument/2006/relationships/hyperlink" Target="../../../../../../../../Users/ishan/Downloads/INDIAN%20REITS/MindSpace/Mindspace-REIT-Annual-Report-FY22.pdf" TargetMode="External" Id="rId131"/><Relationship Type="http://schemas.openxmlformats.org/officeDocument/2006/relationships/hyperlink" Target="../../../../../../../../Users/ishan/Downloads/INDIAN%20REITS/MindSpace/Mindspace-Business-Parks-REIT-Annual-Report-2023-24.pdf" TargetMode="External" Id="rId132"/><Relationship Type="http://schemas.openxmlformats.org/officeDocument/2006/relationships/hyperlink" Target="../../../../../../../../Users/ishan/Downloads/INDIAN%20REITS/MindSpace/Mindspace-Business-Parks-REIT-Annual-Report-2024-25.pdf" TargetMode="External" Id="rId133"/><Relationship Type="http://schemas.openxmlformats.org/officeDocument/2006/relationships/hyperlink" Target="../../../../../../../../Users/ishan/Downloads/INDIAN%20REITS/MindSpace/Investor-Presentation_Q4-FY26.pdf" TargetMode="External" Id="rId134"/><Relationship Type="http://schemas.openxmlformats.org/officeDocument/2006/relationships/hyperlink" Target="../../../../../../../../Users/ishan/Downloads/INDIAN%20REITS/MindSpace/Investor-Presentation_Q4-FY21-FY21-1.pdf" TargetMode="External" Id="rId135"/><Relationship Type="http://schemas.openxmlformats.org/officeDocument/2006/relationships/hyperlink" Target="../../../../../../../../Users/ishan/Downloads/INDIAN%20REITS/MindSpace/Investor-Presentation_Q4-FY2022-final-1305.pdf" TargetMode="External" Id="rId136"/><Relationship Type="http://schemas.openxmlformats.org/officeDocument/2006/relationships/hyperlink" Target="../../../../../../../../Users/ishan/Downloads/INDIAN%20REITS/MindSpace/Mindspace-Business-Parks-REIT-Annual-Report-2023-24.pdf" TargetMode="External" Id="rId137"/><Relationship Type="http://schemas.openxmlformats.org/officeDocument/2006/relationships/hyperlink" Target="../../../../../../../../Users/ishan/Downloads/INDIAN%20REITS/MindSpace/Mindspace-Business-Parks-REIT-Annual-Report-2024-25.pdf" TargetMode="External" Id="rId138"/><Relationship Type="http://schemas.openxmlformats.org/officeDocument/2006/relationships/hyperlink" Target="../../../../../../../../Users/ishan/Downloads/INDIAN%20REITS/MindSpace/Mindspace-HYR-2025-26-1.pdf" TargetMode="External" Id="rId139"/><Relationship Type="http://schemas.openxmlformats.org/officeDocument/2006/relationships/hyperlink" Target="../../../../../../../../Users/ishan/Downloads/INDIAN%20REITS/MindSpace/1st-Annual-Report-2020-21-of-Mindspace-REIT.pdf" TargetMode="External" Id="rId140"/><Relationship Type="http://schemas.openxmlformats.org/officeDocument/2006/relationships/hyperlink" Target="../../../../../../../../Users/ishan/Downloads/INDIAN%20REITS/MindSpace/Investor-Presentation_Q4-FY2022-final-1305.pdf" TargetMode="External" Id="rId141"/><Relationship Type="http://schemas.openxmlformats.org/officeDocument/2006/relationships/hyperlink" Target="../../../../../../../../Users/ishan/Downloads/INDIAN%20REITS/MindSpace/Mindspace-Business-Parks-REIT-Annual-Report-2023-24.pdf" TargetMode="External" Id="rId142"/><Relationship Type="http://schemas.openxmlformats.org/officeDocument/2006/relationships/hyperlink" Target="../../../../../../../../Users/ishan/Downloads/INDIAN%20REITS/MindSpace/Mindspace-Business-Parks-REIT-Annual-Report-2024-25.pdf" TargetMode="External" Id="rId143"/><Relationship Type="http://schemas.openxmlformats.org/officeDocument/2006/relationships/hyperlink" Target="../../../../../../../../Users/ishan/Downloads/INDIAN%20REITS/MindSpace/Mindspace-HYR-2025-26-1.pdf" TargetMode="External" Id="rId144"/><Relationship Type="http://schemas.openxmlformats.org/officeDocument/2006/relationships/hyperlink" Target="../../../../../../../../Users/ishan/Downloads/INDIAN%20REITS/MindSpace/Investor-Presentation_Q4-FY21-FY21-1.pdf" TargetMode="External" Id="rId145"/><Relationship Type="http://schemas.openxmlformats.org/officeDocument/2006/relationships/hyperlink" Target="../../../../../../../../Users/ishan/Downloads/INDIAN%20REITS/MindSpace/Investor-Presentation_Q4-FY2022-final-1305.pdf" TargetMode="External" Id="rId146"/><Relationship Type="http://schemas.openxmlformats.org/officeDocument/2006/relationships/hyperlink" Target="../../../../../../../../Users/ishan/Downloads/INDIAN%20REITS/MindSpace/Mindspace-Business-Parks-REIT-Annual-Report-2023-24.pdf" TargetMode="External" Id="rId147"/><Relationship Type="http://schemas.openxmlformats.org/officeDocument/2006/relationships/hyperlink" Target="../../../../../../../../Users/ishan/Downloads/INDIAN%20REITS/MindSpace/Mindspace-Business-Parks-REIT-Annual-Report-2024-25.pdf" TargetMode="External" Id="rId148"/><Relationship Type="http://schemas.openxmlformats.org/officeDocument/2006/relationships/hyperlink" Target="../../../../../../../../Users/ishan/Downloads/INDIAN%20REITS/MindSpace/Mindspace-HYR-2025-26-1.pdf" TargetMode="External" Id="rId149"/><Relationship Type="http://schemas.openxmlformats.org/officeDocument/2006/relationships/hyperlink" Target="../../../../../../../../Users/ishan/Downloads/INDIAN%20REITS/MindSpace/Investor-Presentation_Q4-FY21-FY21-1.pdf" TargetMode="External" Id="rId150"/><Relationship Type="http://schemas.openxmlformats.org/officeDocument/2006/relationships/hyperlink" Target="../../../../../../../../Users/ishan/Downloads/INDIAN%20REITS/MindSpace/Investor-Presentation_Q4-FY2022-final-1305.pdf" TargetMode="External" Id="rId151"/><Relationship Type="http://schemas.openxmlformats.org/officeDocument/2006/relationships/hyperlink" Target="../../../../../../../../Users/ishan/Downloads/INDIAN%20REITS/MindSpace/Mindspace-Business-Parks-REIT-Annual-Report-2024-25.pdf" TargetMode="External" Id="rId152"/><Relationship Type="http://schemas.openxmlformats.org/officeDocument/2006/relationships/hyperlink" Target="../../../../../../../../Users/ishan/Downloads/INDIAN%20REITS/MindSpace/Mindspace-Business-Parks-REIT-Annual-Report-2024-25.pdf" TargetMode="External" Id="rId153"/><Relationship Type="http://schemas.openxmlformats.org/officeDocument/2006/relationships/hyperlink" Target="../../../../../../../../Users/ishan/Downloads/INDIAN%20REITS/MindSpace/Investor-Presentation_Q4-FY26.pdf" TargetMode="External" Id="rId154"/><Relationship Type="http://schemas.openxmlformats.org/officeDocument/2006/relationships/hyperlink" Target="../../../../../../../../Users/ishan/Downloads/INDIAN%20REITS/MindSpace/Mindspace-Business-Parks-REIT-Annual-Report-2023-24.pdf" TargetMode="External" Id="rId155"/><Relationship Type="http://schemas.openxmlformats.org/officeDocument/2006/relationships/hyperlink" Target="../../../../../../../../Users/ishan/Downloads/INDIAN%20REITS/MindSpace/Investor-Presentation_Q4FY2025.pdf" TargetMode="External" Id="rId156"/><Relationship Type="http://schemas.openxmlformats.org/officeDocument/2006/relationships/hyperlink" Target="../../../../../../../../Users/ishan/Downloads/INDIAN%20REITS/MindSpace/Investor-Presentation_Q4-FY26.pdf" TargetMode="External" Id="rId157"/><Relationship Type="http://schemas.openxmlformats.org/officeDocument/2006/relationships/hyperlink" Target="../../../../../../../../Users/ishan/Downloads/INDIAN%20REITS/MindSpace/Investor-Presentation_Q4-FY21-FY21-1.pdf" TargetMode="External" Id="rId158"/><Relationship Type="http://schemas.openxmlformats.org/officeDocument/2006/relationships/hyperlink" Target="../../../../../../../../Users/ishan/Downloads/INDIAN%20REITS/MindSpace/Investor-Presentation_Q4-FY2022-final-1305.pdf" TargetMode="External" Id="rId159"/><Relationship Type="http://schemas.openxmlformats.org/officeDocument/2006/relationships/hyperlink" Target="../../../../../../../../Users/ishan/Downloads/INDIAN%20REITS/MindSpace/Mindspace-Business-Parks-REIT-Annual-Report-2023-24.pdf" TargetMode="External" Id="rId160"/><Relationship Type="http://schemas.openxmlformats.org/officeDocument/2006/relationships/hyperlink" Target="../../../../../../../../Users/ishan/Downloads/INDIAN%20REITS/MindSpace/Mindspace-Business-Parks-REIT-Annual-Report-2024-25.pdf" TargetMode="External" Id="rId161"/><Relationship Type="http://schemas.openxmlformats.org/officeDocument/2006/relationships/hyperlink" Target="../../../../../../../../Users/ishan/Downloads/INDIAN%20REITS/MindSpace/Investor-Presentation_Q4-FY26.pdf" TargetMode="External" Id="rId162"/><Relationship Type="http://schemas.openxmlformats.org/officeDocument/2006/relationships/hyperlink" Target="../../../../../../../../Users/ishan/Downloads/INDIAN%20REITS/MindSpace/1st-Annual-Report-2020-21-of-Mindspace-REIT.pdf" TargetMode="External" Id="rId163"/><Relationship Type="http://schemas.openxmlformats.org/officeDocument/2006/relationships/hyperlink" Target="../../../../../../../../Users/ishan/Downloads/INDIAN%20REITS/MindSpace/Investor-Presentation_Q4-FY2022-final-1305.pdf" TargetMode="External" Id="rId164"/><Relationship Type="http://schemas.openxmlformats.org/officeDocument/2006/relationships/hyperlink" Target="../../../../../../../../Users/ishan/Downloads/INDIAN%20REITS/MindSpace/Mindspace-Business-Parks-REIT-Annual-Report-2023-24.pdf" TargetMode="External" Id="rId165"/><Relationship Type="http://schemas.openxmlformats.org/officeDocument/2006/relationships/hyperlink" Target="../../../../../../../../Users/ishan/Downloads/INDIAN%20REITS/MindSpace/Mindspace-Business-Parks-REIT-Annual-Report-2024-25.pdf" TargetMode="External" Id="rId166"/><Relationship Type="http://schemas.openxmlformats.org/officeDocument/2006/relationships/hyperlink" Target="../../../../../../../../Users/ishan/Downloads/INDIAN%20REITS/MindSpace/Mindspace-HYR-2025-26-1.pdf" TargetMode="External" Id="rId167"/><Relationship Type="http://schemas.openxmlformats.org/officeDocument/2006/relationships/hyperlink" Target="../../../../../../../../Users/ishan/Downloads/INDIAN%20REITS/MindSpace/Investor-Presentation_Q4-FY21-FY21-1.pdf" TargetMode="External" Id="rId168"/><Relationship Type="http://schemas.openxmlformats.org/officeDocument/2006/relationships/hyperlink" Target="../../../../../../../../Users/ishan/Downloads/INDIAN%20REITS/MindSpace/Investor-Presentation_Q4-FY2022-final-1305.pdf" TargetMode="External" Id="rId169"/><Relationship Type="http://schemas.openxmlformats.org/officeDocument/2006/relationships/hyperlink" Target="../../../../../../../../Users/ishan/Downloads/INDIAN%20REITS/MindSpace/Mindspace-Business-Parks-REIT-Annual-Report-2023-24.pdf" TargetMode="External" Id="rId170"/><Relationship Type="http://schemas.openxmlformats.org/officeDocument/2006/relationships/hyperlink" Target="../../../../../../../../Users/ishan/Downloads/INDIAN%20REITS/MindSpace/Mindspace-Business-Parks-REIT-Annual-Report-2024-25.pdf" TargetMode="External" Id="rId171"/><Relationship Type="http://schemas.openxmlformats.org/officeDocument/2006/relationships/hyperlink" Target="../../../../../../../../Users/ishan/Downloads/INDIAN%20REITS/MindSpace/Investor-Presentation_Q4-FY26.pdf" TargetMode="External" Id="rId172"/><Relationship Type="http://schemas.openxmlformats.org/officeDocument/2006/relationships/hyperlink" Target="../../../../../../../../Users/ishan/Downloads/INDIAN%20REITS/MindSpace/Investor-Presentation_Q4-FY2024.pdf" TargetMode="External" Id="rId173"/><Relationship Type="http://schemas.openxmlformats.org/officeDocument/2006/relationships/hyperlink" Target="../../../../../../../../Users/ishan/Downloads/INDIAN%20REITS/MindSpace/Investor-Presentation_Q4-FY2024.pdf" TargetMode="External" Id="rId174"/><Relationship Type="http://schemas.openxmlformats.org/officeDocument/2006/relationships/hyperlink" Target="../../../../../../../../Users/ishan/Downloads/INDIAN%20REITS/MindSpace/Investor-Presentation_Q4-FY2024.pdf" TargetMode="External" Id="rId175"/><Relationship Type="http://schemas.openxmlformats.org/officeDocument/2006/relationships/hyperlink" Target="../../../../../../../../Users/ishan/Downloads/INDIAN%20REITS/MindSpace/Investor-Presentation_Q4-FY2024.pdf" TargetMode="External" Id="rId176"/><Relationship Type="http://schemas.openxmlformats.org/officeDocument/2006/relationships/hyperlink" Target="../../../../../../../../Users/ishan/Downloads/INDIAN%20REITS/MindSpace/Investor-Presentation_Q4FY2025.pdf" TargetMode="External" Id="rId177"/><Relationship Type="http://schemas.openxmlformats.org/officeDocument/2006/relationships/hyperlink" Target="../../../../../../../../Users/ishan/Downloads/INDIAN%20REITS/MindSpace/Investor-Presentation_Q4-FY26.pdf" TargetMode="External" Id="rId178"/><Relationship Type="http://schemas.openxmlformats.org/officeDocument/2006/relationships/hyperlink" Target="../../../../../../../../Users/ishan/Downloads/INDIAN%20REITS/MindSpace/Investor-Presentation_Q4FY2025.pdf" TargetMode="External" Id="rId179"/><Relationship Type="http://schemas.openxmlformats.org/officeDocument/2006/relationships/hyperlink" Target="../../../../../../../../Users/ishan/Downloads/INDIAN%20REITS/MindSpace/Investor-Presentation_Q4-FY26.pdf" TargetMode="External" Id="rId180"/><Relationship Type="http://schemas.openxmlformats.org/officeDocument/2006/relationships/hyperlink" Target="../../../../../../../../Users/ishan/Downloads/INDIAN%20REITS/MindSpace/Investor-Presentation_Q4FY2025.pdf" TargetMode="External" Id="rId181"/><Relationship Type="http://schemas.openxmlformats.org/officeDocument/2006/relationships/hyperlink" Target="../../../../../../../../Users/ishan/Downloads/INDIAN%20REITS/MindSpace/Investor-Presentation_Q4-FY26.pdf" TargetMode="External" Id="rId182"/><Relationship Type="http://schemas.openxmlformats.org/officeDocument/2006/relationships/hyperlink" Target="../../../../../../../../Users/ishan/Downloads/INDIAN%20REITS/MindSpace/Investor-Presentation_Q4FY2025.pdf" TargetMode="External" Id="rId183"/><Relationship Type="http://schemas.openxmlformats.org/officeDocument/2006/relationships/hyperlink" Target="../../../../../../../../Users/ishan/Downloads/INDIAN%20REITS/MindSpace/Investor-Presentation_Q4-FY26.pdf" TargetMode="External" Id="rId184"/><Relationship Type="http://schemas.openxmlformats.org/officeDocument/2006/relationships/hyperlink" Target="../../../../../../../../Users/ishan/Downloads/INDIAN%20REITS/MindSpace/Investor-Presentation_Q4-FY2024.pdf" TargetMode="External" Id="rId185"/><Relationship Type="http://schemas.openxmlformats.org/officeDocument/2006/relationships/hyperlink" Target="../../../../../../../../Users/ishan/Downloads/INDIAN%20REITS/MindSpace/Investor-Presentation_Q4FY2025.pdf" TargetMode="External" Id="rId186"/><Relationship Type="http://schemas.openxmlformats.org/officeDocument/2006/relationships/hyperlink" Target="../../../../../../../../Users/ishan/Downloads/INDIAN%20REITS/MindSpace/Investor-Presentation_Q4-FY26.pdf" TargetMode="External" Id="rId187"/><Relationship Type="http://schemas.openxmlformats.org/officeDocument/2006/relationships/hyperlink" Target="../../../../../../../../Users/ishan/Downloads/INDIAN%20REITS/MindSpace/Standalone-Financials-Q4-FY26.pdf" TargetMode="External" Id="rId188"/><Relationship Type="http://schemas.openxmlformats.org/officeDocument/2006/relationships/hyperlink" Target="../../../../../../../../Users/ishan/Downloads/INDIAN%20REITS/MindSpace/Standalone-Financials-Q4-FY26.pdf" TargetMode="External" Id="rId189"/><Relationship Type="http://schemas.openxmlformats.org/officeDocument/2006/relationships/hyperlink" Target="../../../../../../../../Users/ishan/Downloads/INDIAN%20REITS/MindSpace/Investor-Presentation_Q4-FY2024.pdf" TargetMode="External" Id="rId190"/><Relationship Type="http://schemas.openxmlformats.org/officeDocument/2006/relationships/hyperlink" Target="../../../../../../../../Users/ishan/Downloads/INDIAN%20REITS/MindSpace/Investor-Presentation_Q4FY2025.pdf" TargetMode="External" Id="rId191"/><Relationship Type="http://schemas.openxmlformats.org/officeDocument/2006/relationships/hyperlink" Target="../../../../../../../../Users/ishan/Downloads/INDIAN%20REITS/MindSpace/Investor-Presentation_Q4-FY26.pdf" TargetMode="External" Id="rId192"/><Relationship Type="http://schemas.openxmlformats.org/officeDocument/2006/relationships/hyperlink" Target="../../../../../../../../Users/ishan/Downloads/INDIAN%20REITS/MindSpace/Investor-Presentation_Q4-FY2024.pdf" TargetMode="External" Id="rId193"/><Relationship Type="http://schemas.openxmlformats.org/officeDocument/2006/relationships/hyperlink" Target="../../../../../../../../Users/ishan/Downloads/INDIAN%20REITS/MindSpace/Investor-Presentation_Q4FY2025.pdf" TargetMode="External" Id="rId194"/><Relationship Type="http://schemas.openxmlformats.org/officeDocument/2006/relationships/hyperlink" Target="../../../../../../../../Users/ishan/Downloads/INDIAN%20REITS/MindSpace/Investor-Presentation_Q4-FY26.pdf" TargetMode="External" Id="rId195"/><Relationship Type="http://schemas.openxmlformats.org/officeDocument/2006/relationships/hyperlink" Target="../../../../../../../../Users/ishan/Downloads/INDIAN%20REITS/MindSpace/Investor-Presentation_Q4-FY2024.pdf" TargetMode="External" Id="rId196"/><Relationship Type="http://schemas.openxmlformats.org/officeDocument/2006/relationships/hyperlink" Target="../../../../../../../../Users/ishan/Downloads/INDIAN%20REITS/MindSpace/Investor-Presentation_Q4FY2025.pdf" TargetMode="External" Id="rId197"/><Relationship Type="http://schemas.openxmlformats.org/officeDocument/2006/relationships/hyperlink" Target="../../../../../../../../Users/ishan/Downloads/INDIAN%20REITS/MindSpace/Investor-Presentation_Q4-FY26.pdf" TargetMode="External" Id="rId198"/><Relationship Type="http://schemas.openxmlformats.org/officeDocument/2006/relationships/drawing" Target="/xl/drawings/drawing2.xml" Id="rId199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hyperlink" Target="../../../../../../../../Users/ishan/Downloads/INDIAN%20REITS/Brookfield/Consolidated_Financials_Q4_FY_2022_e5844487b4.pdf" TargetMode="External" Id="rId1"/><Relationship Type="http://schemas.openxmlformats.org/officeDocument/2006/relationships/hyperlink" Target="../../../../../../../../Users/ishan/Downloads/INDIAN%20REITS/Brookfield/Consolidated_Financials_Q4_FY_2023_fceec1d25b.pdf" TargetMode="External" Id="rId2"/><Relationship Type="http://schemas.openxmlformats.org/officeDocument/2006/relationships/hyperlink" Target="../../../../../../../../Users/ishan/Downloads/INDIAN%20REITS/Brookfield/Consolidated_Financials_Q4_FY_2023_fceec1d25b.pdf" TargetMode="External" Id="rId3"/><Relationship Type="http://schemas.openxmlformats.org/officeDocument/2006/relationships/hyperlink" Target="../../../../../../../../Users/ishan/Downloads/INDIAN%20REITS/Brookfield/Consolidated_Financials_Q4_FY_2025_compressed_9c5306468f.pdf" TargetMode="External" Id="rId4"/><Relationship Type="http://schemas.openxmlformats.org/officeDocument/2006/relationships/hyperlink" Target="../../../../../../../../Users/ishan/Downloads/INDIAN%20REITS/Brookfield/Consolidated_Financial_Results_Q4_2026_065e5df741.pdf" TargetMode="External" Id="rId5"/><Relationship Type="http://schemas.openxmlformats.org/officeDocument/2006/relationships/hyperlink" Target="../../../../../../../../Users/ishan/Downloads/INDIAN%20REITS/Brookfield/Consolidated_Financial_Results_Q4_2026_065e5df741.pdf" TargetMode="External" Id="rId6"/><Relationship Type="http://schemas.openxmlformats.org/officeDocument/2006/relationships/hyperlink" Target="../../../../../../../../Users/ishan/Downloads/INDIAN%20REITS/Brookfield/Consolidated_Financials_Q4_FY_2022_e5844487b4.pdf" TargetMode="External" Id="rId7"/><Relationship Type="http://schemas.openxmlformats.org/officeDocument/2006/relationships/hyperlink" Target="../../../../../../../../Users/ishan/Downloads/INDIAN%20REITS/Brookfield/Consolidated_Financials_Q4_FY_2023_fceec1d25b.pdf" TargetMode="External" Id="rId8"/><Relationship Type="http://schemas.openxmlformats.org/officeDocument/2006/relationships/hyperlink" Target="../../../../../../../../Users/ishan/Downloads/INDIAN%20REITS/Brookfield/Consolidated_Financials_Q4_FY_2023_fceec1d25b.pdf" TargetMode="External" Id="rId9"/><Relationship Type="http://schemas.openxmlformats.org/officeDocument/2006/relationships/hyperlink" Target="../../../../../../../../Users/ishan/Downloads/INDIAN%20REITS/Brookfield/Consolidated_Financials_Q4_FY_2025_compressed_9c5306468f.pdf" TargetMode="External" Id="rId10"/><Relationship Type="http://schemas.openxmlformats.org/officeDocument/2006/relationships/hyperlink" Target="../../../../../../../../Users/ishan/Downloads/INDIAN%20REITS/Brookfield/Consolidated_Financial_Results_Q4_2026_065e5df741.pdf" TargetMode="External" Id="rId11"/><Relationship Type="http://schemas.openxmlformats.org/officeDocument/2006/relationships/hyperlink" Target="../../../../../../../../Users/ishan/Downloads/INDIAN%20REITS/Brookfield/Consolidated_Financial_Results_Q4_2026_065e5df741.pdf" TargetMode="External" Id="rId12"/><Relationship Type="http://schemas.openxmlformats.org/officeDocument/2006/relationships/hyperlink" Target="../../../../../../../../Users/ishan/Downloads/INDIAN%20REITS/Brookfield/Standalone_Financials_Q4_FY_2022_7e3fb593b5.pdf" TargetMode="External" Id="rId13"/><Relationship Type="http://schemas.openxmlformats.org/officeDocument/2006/relationships/hyperlink" Target="../../../../../../../../Users/ishan/Downloads/INDIAN%20REITS/Brookfield/Standalone_Financials_Q4_FY_2023_9aedac0735.pdf" TargetMode="External" Id="rId14"/><Relationship Type="http://schemas.openxmlformats.org/officeDocument/2006/relationships/hyperlink" Target="../../../../../../../../Users/ishan/Downloads/INDIAN%20REITS/Brookfield/Standalone_Financials_Q4_FY_2023_9aedac0735.pdf" TargetMode="External" Id="rId15"/><Relationship Type="http://schemas.openxmlformats.org/officeDocument/2006/relationships/hyperlink" Target="../../../../../../../../Users/ishan/Downloads/INDIAN%20REITS/Brookfield/Standalone_Financials_Q4_FY_2025_2b04742815.pdf" TargetMode="External" Id="rId16"/><Relationship Type="http://schemas.openxmlformats.org/officeDocument/2006/relationships/hyperlink" Target="../../../../../../../../Users/ishan/Downloads/INDIAN%20REITS/Brookfield/Standalone_Financial_Results_Q4_2026_56f6d86d3a.pdf" TargetMode="External" Id="rId17"/><Relationship Type="http://schemas.openxmlformats.org/officeDocument/2006/relationships/hyperlink" Target="../../../../../../../../Users/ishan/Downloads/INDIAN%20REITS/Brookfield/Standalone_Financial_Results_Q4_2026_56f6d86d3a.pdf" TargetMode="External" Id="rId18"/><Relationship Type="http://schemas.openxmlformats.org/officeDocument/2006/relationships/hyperlink" Target="../../../../../../../../Users/ishan/Downloads/INDIAN%20REITS/Brookfield/Earning_Presentation_Q4_FY_2022_ae3f3543f8.pdf" TargetMode="External" Id="rId19"/><Relationship Type="http://schemas.openxmlformats.org/officeDocument/2006/relationships/hyperlink" Target="../../../../../../../../Users/ishan/Downloads/INDIAN%20REITS/Brookfield/Earning_Presentation_Q4_FY_2022_ae3f3543f8.pdf" TargetMode="External" Id="rId20"/><Relationship Type="http://schemas.openxmlformats.org/officeDocument/2006/relationships/hyperlink" Target="../../../../../../../../Users/ishan/Downloads/INDIAN%20REITS/Brookfield/Earnings_Presentation_Q4_FY_2023_15c9463f7e.pdf" TargetMode="External" Id="rId21"/><Relationship Type="http://schemas.openxmlformats.org/officeDocument/2006/relationships/hyperlink" Target="../../../../../../../../Users/ishan/Downloads/INDIAN%20REITS/Brookfield/Earning_Presentation_Q42024_63c5a9d394.pdf" TargetMode="External" Id="rId22"/><Relationship Type="http://schemas.openxmlformats.org/officeDocument/2006/relationships/hyperlink" Target="../../../../../../../../Users/ishan/Downloads/INDIAN%20REITS/Brookfield/Consolidated_Financial_Results_Q4_2026_065e5df741.pdf" TargetMode="External" Id="rId23"/><Relationship Type="http://schemas.openxmlformats.org/officeDocument/2006/relationships/hyperlink" Target="../../../../../../../../Users/ishan/Downloads/INDIAN%20REITS/Brookfield/Consolidated_Financial_Results_Q4_2026_065e5df741.pdf" TargetMode="External" Id="rId24"/><Relationship Type="http://schemas.openxmlformats.org/officeDocument/2006/relationships/hyperlink" Target="../../../../../../../../Users/ishan/Downloads/INDIAN%20REITS/Brookfield/Consolidated_Financials_Q4_FY_2023_fceec1d25b.pdf" TargetMode="External" Id="rId25"/><Relationship Type="http://schemas.openxmlformats.org/officeDocument/2006/relationships/hyperlink" Target="../../../../../../../../Users/ishan/Downloads/INDIAN%20REITS/Brookfield/Consolidated_Financials_Q4_FY_2023_fceec1d25b.pdf" TargetMode="External" Id="rId26"/><Relationship Type="http://schemas.openxmlformats.org/officeDocument/2006/relationships/hyperlink" Target="../../../../../../../../Users/ishan/Downloads/INDIAN%20REITS/Brookfield/Earning_Presentation_Q42024_63c5a9d394.pdf" TargetMode="External" Id="rId27"/><Relationship Type="http://schemas.openxmlformats.org/officeDocument/2006/relationships/hyperlink" Target="../../../../../../../../Users/ishan/Downloads/INDIAN%20REITS/Brookfield/Earning_Presentation_Q4_FY_2025_363e49a9d9.pdf" TargetMode="External" Id="rId28"/><Relationship Type="http://schemas.openxmlformats.org/officeDocument/2006/relationships/hyperlink" Target="../../../../../../../../Users/ishan/Downloads/INDIAN%20REITS/Brookfield/BIRET_Q4_FY_2026_Investor_Presentation_d39ed0af9f.pdf" TargetMode="External" Id="rId29"/><Relationship Type="http://schemas.openxmlformats.org/officeDocument/2006/relationships/hyperlink" Target="../../../../../../../../Users/ishan/Downloads/INDIAN%20REITS/Brookfield/Consolidated_Financials_Q4_FY_2022_e5844487b4.pdf" TargetMode="External" Id="rId30"/><Relationship Type="http://schemas.openxmlformats.org/officeDocument/2006/relationships/hyperlink" Target="../../../../../../../../Users/ishan/Downloads/INDIAN%20REITS/Brookfield/Consolidated_Financials_Q4_FY_2023_fceec1d25b.pdf" TargetMode="External" Id="rId31"/><Relationship Type="http://schemas.openxmlformats.org/officeDocument/2006/relationships/hyperlink" Target="../../../../../../../../Users/ishan/Downloads/INDIAN%20REITS/Brookfield/Consolidated_Financials_Q4_FY_2023_fceec1d25b.pdf" TargetMode="External" Id="rId32"/><Relationship Type="http://schemas.openxmlformats.org/officeDocument/2006/relationships/hyperlink" Target="../../../../../../../../Users/ishan/Downloads/INDIAN%20REITS/Brookfield/Consolidated_Financials_Q4_FY_2025_compressed_9c5306468f.pdf" TargetMode="External" Id="rId33"/><Relationship Type="http://schemas.openxmlformats.org/officeDocument/2006/relationships/hyperlink" Target="../../../../../../../../Users/ishan/Downloads/INDIAN%20REITS/Brookfield/Consolidated_Financial_Results_Q4_2026_065e5df741.pdf" TargetMode="External" Id="rId34"/><Relationship Type="http://schemas.openxmlformats.org/officeDocument/2006/relationships/hyperlink" Target="../../../../../../../../Users/ishan/Downloads/INDIAN%20REITS/Brookfield/Consolidated_Financial_Results_Q4_2026_065e5df741.pdf" TargetMode="External" Id="rId35"/><Relationship Type="http://schemas.openxmlformats.org/officeDocument/2006/relationships/hyperlink" Target="../../../../../../../../Users/ishan/Downloads/INDIAN%20REITS/Brookfield/Standalone_Financials_Q4_FY_2025_2b04742815.pdf" TargetMode="External" Id="rId36"/><Relationship Type="http://schemas.openxmlformats.org/officeDocument/2006/relationships/hyperlink" Target="../../../../../../../../Users/ishan/Downloads/INDIAN%20REITS/Brookfield/Standalone_Financial_Results_Q4_2026_56f6d86d3a.pdf" TargetMode="External" Id="rId37"/><Relationship Type="http://schemas.openxmlformats.org/officeDocument/2006/relationships/hyperlink" Target="../../../../../../../../Users/ishan/Downloads/INDIAN%20REITS/Brookfield/Standalone_Financial_Results_Q4_2026_56f6d86d3a.pdf" TargetMode="External" Id="rId38"/><Relationship Type="http://schemas.openxmlformats.org/officeDocument/2006/relationships/hyperlink" Target="../../../../../../../../Users/ishan/Downloads/INDIAN%20REITS/Brookfield/Consolidated_Financials_Q4_FY_2022_e5844487b4.pdf" TargetMode="External" Id="rId39"/><Relationship Type="http://schemas.openxmlformats.org/officeDocument/2006/relationships/hyperlink" Target="../../../../../../../../Users/ishan/Downloads/INDIAN%20REITS/Brookfield/Consolidated_Financials_Q4_FY_2023_fceec1d25b.pdf" TargetMode="External" Id="rId40"/><Relationship Type="http://schemas.openxmlformats.org/officeDocument/2006/relationships/hyperlink" Target="../../../../../../../../Users/ishan/Downloads/INDIAN%20REITS/Brookfield/Consolidated_Financials_Q4_FY_2023_fceec1d25b.pdf" TargetMode="External" Id="rId41"/><Relationship Type="http://schemas.openxmlformats.org/officeDocument/2006/relationships/hyperlink" Target="../../../../../../../../Users/ishan/Downloads/INDIAN%20REITS/Brookfield/Consolidated_Financials_Q4_FY_2025_compressed_9c5306468f.pdf" TargetMode="External" Id="rId42"/><Relationship Type="http://schemas.openxmlformats.org/officeDocument/2006/relationships/hyperlink" Target="../../../../../../../../Users/ishan/Downloads/INDIAN%20REITS/Brookfield/Consolidated_Financial_Results_Q4_2026_065e5df741.pdf" TargetMode="External" Id="rId43"/><Relationship Type="http://schemas.openxmlformats.org/officeDocument/2006/relationships/hyperlink" Target="../../../../../../../../Users/ishan/Downloads/INDIAN%20REITS/Brookfield/Consolidated_Financial_Results_Q4_2026_065e5df741.pdf" TargetMode="External" Id="rId44"/><Relationship Type="http://schemas.openxmlformats.org/officeDocument/2006/relationships/hyperlink" Target="../../../../../../../../Users/ishan/Downloads/INDIAN%20REITS/Brookfield/Consolidated_Financials_Q4_FY_2022_e5844487b4.pdf" TargetMode="External" Id="rId45"/><Relationship Type="http://schemas.openxmlformats.org/officeDocument/2006/relationships/hyperlink" Target="../../../../../../../../Users/ishan/Downloads/INDIAN%20REITS/Brookfield/Consolidated_Financials_Q4_FY_2023_fceec1d25b.pdf" TargetMode="External" Id="rId46"/><Relationship Type="http://schemas.openxmlformats.org/officeDocument/2006/relationships/hyperlink" Target="../../../../../../../../Users/ishan/Downloads/INDIAN%20REITS/Brookfield/Consolidated_Financials_Q4_FY_2023_fceec1d25b.pdf" TargetMode="External" Id="rId47"/><Relationship Type="http://schemas.openxmlformats.org/officeDocument/2006/relationships/hyperlink" Target="../../../../../../../../Users/ishan/Downloads/INDIAN%20REITS/Brookfield/Consolidated_Financials_Q4_FY_2025_compressed_9c5306468f.pdf" TargetMode="External" Id="rId48"/><Relationship Type="http://schemas.openxmlformats.org/officeDocument/2006/relationships/hyperlink" Target="../../../../../../../../Users/ishan/Downloads/INDIAN%20REITS/Brookfield/Consolidated_Financial_Results_Q4_2026_065e5df741.pdf" TargetMode="External" Id="rId49"/><Relationship Type="http://schemas.openxmlformats.org/officeDocument/2006/relationships/hyperlink" Target="../../../../../../../../Users/ishan/Downloads/INDIAN%20REITS/Brookfield/Consolidated_Financial_Results_Q4_2026_065e5df741.pdf" TargetMode="External" Id="rId50"/><Relationship Type="http://schemas.openxmlformats.org/officeDocument/2006/relationships/hyperlink" Target="../../../../../../../../Users/ishan/Downloads/INDIAN%20REITS/Brookfield/Standalone_Financials_Q4_FY_2022_7e3fb593b5.pdf" TargetMode="External" Id="rId51"/><Relationship Type="http://schemas.openxmlformats.org/officeDocument/2006/relationships/hyperlink" Target="../../../../../../../../Users/ishan/Downloads/INDIAN%20REITS/Brookfield/Standalone_Financials_Q4_FY_2023_9aedac0735.pdf" TargetMode="External" Id="rId52"/><Relationship Type="http://schemas.openxmlformats.org/officeDocument/2006/relationships/hyperlink" Target="../../../../../../../../Users/ishan/Downloads/INDIAN%20REITS/Brookfield/Standalone_Financials_Q4_FY_2023_9aedac0735.pdf" TargetMode="External" Id="rId53"/><Relationship Type="http://schemas.openxmlformats.org/officeDocument/2006/relationships/hyperlink" Target="../../../../../../../../Users/ishan/Downloads/INDIAN%20REITS/Brookfield/Standalone_Financials_Q4_FY_2025_2b04742815.pdf" TargetMode="External" Id="rId54"/><Relationship Type="http://schemas.openxmlformats.org/officeDocument/2006/relationships/hyperlink" Target="../../../../../../../../Users/ishan/Downloads/INDIAN%20REITS/Brookfield/Standalone_Financial_Results_Q4_2026_56f6d86d3a.pdf" TargetMode="External" Id="rId55"/><Relationship Type="http://schemas.openxmlformats.org/officeDocument/2006/relationships/hyperlink" Target="../../../../../../../../Users/ishan/Downloads/INDIAN%20REITS/Brookfield/Standalone_Financial_Results_Q4_2026_56f6d86d3a.pdf" TargetMode="External" Id="rId56"/><Relationship Type="http://schemas.openxmlformats.org/officeDocument/2006/relationships/hyperlink" Target="../../../../../../../../Users/ishan/Downloads/INDIAN%20REITS/Brookfield/Consolidated_Financials_Q4_FY_2022_e5844487b4.pdf" TargetMode="External" Id="rId57"/><Relationship Type="http://schemas.openxmlformats.org/officeDocument/2006/relationships/hyperlink" Target="../../../../../../../../Users/ishan/Downloads/INDIAN%20REITS/Brookfield/Consolidated_Financials_Q4_FY_2023_fceec1d25b.pdf" TargetMode="External" Id="rId58"/><Relationship Type="http://schemas.openxmlformats.org/officeDocument/2006/relationships/hyperlink" Target="../../../../../../../../Users/ishan/Downloads/INDIAN%20REITS/Brookfield/Consolidated_Financials_Q4_FY_2023_fceec1d25b.pdf" TargetMode="External" Id="rId59"/><Relationship Type="http://schemas.openxmlformats.org/officeDocument/2006/relationships/hyperlink" Target="../../../../../../../../Users/ishan/Downloads/INDIAN%20REITS/Brookfield/Consolidated_Financials_Q4_FY_2025_compressed_9c5306468f.pdf" TargetMode="External" Id="rId60"/><Relationship Type="http://schemas.openxmlformats.org/officeDocument/2006/relationships/hyperlink" Target="../../../../../../../../Users/ishan/Downloads/INDIAN%20REITS/Brookfield/Consolidated_Financial_Results_Q4_2026_065e5df741.pdf" TargetMode="External" Id="rId61"/><Relationship Type="http://schemas.openxmlformats.org/officeDocument/2006/relationships/hyperlink" Target="../../../../../../../../Users/ishan/Downloads/INDIAN%20REITS/Brookfield/Consolidated_Financial_Results_Q4_2026_065e5df741.pdf" TargetMode="External" Id="rId62"/><Relationship Type="http://schemas.openxmlformats.org/officeDocument/2006/relationships/hyperlink" Target="../../../../../../../../Users/ishan/Downloads/INDIAN%20REITS/Brookfield/Standalone_Financials_Q4_FY_2022_7e3fb593b5.pdf" TargetMode="External" Id="rId63"/><Relationship Type="http://schemas.openxmlformats.org/officeDocument/2006/relationships/hyperlink" Target="../../../../../../../../Users/ishan/Downloads/INDIAN%20REITS/Brookfield/Standalone_Financials_Q4_FY_2023_9aedac0735.pdf" TargetMode="External" Id="rId64"/><Relationship Type="http://schemas.openxmlformats.org/officeDocument/2006/relationships/hyperlink" Target="../../../../../../../../Users/ishan/Downloads/INDIAN%20REITS/Brookfield/Standalone_Financials_Q4_FY_2023_9aedac0735.pdf" TargetMode="External" Id="rId65"/><Relationship Type="http://schemas.openxmlformats.org/officeDocument/2006/relationships/hyperlink" Target="../../../../../../../../Users/ishan/Downloads/INDIAN%20REITS/Brookfield/Standalone_Financials_Q4_FY_2025_2b04742815.pdf" TargetMode="External" Id="rId66"/><Relationship Type="http://schemas.openxmlformats.org/officeDocument/2006/relationships/hyperlink" Target="../../../../../../../../Users/ishan/Downloads/INDIAN%20REITS/Brookfield/Standalone_Financial_Results_Q4_2026_56f6d86d3a.pdf" TargetMode="External" Id="rId67"/><Relationship Type="http://schemas.openxmlformats.org/officeDocument/2006/relationships/hyperlink" Target="../../../../../../../../Users/ishan/Downloads/INDIAN%20REITS/Brookfield/Standalone_Financial_Results_Q4_2026_56f6d86d3a.pdf" TargetMode="External" Id="rId68"/><Relationship Type="http://schemas.openxmlformats.org/officeDocument/2006/relationships/hyperlink" Target="../../../../../../../../Users/ishan/Downloads/INDIAN%20REITS/Brookfield/Standalone_Financials_Q4_FY_2023_9aedac0735.pdf" TargetMode="External" Id="rId69"/><Relationship Type="http://schemas.openxmlformats.org/officeDocument/2006/relationships/hyperlink" Target="../../../../../../../../Users/ishan/Downloads/INDIAN%20REITS/Brookfield/Standalone_Financials_Q4_FY_2023_9aedac0735.pdf" TargetMode="External" Id="rId70"/><Relationship Type="http://schemas.openxmlformats.org/officeDocument/2006/relationships/hyperlink" Target="../../../../../../../../Users/ishan/Downloads/INDIAN%20REITS/Brookfield/Consolidated_Financials_Q4_FY_2025_compressed_9c5306468f.pdf" TargetMode="External" Id="rId71"/><Relationship Type="http://schemas.openxmlformats.org/officeDocument/2006/relationships/hyperlink" Target="../../../../../../../../Users/ishan/Downloads/INDIAN%20REITS/Brookfield/Consolidated_Financial_Results_Q4_2026_065e5df741.pdf" TargetMode="External" Id="rId72"/><Relationship Type="http://schemas.openxmlformats.org/officeDocument/2006/relationships/hyperlink" Target="../../../../../../../../Users/ishan/Downloads/INDIAN%20REITS/Brookfield/Consolidated_Financial_Results_Q4_2026_065e5df741.pdf" TargetMode="External" Id="rId73"/><Relationship Type="http://schemas.openxmlformats.org/officeDocument/2006/relationships/hyperlink" Target="../../../../../../../../Users/ishan/Downloads/INDIAN%20REITS/Brookfield/Earning_Presentation_Q4_FY_2022_ae3f3543f8.pdf" TargetMode="External" Id="rId74"/><Relationship Type="http://schemas.openxmlformats.org/officeDocument/2006/relationships/hyperlink" Target="../../../../../../../../Users/ishan/Downloads/INDIAN%20REITS/Brookfield/Standalone_Financials_Q4_FY_2023_9aedac0735.pdf" TargetMode="External" Id="rId75"/><Relationship Type="http://schemas.openxmlformats.org/officeDocument/2006/relationships/hyperlink" Target="../../../../../../../../Users/ishan/Downloads/INDIAN%20REITS/Brookfield/Earning_Presentation_Q42024_63c5a9d394.pdf" TargetMode="External" Id="rId76"/><Relationship Type="http://schemas.openxmlformats.org/officeDocument/2006/relationships/hyperlink" Target="../../../../../../../../Users/ishan/Downloads/INDIAN%20REITS/Brookfield/Standalone_Financials_Q4_FY_2025_2b04742815.pdf" TargetMode="External" Id="rId77"/><Relationship Type="http://schemas.openxmlformats.org/officeDocument/2006/relationships/hyperlink" Target="../../../../../../../../Users/ishan/Downloads/INDIAN%20REITS/Brookfield/Consolidated_Financial_Results_Q4_2026_065e5df741.pdf" TargetMode="External" Id="rId78"/><Relationship Type="http://schemas.openxmlformats.org/officeDocument/2006/relationships/hyperlink" Target="../../../../../../../../Users/ishan/Downloads/INDIAN%20REITS/Brookfield/Earning_Presentation_Q4_FY_2022_ae3f3543f8.pdf" TargetMode="External" Id="rId79"/><Relationship Type="http://schemas.openxmlformats.org/officeDocument/2006/relationships/hyperlink" Target="../../../../../../../../Users/ishan/Downloads/INDIAN%20REITS/Brookfield/Standalone_Financials_Q4_FY_2023_9aedac0735.pdf" TargetMode="External" Id="rId80"/><Relationship Type="http://schemas.openxmlformats.org/officeDocument/2006/relationships/hyperlink" Target="../../../../../../../../Users/ishan/Downloads/INDIAN%20REITS/Brookfield/Earning_Presentation_Q42024_63c5a9d394.pdf" TargetMode="External" Id="rId81"/><Relationship Type="http://schemas.openxmlformats.org/officeDocument/2006/relationships/hyperlink" Target="../../../../../../../../Users/ishan/Downloads/INDIAN%20REITS/Brookfield/Consolidated_Financial_Results_Q4_2026_065e5df741.pdf" TargetMode="External" Id="rId82"/><Relationship Type="http://schemas.openxmlformats.org/officeDocument/2006/relationships/hyperlink" Target="../../../../../../../../Users/ishan/Downloads/INDIAN%20REITS/Brookfield/Consolidated_Financial_Results_Q4_2026_065e5df741.pdf" TargetMode="External" Id="rId83"/><Relationship Type="http://schemas.openxmlformats.org/officeDocument/2006/relationships/hyperlink" Target="../../../../../../../../Users/ishan/Downloads/INDIAN%20REITS/Brookfield/Earning_Presentation_Q4_FY_2022_ae3f3543f8.pdf" TargetMode="External" Id="rId84"/><Relationship Type="http://schemas.openxmlformats.org/officeDocument/2006/relationships/hyperlink" Target="../../../../../../../../Users/ishan/Downloads/INDIAN%20REITS/Brookfield/Earning_Presentation_Q4_FY_2022_ae3f3543f8.pdf" TargetMode="External" Id="rId85"/><Relationship Type="http://schemas.openxmlformats.org/officeDocument/2006/relationships/hyperlink" Target="../../../../../../../../Users/ishan/Downloads/INDIAN%20REITS/Brookfield/Earnings_Presentation_Q4_FY_2023_15c9463f7e.pdf" TargetMode="External" Id="rId86"/><Relationship Type="http://schemas.openxmlformats.org/officeDocument/2006/relationships/hyperlink" Target="../../../../../../../../Users/ishan/Downloads/INDIAN%20REITS/Brookfield/Summary_Valuation_Report_FY_2026_8284e7236d.pdf" TargetMode="External" Id="rId87"/><Relationship Type="http://schemas.openxmlformats.org/officeDocument/2006/relationships/hyperlink" Target="../../../../../../../../Users/ishan/Downloads/INDIAN%20REITS/Brookfield/Consolidated_Financials_Q4_FY_2022_e5844487b4.pdf" TargetMode="External" Id="rId88"/><Relationship Type="http://schemas.openxmlformats.org/officeDocument/2006/relationships/hyperlink" Target="../../../../../../../../Users/ishan/Downloads/INDIAN%20REITS/Brookfield/Consolidated_Financials_Q4_FY_2022_e5844487b4.pdf" TargetMode="External" Id="rId89"/><Relationship Type="http://schemas.openxmlformats.org/officeDocument/2006/relationships/hyperlink" Target="../../../../../../../../Users/ishan/Downloads/INDIAN%20REITS/Brookfield/Consolidated_Financials_Q4_FY_2023_fceec1d25b.pdf" TargetMode="External" Id="rId90"/><Relationship Type="http://schemas.openxmlformats.org/officeDocument/2006/relationships/hyperlink" Target="../../../../../../../../Users/ishan/Downloads/INDIAN%20REITS/Brookfield/Consolidated_Financials_Q4_FY_2025_compressed_9c5306468f.pdf" TargetMode="External" Id="rId91"/><Relationship Type="http://schemas.openxmlformats.org/officeDocument/2006/relationships/hyperlink" Target="../../../../../../../../Users/ishan/Downloads/INDIAN%20REITS/Brookfield/Consolidated_Financial_Results_Q4_2026_065e5df741.pdf" TargetMode="External" Id="rId92"/><Relationship Type="http://schemas.openxmlformats.org/officeDocument/2006/relationships/hyperlink" Target="../../../../../../../../Users/ishan/Downloads/INDIAN%20REITS/Brookfield/Consolidated_Financial_Results_Q4_2026_065e5df741.pdf" TargetMode="External" Id="rId93"/><Relationship Type="http://schemas.openxmlformats.org/officeDocument/2006/relationships/hyperlink" Target="../../../../../../../../Users/ishan/Downloads/INDIAN%20REITS/Brookfield/Standalone_Financials_Q4_FY_2022_7e3fb593b5.pdf" TargetMode="External" Id="rId94"/><Relationship Type="http://schemas.openxmlformats.org/officeDocument/2006/relationships/hyperlink" Target="../../../../../../../../Users/ishan/Downloads/INDIAN%20REITS/Brookfield/Standalone_Financials_Q4_FY_2023_9aedac0735.pdf" TargetMode="External" Id="rId95"/><Relationship Type="http://schemas.openxmlformats.org/officeDocument/2006/relationships/hyperlink" Target="../../../../../../../../Users/ishan/Downloads/INDIAN%20REITS/Brookfield/Standalone_Financials_Q4_FY_2023_9aedac0735.pdf" TargetMode="External" Id="rId96"/><Relationship Type="http://schemas.openxmlformats.org/officeDocument/2006/relationships/hyperlink" Target="../../../../../../../../Users/ishan/Downloads/INDIAN%20REITS/Brookfield/Standalone_Financials_Q4_FY_2025_2b04742815.pdf" TargetMode="External" Id="rId97"/><Relationship Type="http://schemas.openxmlformats.org/officeDocument/2006/relationships/hyperlink" Target="../../../../../../../../Users/ishan/Downloads/INDIAN%20REITS/Brookfield/Standalone_Financials_Q4_FY_2025_2b04742815.pdf" TargetMode="External" Id="rId98"/><Relationship Type="http://schemas.openxmlformats.org/officeDocument/2006/relationships/hyperlink" Target="../../../../../../../../Users/ishan/Downloads/INDIAN%20REITS/Brookfield/Standalone_Financial_Results_Q4_2026_56f6d86d3a.pdf" TargetMode="External" Id="rId99"/><Relationship Type="http://schemas.openxmlformats.org/officeDocument/2006/relationships/hyperlink" Target="../../../../../../../../Users/ishan/Downloads/INDIAN%20REITS/Brookfield/Consolidated_Financials_Q4_FY_2025_compressed_9c5306468f.pdf" TargetMode="External" Id="rId100"/><Relationship Type="http://schemas.openxmlformats.org/officeDocument/2006/relationships/hyperlink" Target="../../../../../../../../Users/ishan/Downloads/INDIAN%20REITS/Brookfield/Consolidated_Financial_Results_Q4_2026_065e5df741.pdf" TargetMode="External" Id="rId101"/><Relationship Type="http://schemas.openxmlformats.org/officeDocument/2006/relationships/hyperlink" Target="../../../../../../../../Users/ishan/Downloads/INDIAN%20REITS/Brookfield/Consolidated_Financial_Results_Q4_2026_065e5df741.pdf" TargetMode="External" Id="rId102"/><Relationship Type="http://schemas.openxmlformats.org/officeDocument/2006/relationships/hyperlink" Target="../../../../../../../../Users/ishan/Downloads/INDIAN%20REITS/Brookfield/Standalone_Financials_Q4_FY_2025_2b04742815.pdf" TargetMode="External" Id="rId103"/><Relationship Type="http://schemas.openxmlformats.org/officeDocument/2006/relationships/hyperlink" Target="../../../../../../../../Users/ishan/Downloads/INDIAN%20REITS/Brookfield/Standalone_Financials_Q4_FY_2025_2b04742815.pdf" TargetMode="External" Id="rId104"/><Relationship Type="http://schemas.openxmlformats.org/officeDocument/2006/relationships/hyperlink" Target="../../../../../../../../Users/ishan/Downloads/INDIAN%20REITS/Brookfield/Standalone_Financial_Results_Q4_2026_56f6d86d3a.pdf" TargetMode="External" Id="rId105"/><Relationship Type="http://schemas.openxmlformats.org/officeDocument/2006/relationships/hyperlink" Target="../../../../../../../../Users/ishan/Downloads/INDIAN%20REITS/Brookfield/Consolidated_Financials_Q4_FY_2022_e5844487b4.pdf" TargetMode="External" Id="rId106"/><Relationship Type="http://schemas.openxmlformats.org/officeDocument/2006/relationships/hyperlink" Target="../../../../../../../../Users/ishan/Downloads/INDIAN%20REITS/Brookfield/Consolidated_Financials_Q4_FY_2022_e5844487b4.pdf" TargetMode="External" Id="rId107"/><Relationship Type="http://schemas.openxmlformats.org/officeDocument/2006/relationships/hyperlink" Target="../../../../../../../../Users/ishan/Downloads/INDIAN%20REITS/Brookfield/Consolidated_Financials_Q4_FY_2023_fceec1d25b.pdf" TargetMode="External" Id="rId108"/><Relationship Type="http://schemas.openxmlformats.org/officeDocument/2006/relationships/hyperlink" Target="../../../../../../../../Users/ishan/Downloads/INDIAN%20REITS/Brookfield/Consolidated_Financials_Q4_FY_2025_compressed_9c5306468f.pdf" TargetMode="External" Id="rId109"/><Relationship Type="http://schemas.openxmlformats.org/officeDocument/2006/relationships/hyperlink" Target="../../../../../../../../Users/ishan/Downloads/INDIAN%20REITS/Brookfield/Consolidated_Financial_Results_Q4_2026_065e5df741.pdf" TargetMode="External" Id="rId110"/><Relationship Type="http://schemas.openxmlformats.org/officeDocument/2006/relationships/hyperlink" Target="../../../../../../../../Users/ishan/Downloads/INDIAN%20REITS/Brookfield/Consolidated_Financial_Results_Q4_2026_065e5df741.pdf" TargetMode="External" Id="rId111"/><Relationship Type="http://schemas.openxmlformats.org/officeDocument/2006/relationships/hyperlink" Target="../../../../../../../../Users/ishan/Downloads/INDIAN%20REITS/Brookfield/Standalone_Financials_Q4_FY_2022_7e3fb593b5.pdf" TargetMode="External" Id="rId112"/><Relationship Type="http://schemas.openxmlformats.org/officeDocument/2006/relationships/hyperlink" Target="../../../../../../../../Users/ishan/Downloads/INDIAN%20REITS/Brookfield/Standalone_Financials_Q4_FY_2023_9aedac0735.pdf" TargetMode="External" Id="rId113"/><Relationship Type="http://schemas.openxmlformats.org/officeDocument/2006/relationships/hyperlink" Target="../../../../../../../../Users/ishan/Downloads/INDIAN%20REITS/Brookfield/Standalone_Financials_Q4_FY_2023_9aedac0735.pdf" TargetMode="External" Id="rId114"/><Relationship Type="http://schemas.openxmlformats.org/officeDocument/2006/relationships/hyperlink" Target="../../../../../../../../Users/ishan/Downloads/INDIAN%20REITS/Brookfield/Standalone_Financials_Q4_FY_2025_2b04742815.pdf" TargetMode="External" Id="rId115"/><Relationship Type="http://schemas.openxmlformats.org/officeDocument/2006/relationships/hyperlink" Target="../../../../../../../../Users/ishan/Downloads/INDIAN%20REITS/Brookfield/Standalone_Financials_Q4_FY_2025_2b04742815.pdf" TargetMode="External" Id="rId116"/><Relationship Type="http://schemas.openxmlformats.org/officeDocument/2006/relationships/hyperlink" Target="../../../../../../../../Users/ishan/Downloads/INDIAN%20REITS/Brookfield/Standalone_Financial_Results_Q4_2026_56f6d86d3a.pdf" TargetMode="External" Id="rId117"/><Relationship Type="http://schemas.openxmlformats.org/officeDocument/2006/relationships/hyperlink" Target="../../../../../../../../Users/ishan/Downloads/INDIAN%20REITS/Brookfield/Consolidated_Financials_Q4_FY_2022_e5844487b4.pdf" TargetMode="External" Id="rId118"/><Relationship Type="http://schemas.openxmlformats.org/officeDocument/2006/relationships/hyperlink" Target="../../../../../../../../Users/ishan/Downloads/INDIAN%20REITS/Brookfield/Consolidated_Financials_Q4_FY_2023_fceec1d25b.pdf" TargetMode="External" Id="rId119"/><Relationship Type="http://schemas.openxmlformats.org/officeDocument/2006/relationships/hyperlink" Target="../../../../../../../../Users/ishan/Downloads/INDIAN%20REITS/Brookfield/Consolidated_Financials_Q4_FY_2023_fceec1d25b.pdf" TargetMode="External" Id="rId120"/><Relationship Type="http://schemas.openxmlformats.org/officeDocument/2006/relationships/hyperlink" Target="../../../../../../../../Users/ishan/Downloads/INDIAN%20REITS/Brookfield/Consolidated_Financials_Q4_FY_2025_compressed_9c5306468f.pdf" TargetMode="External" Id="rId121"/><Relationship Type="http://schemas.openxmlformats.org/officeDocument/2006/relationships/hyperlink" Target="../../../../../../../../Users/ishan/Downloads/INDIAN%20REITS/Brookfield/Consolidated_Financial_Results_Q4_2026_065e5df741.pdf" TargetMode="External" Id="rId122"/><Relationship Type="http://schemas.openxmlformats.org/officeDocument/2006/relationships/hyperlink" Target="../../../../../../../../Users/ishan/Downloads/INDIAN%20REITS/Brookfield/Consolidated_Financial_Results_Q4_2026_065e5df741.pdf" TargetMode="External" Id="rId123"/><Relationship Type="http://schemas.openxmlformats.org/officeDocument/2006/relationships/hyperlink" Target="../../../../../../../../Users/ishan/Downloads/INDIAN%20REITS/Brookfield/Standalone_Financials_Q4_FY_2023_9aedac0735.pdf" TargetMode="External" Id="rId124"/><Relationship Type="http://schemas.openxmlformats.org/officeDocument/2006/relationships/hyperlink" Target="../../../../../../../../Users/ishan/Downloads/INDIAN%20REITS/Brookfield/Standalone_Financials_Q4_FY_2023_9aedac0735.pdf" TargetMode="External" Id="rId125"/><Relationship Type="http://schemas.openxmlformats.org/officeDocument/2006/relationships/hyperlink" Target="../../../../../../../../Users/ishan/Downloads/INDIAN%20REITS/Brookfield/Standalone_Financials_Q4_FY_2023_9aedac0735.pdf" TargetMode="External" Id="rId126"/><Relationship Type="http://schemas.openxmlformats.org/officeDocument/2006/relationships/hyperlink" Target="../../../../../../../../Users/ishan/Downloads/INDIAN%20REITS/Brookfield/Consolidated_Financials_Q4_FY_2025_compressed_9c5306468f.pdf" TargetMode="External" Id="rId127"/><Relationship Type="http://schemas.openxmlformats.org/officeDocument/2006/relationships/hyperlink" Target="../../../../../../../../Users/ishan/Downloads/INDIAN%20REITS/Brookfield/Consolidated_Financial_Results_Q4_2026_065e5df741.pdf" TargetMode="External" Id="rId128"/><Relationship Type="http://schemas.openxmlformats.org/officeDocument/2006/relationships/hyperlink" Target="../../../../../../../../Users/ishan/Downloads/INDIAN%20REITS/Brookfield/Consolidated_Financial_Results_Q4_2026_065e5df741.pdf" TargetMode="External" Id="rId129"/><Relationship Type="http://schemas.openxmlformats.org/officeDocument/2006/relationships/hyperlink" Target="../../../../../../../../Users/ishan/Downloads/INDIAN%20REITS/REIT_Tableau_Ready_1.xlsx" TargetMode="External" Id="rId130"/><Relationship Type="http://schemas.openxmlformats.org/officeDocument/2006/relationships/hyperlink" Target="../../../../../../../../Users/ishan/Downloads/INDIAN%20REITS/REIT_Tableau_Ready_1.xlsx" TargetMode="External" Id="rId131"/><Relationship Type="http://schemas.openxmlformats.org/officeDocument/2006/relationships/hyperlink" Target="../../../../../../../../Users/ishan/Downloads/INDIAN%20REITS/REIT_Tableau_Ready_1.xlsx" TargetMode="External" Id="rId132"/><Relationship Type="http://schemas.openxmlformats.org/officeDocument/2006/relationships/hyperlink" Target="../../../../../../../../Users/ishan/Downloads/INDIAN%20REITS/REIT_Tableau_Ready_1.xlsx" TargetMode="External" Id="rId133"/><Relationship Type="http://schemas.openxmlformats.org/officeDocument/2006/relationships/hyperlink" Target="../../../../../../../../Users/ishan/Downloads/INDIAN%20REITS/REIT_Tableau_Ready_1.xlsx" TargetMode="External" Id="rId134"/><Relationship Type="http://schemas.openxmlformats.org/officeDocument/2006/relationships/hyperlink" Target="../../../../../../../../Users/ishan/Downloads/INDIAN%20REITS/Brookfield/Earning_Presentation_Q4_FY_2022_ae3f3543f8.pdf" TargetMode="External" Id="rId135"/><Relationship Type="http://schemas.openxmlformats.org/officeDocument/2006/relationships/hyperlink" Target="../../../../../../../../Users/ishan/Downloads/INDIAN%20REITS/Brookfield/Earnings_Presentation_Q4_FY_2023_15c9463f7e.pdf" TargetMode="External" Id="rId136"/><Relationship Type="http://schemas.openxmlformats.org/officeDocument/2006/relationships/hyperlink" Target="../../../../../../../../Users/ishan/Downloads/INDIAN%20REITS/Brookfield/Earning_Presentation_Q42024_63c5a9d394.pdf" TargetMode="External" Id="rId137"/><Relationship Type="http://schemas.openxmlformats.org/officeDocument/2006/relationships/hyperlink" Target="../../../../../../../../Users/ishan/Downloads/INDIAN%20REITS/Brookfield/Earning_Presentation_Q4_FY_2025_363e49a9d9.pdf" TargetMode="External" Id="rId138"/><Relationship Type="http://schemas.openxmlformats.org/officeDocument/2006/relationships/hyperlink" Target="../../../../../../../../Users/ishan/Downloads/INDIAN%20REITS/Brookfield/Summary_Valuation_Report_FY_2026_8284e7236d.pdf" TargetMode="External" Id="rId139"/><Relationship Type="http://schemas.openxmlformats.org/officeDocument/2006/relationships/hyperlink" Target="../../../../../../../../Users/ishan/Downloads/INDIAN%20REITS/Brookfield/Earning_Presentation_Q4_FY_2022_ae3f3543f8.pdf" TargetMode="External" Id="rId140"/><Relationship Type="http://schemas.openxmlformats.org/officeDocument/2006/relationships/hyperlink" Target="../../../../../../../../Users/ishan/Downloads/INDIAN%20REITS/Brookfield/Earnings_Presentation_Q4_FY_2023_15c9463f7e.pdf" TargetMode="External" Id="rId141"/><Relationship Type="http://schemas.openxmlformats.org/officeDocument/2006/relationships/hyperlink" Target="../../../../../../../../Users/ishan/Downloads/INDIAN%20REITS/Brookfield/Earning_Presentation_Q42024_63c5a9d394.pdf" TargetMode="External" Id="rId142"/><Relationship Type="http://schemas.openxmlformats.org/officeDocument/2006/relationships/hyperlink" Target="../../../../../../../../Users/ishan/Downloads/INDIAN%20REITS/Brookfield/Earning_Presentation_Q4_FY_2025_363e49a9d9.pdf" TargetMode="External" Id="rId143"/><Relationship Type="http://schemas.openxmlformats.org/officeDocument/2006/relationships/hyperlink" Target="../../../../../../../../Users/ishan/Downloads/INDIAN%20REITS/Brookfield/Summary_Valuation_Report_FY_2026_8284e7236d.pdf" TargetMode="External" Id="rId144"/><Relationship Type="http://schemas.openxmlformats.org/officeDocument/2006/relationships/hyperlink" Target="../../../../../../../../Users/ishan/Downloads/INDIAN%20REITS/Brookfield/Earning_Presentation_Q4_FY_2022_ae3f3543f8.pdf" TargetMode="External" Id="rId145"/><Relationship Type="http://schemas.openxmlformats.org/officeDocument/2006/relationships/hyperlink" Target="../../../../../../../../Users/ishan/Downloads/INDIAN%20REITS/Brookfield/Earnings_Presentation_Q4_FY_2023_15c9463f7e.pdf" TargetMode="External" Id="rId146"/><Relationship Type="http://schemas.openxmlformats.org/officeDocument/2006/relationships/hyperlink" Target="../../../../../../../../Users/ishan/Downloads/INDIAN%20REITS/Brookfield/Earning_Presentation_Q42024_63c5a9d394.pdf" TargetMode="External" Id="rId147"/><Relationship Type="http://schemas.openxmlformats.org/officeDocument/2006/relationships/hyperlink" Target="../../../../../../../../Users/ishan/Downloads/INDIAN%20REITS/Brookfield/Earning_Presentation_Q4_FY_2025_363e49a9d9.pdf" TargetMode="External" Id="rId148"/><Relationship Type="http://schemas.openxmlformats.org/officeDocument/2006/relationships/hyperlink" Target="../../../../../../../../Users/ishan/Downloads/INDIAN%20REITS/Brookfield/Summary_Valuation_Report_FY_2026_8284e7236d.pdf" TargetMode="External" Id="rId149"/><Relationship Type="http://schemas.openxmlformats.org/officeDocument/2006/relationships/hyperlink" Target="../../../../../../../../Users/ishan/Downloads/INDIAN%20REITS/Brookfield/Earning_Presentation_Q4_FY_2022_ae3f3543f8.pdf" TargetMode="External" Id="rId150"/><Relationship Type="http://schemas.openxmlformats.org/officeDocument/2006/relationships/hyperlink" Target="../../../../../../../../Users/ishan/Downloads/INDIAN%20REITS/Brookfield/Earnings_Presentation_Q4_FY_2023_15c9463f7e.pdf" TargetMode="External" Id="rId151"/><Relationship Type="http://schemas.openxmlformats.org/officeDocument/2006/relationships/hyperlink" Target="../../../../../../../../Users/ishan/Downloads/INDIAN%20REITS/Brookfield/Earning_Presentation_Q42024_63c5a9d394.pdf" TargetMode="External" Id="rId152"/><Relationship Type="http://schemas.openxmlformats.org/officeDocument/2006/relationships/hyperlink" Target="../../../../../../../../Users/ishan/Downloads/INDIAN%20REITS/Brookfield/Earning_Presentation_Q4_FY_2025_363e49a9d9.pdf" TargetMode="External" Id="rId153"/><Relationship Type="http://schemas.openxmlformats.org/officeDocument/2006/relationships/hyperlink" Target="../../../../../../../../Users/ishan/Downloads/INDIAN%20REITS/Brookfield/Summary_Valuation_Report_FY_2026_8284e7236d.pdf" TargetMode="External" Id="rId154"/><Relationship Type="http://schemas.openxmlformats.org/officeDocument/2006/relationships/hyperlink" Target="../../../../../../../../Users/ishan/Downloads/INDIAN%20REITS/Brookfield/Earning_Presentation_Q4_FY_2022_ae3f3543f8.pdf" TargetMode="External" Id="rId155"/><Relationship Type="http://schemas.openxmlformats.org/officeDocument/2006/relationships/hyperlink" Target="../../../../../../../../Users/ishan/Downloads/INDIAN%20REITS/Brookfield/Earnings_Presentation_Q4_FY_2023_15c9463f7e.pdf" TargetMode="External" Id="rId156"/><Relationship Type="http://schemas.openxmlformats.org/officeDocument/2006/relationships/hyperlink" Target="../../../../../../../../Users/ishan/Downloads/INDIAN%20REITS/Brookfield/Earning_Presentation_Q42024_63c5a9d394.pdf" TargetMode="External" Id="rId157"/><Relationship Type="http://schemas.openxmlformats.org/officeDocument/2006/relationships/hyperlink" Target="../../../../../../../../Users/ishan/Downloads/INDIAN%20REITS/Brookfield/Earning_Presentation_Q4_FY_2025_363e49a9d9.pdf" TargetMode="External" Id="rId158"/><Relationship Type="http://schemas.openxmlformats.org/officeDocument/2006/relationships/hyperlink" Target="../../../../../../../../Users/ishan/Downloads/INDIAN%20REITS/Brookfield/Earning_Presentation_Q4_FY_2022_ae3f3543f8.pdf" TargetMode="External" Id="rId159"/><Relationship Type="http://schemas.openxmlformats.org/officeDocument/2006/relationships/hyperlink" Target="../../../../../../../../Users/ishan/Downloads/INDIAN%20REITS/Brookfield/Earnings_Presentation_Q4_FY_2023_15c9463f7e.pdf" TargetMode="External" Id="rId160"/><Relationship Type="http://schemas.openxmlformats.org/officeDocument/2006/relationships/hyperlink" Target="../../../../../../../../Users/ishan/Downloads/INDIAN%20REITS/Brookfield/Earning_Presentation_Q42024_63c5a9d394.pdf" TargetMode="External" Id="rId161"/><Relationship Type="http://schemas.openxmlformats.org/officeDocument/2006/relationships/hyperlink" Target="../../../../../../../../Users/ishan/Downloads/INDIAN%20REITS/Brookfield/Earning_Presentation_Q4_FY_2022_ae3f3543f8.pdf" TargetMode="External" Id="rId162"/><Relationship Type="http://schemas.openxmlformats.org/officeDocument/2006/relationships/hyperlink" Target="../../../../../../../../Users/ishan/Downloads/INDIAN%20REITS/Brookfield/Earnings_Presentation_Q4_FY_2023_15c9463f7e.pdf" TargetMode="External" Id="rId163"/><Relationship Type="http://schemas.openxmlformats.org/officeDocument/2006/relationships/hyperlink" Target="../../../../../../../../Users/ishan/Downloads/INDIAN%20REITS/Brookfield/Earning_Presentation_Q42024_63c5a9d394.pdf" TargetMode="External" Id="rId164"/><Relationship Type="http://schemas.openxmlformats.org/officeDocument/2006/relationships/hyperlink" Target="../../../../../../../../Users/ishan/Downloads/INDIAN%20REITS/Brookfield/Earning_Presentation_Q4_FY_2025_363e49a9d9.pdf" TargetMode="External" Id="rId165"/><Relationship Type="http://schemas.openxmlformats.org/officeDocument/2006/relationships/hyperlink" Target="../../../../../../../../Users/ishan/Downloads/INDIAN%20REITS/Brookfield/BIRET_Q4_FY_2026_Investor_Presentation_d39ed0af9f.pdf" TargetMode="External" Id="rId166"/><Relationship Type="http://schemas.openxmlformats.org/officeDocument/2006/relationships/hyperlink" Target="../../../../../../../../Users/ishan/Downloads/INDIAN%20REITS/Brookfield/Earning_Presentation_Q4_FY_2022_ae3f3543f8.pdf" TargetMode="External" Id="rId167"/><Relationship Type="http://schemas.openxmlformats.org/officeDocument/2006/relationships/hyperlink" Target="../../../../../../../../Users/ishan/Downloads/INDIAN%20REITS/Brookfield/Earnings_Presentation_Q4_FY_2023_15c9463f7e.pdf" TargetMode="External" Id="rId168"/><Relationship Type="http://schemas.openxmlformats.org/officeDocument/2006/relationships/hyperlink" Target="../../../../../../../../Users/ishan/Downloads/INDIAN%20REITS/Brookfield/Earning_Presentation_Q42024_63c5a9d394.pdf" TargetMode="External" Id="rId169"/><Relationship Type="http://schemas.openxmlformats.org/officeDocument/2006/relationships/hyperlink" Target="../../../../../../../../Users/ishan/Downloads/INDIAN%20REITS/Brookfield/Earning_Presentation_Q4_FY_2022_ae3f3543f8.pdf" TargetMode="External" Id="rId170"/><Relationship Type="http://schemas.openxmlformats.org/officeDocument/2006/relationships/hyperlink" Target="../../../../../../../../Users/ishan/Downloads/INDIAN%20REITS/Brookfield/Earnings_Presentation_Q4_FY_2023_15c9463f7e.pdf" TargetMode="External" Id="rId171"/><Relationship Type="http://schemas.openxmlformats.org/officeDocument/2006/relationships/hyperlink" Target="../../../../../../../../Users/ishan/Downloads/INDIAN%20REITS/Brookfield/Earning_Presentation_Q42024_63c5a9d394.pdf" TargetMode="External" Id="rId172"/><Relationship Type="http://schemas.openxmlformats.org/officeDocument/2006/relationships/hyperlink" Target="../../../../../../../../Users/ishan/Downloads/INDIAN%20REITS/Brookfield/Earning_Presentation_Q4_FY_2025_363e49a9d9.pdf" TargetMode="External" Id="rId173"/><Relationship Type="http://schemas.openxmlformats.org/officeDocument/2006/relationships/hyperlink" Target="../../../../../../../../Users/ishan/Downloads/INDIAN%20REITS/Brookfield/Earning_Presentation_Q42024_63c5a9d394.pdf" TargetMode="External" Id="rId174"/><Relationship Type="http://schemas.openxmlformats.org/officeDocument/2006/relationships/hyperlink" Target="../../../../../../../../Users/ishan/Downloads/INDIAN%20REITS/Brookfield/Earning_Presentation_Q42024_63c5a9d394.pdf" TargetMode="External" Id="rId175"/><Relationship Type="http://schemas.openxmlformats.org/officeDocument/2006/relationships/hyperlink" Target="../../../../../../../../Users/ishan/Downloads/INDIAN%20REITS/Brookfield/Consolidated_Financials_Q4_FY_2025_compressed_9c5306468f.pdf" TargetMode="External" Id="rId176"/><Relationship Type="http://schemas.openxmlformats.org/officeDocument/2006/relationships/hyperlink" Target="../../../../../../../../Users/ishan/Downloads/INDIAN%20REITS/Brookfield/Consolidated_Financial_Statement_Q4_2026_7f35ccab9e.pdf" TargetMode="External" Id="rId177"/><Relationship Type="http://schemas.openxmlformats.org/officeDocument/2006/relationships/hyperlink" Target="../../../../../../../../Users/ishan/Downloads/INDIAN%20REITS/Brookfield/Consolidated_Financials_Q4_FY_2025_compressed_9c5306468f.pdf" TargetMode="External" Id="rId178"/><Relationship Type="http://schemas.openxmlformats.org/officeDocument/2006/relationships/hyperlink" Target="../../../../../../../../Users/ishan/Downloads/INDIAN%20REITS/Brookfield/Consolidated_Financial_Statement_Q4_2026_7f35ccab9e.pdf" TargetMode="External" Id="rId179"/><Relationship Type="http://schemas.openxmlformats.org/officeDocument/2006/relationships/hyperlink" Target="../../../../../../../../Users/ishan/Downloads/INDIAN%20REITS/Brookfield/Consolidated_Financials_Q4_FY_2025_compressed_9c5306468f.pdf" TargetMode="External" Id="rId180"/><Relationship Type="http://schemas.openxmlformats.org/officeDocument/2006/relationships/hyperlink" Target="../../../../../../../../Users/ishan/Downloads/INDIAN%20REITS/Brookfield/Consolidated_Financial_Statement_Q4_2026_7f35ccab9e.pdf" TargetMode="External" Id="rId181"/><Relationship Type="http://schemas.openxmlformats.org/officeDocument/2006/relationships/hyperlink" Target="../../../../../../../../Users/ishan/Downloads/INDIAN%20REITS/Brookfield/Earning_Presentation_Q42024_63c5a9d394.pdf" TargetMode="External" Id="rId182"/><Relationship Type="http://schemas.openxmlformats.org/officeDocument/2006/relationships/hyperlink" Target="../../../../../../../../Users/ishan/Downloads/INDIAN%20REITS/Brookfield/Earning_Presentation_Q4_FY_2025_363e49a9d9.pdf" TargetMode="External" Id="rId183"/><Relationship Type="http://schemas.openxmlformats.org/officeDocument/2006/relationships/hyperlink" Target="../../../../../../../../Users/ishan/Downloads/INDIAN%20REITS/Brookfield/BIRET_Q4_FY_2026_Investor_Presentation_d39ed0af9f.pdf" TargetMode="External" Id="rId184"/><Relationship Type="http://schemas.openxmlformats.org/officeDocument/2006/relationships/hyperlink" Target="../../../../../../../../Users/ishan/Downloads/INDIAN%20REITS/Brookfield/Standalone_Financial_Statements_Q4_2026_5862aa7714.pdf" TargetMode="External" Id="rId185"/><Relationship Type="http://schemas.openxmlformats.org/officeDocument/2006/relationships/hyperlink" Target="../../../../../../../../Users/ishan/Downloads/INDIAN%20REITS/Brookfield/Standalone_Financial_Statements_Q4_2026_5862aa7714.pdf" TargetMode="External" Id="rId186"/><Relationship Type="http://schemas.openxmlformats.org/officeDocument/2006/relationships/hyperlink" Target="../../../../../../../../Users/ishan/Downloads/INDIAN%20REITS/Brookfield/Earning_Presentation_Q42024_63c5a9d394.pdf" TargetMode="External" Id="rId187"/><Relationship Type="http://schemas.openxmlformats.org/officeDocument/2006/relationships/hyperlink" Target="../../../../../../../../Users/ishan/Downloads/INDIAN%20REITS/Brookfield/Earning_Presentation_Q4_FY_2025_363e49a9d9.pdf" TargetMode="External" Id="rId188"/><Relationship Type="http://schemas.openxmlformats.org/officeDocument/2006/relationships/hyperlink" Target="../../../../../../../../Users/ishan/Downloads/INDIAN%20REITS/Brookfield/BIRET_Q4_FY_2026_Investor_Presentation_d39ed0af9f.pdf" TargetMode="External" Id="rId189"/><Relationship Type="http://schemas.openxmlformats.org/officeDocument/2006/relationships/hyperlink" Target="../../../../../../../../Users/ishan/Downloads/INDIAN%20REITS/Brookfield/Earning_Presentation_Q42024_63c5a9d394.pdf" TargetMode="External" Id="rId190"/><Relationship Type="http://schemas.openxmlformats.org/officeDocument/2006/relationships/hyperlink" Target="../../../../../../../../Users/ishan/Downloads/INDIAN%20REITS/Brookfield/Earning_Presentation_Q4_FY_2025_363e49a9d9.pdf" TargetMode="External" Id="rId191"/><Relationship Type="http://schemas.openxmlformats.org/officeDocument/2006/relationships/hyperlink" Target="../../../../../../../../Users/ishan/Downloads/INDIAN%20REITS/Brookfield/BIRET_Q4_FY_2026_Investor_Presentation_d39ed0af9f.pdf" TargetMode="External" Id="rId192"/><Relationship Type="http://schemas.openxmlformats.org/officeDocument/2006/relationships/hyperlink" Target="../../../../../../../../Users/ishan/Downloads/INDIAN%20REITS/Brookfield/BIRET_Q4_FY_2026_Investor_Presentation_d39ed0af9f.pdf" TargetMode="External" Id="rId193"/><Relationship Type="http://schemas.openxmlformats.org/officeDocument/2006/relationships/drawing" Target="/xl/drawings/drawing3.xml" Id="rId19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hyperlink" Target="../../../../../../../../Users/ishan/Downloads/INDIAN%20REITS/Nexus/NXST-Condensed-Consolidated-FS-March-2024.pdf" TargetMode="External" Id="rId1"/><Relationship Type="http://schemas.openxmlformats.org/officeDocument/2006/relationships/hyperlink" Target="../../../../../../../../Users/ishan/Downloads/INDIAN%20REITS/Nexus/NXST-Consolidated-Financial-Results-Q4-FY26.pdf" TargetMode="External" Id="rId2"/><Relationship Type="http://schemas.openxmlformats.org/officeDocument/2006/relationships/hyperlink" Target="../../../../../../../../Users/ishan/Downloads/INDIAN%20REITS/Nexus/NXST-Consolidated-Financial-Results-Q4-FY26.pdf" TargetMode="External" Id="rId3"/><Relationship Type="http://schemas.openxmlformats.org/officeDocument/2006/relationships/hyperlink" Target="../../../../../../../../Users/ishan/Downloads/INDIAN%20REITS/Nexus/NXST-Condensed-Consolidated-FS-March-2024.pdf" TargetMode="External" Id="rId4"/><Relationship Type="http://schemas.openxmlformats.org/officeDocument/2006/relationships/hyperlink" Target="../../../../../../../../Users/ishan/Downloads/INDIAN%20REITS/Nexus/NXST-Consolidated-Financial-Results-Q4-FY26.pdf" TargetMode="External" Id="rId5"/><Relationship Type="http://schemas.openxmlformats.org/officeDocument/2006/relationships/hyperlink" Target="../../../../../../../../Users/ishan/Downloads/INDIAN%20REITS/Nexus/NXST-Consolidated-Financial-Results-Q4-FY26.pdf" TargetMode="External" Id="rId6"/><Relationship Type="http://schemas.openxmlformats.org/officeDocument/2006/relationships/hyperlink" Target="../../../../../../../../Users/ishan/Downloads/INDIAN%20REITS/Nexus/NXST-Condensed-Standalone-FS-March-2024.pdf" TargetMode="External" Id="rId7"/><Relationship Type="http://schemas.openxmlformats.org/officeDocument/2006/relationships/hyperlink" Target="../../../../../../../../Users/ishan/Downloads/INDIAN%20REITS/Nexus/NXST-Standalone-Financial-Results-Q4-FY26.pdf" TargetMode="External" Id="rId8"/><Relationship Type="http://schemas.openxmlformats.org/officeDocument/2006/relationships/hyperlink" Target="../../../../../../../../Users/ishan/Downloads/INDIAN%20REITS/Nexus/NXST-Standalone-Financial-Results-Q4-FY26.pdf" TargetMode="External" Id="rId9"/><Relationship Type="http://schemas.openxmlformats.org/officeDocument/2006/relationships/hyperlink" Target="../../../../../../../../Users/ishan/Downloads/INDIAN%20REITS/Nexus/NXST-Condensed-Consolidated-FS-March-2024.pdf" TargetMode="External" Id="rId10"/><Relationship Type="http://schemas.openxmlformats.org/officeDocument/2006/relationships/hyperlink" Target="../../../../../../../../Users/ishan/Downloads/INDIAN%20REITS/Nexus/NXST-Consolidated-Financial-Results-Q4-FY26.pdf" TargetMode="External" Id="rId11"/><Relationship Type="http://schemas.openxmlformats.org/officeDocument/2006/relationships/hyperlink" Target="../../../../../../../../Users/ishan/Downloads/INDIAN%20REITS/Nexus/NXST-Consolidated-Financial-Results-Q4-FY26.pdf" TargetMode="External" Id="rId12"/><Relationship Type="http://schemas.openxmlformats.org/officeDocument/2006/relationships/hyperlink" Target="../../../../../../../../Users/ishan/Downloads/INDIAN%20REITS/Nexus/NXST-Standalone-Financial-Results-Q4-FY26.pdf" TargetMode="External" Id="rId13"/><Relationship Type="http://schemas.openxmlformats.org/officeDocument/2006/relationships/hyperlink" Target="../../../../../../../../Users/ishan/Downloads/INDIAN%20REITS/Nexus/NXST-Standalone-Financial-Results-Q4-FY26.pdf" TargetMode="External" Id="rId14"/><Relationship Type="http://schemas.openxmlformats.org/officeDocument/2006/relationships/hyperlink" Target="../../../../../../../../Users/ishan/Downloads/INDIAN%20REITS/Nexus/NXST-Condensed-Consolidated-FS-March-2024.pdf" TargetMode="External" Id="rId15"/><Relationship Type="http://schemas.openxmlformats.org/officeDocument/2006/relationships/hyperlink" Target="../../../../../../../../Users/ishan/Downloads/INDIAN%20REITS/Nexus/NXST-Consolidated-Financial-Results-Q4-FY26.pdf" TargetMode="External" Id="rId16"/><Relationship Type="http://schemas.openxmlformats.org/officeDocument/2006/relationships/hyperlink" Target="../../../../../../../../Users/ishan/Downloads/INDIAN%20REITS/Nexus/NXST-Consolidated-Financial-Results-Q4-FY26.pdf" TargetMode="External" Id="rId17"/><Relationship Type="http://schemas.openxmlformats.org/officeDocument/2006/relationships/hyperlink" Target="../../../../../../../../Users/ishan/Downloads/INDIAN%20REITS/Nexus/NXST-Condensed-Consolidated-FS-March-2024.pdf" TargetMode="External" Id="rId18"/><Relationship Type="http://schemas.openxmlformats.org/officeDocument/2006/relationships/hyperlink" Target="../../../../../../../../Users/ishan/Downloads/INDIAN%20REITS/Nexus/NXST-Consolidated-Financial-Results-Q4-FY26.pdf" TargetMode="External" Id="rId19"/><Relationship Type="http://schemas.openxmlformats.org/officeDocument/2006/relationships/hyperlink" Target="../../../../../../../../Users/ishan/Downloads/INDIAN%20REITS/Nexus/NXST-Consolidated-Financial-Results-Q4-FY26.pdf" TargetMode="External" Id="rId20"/><Relationship Type="http://schemas.openxmlformats.org/officeDocument/2006/relationships/hyperlink" Target="../../../../../../../../Users/ishan/Downloads/INDIAN%20REITS/Nexus/NXST-Condensed-Standalone-FS-March-2024.pdf" TargetMode="External" Id="rId21"/><Relationship Type="http://schemas.openxmlformats.org/officeDocument/2006/relationships/hyperlink" Target="../../../../../../../../Users/ishan/Downloads/INDIAN%20REITS/Nexus/NXST-Standalone-Financial-Results-Q4-FY26.pdf" TargetMode="External" Id="rId22"/><Relationship Type="http://schemas.openxmlformats.org/officeDocument/2006/relationships/hyperlink" Target="../../../../../../../../Users/ishan/Downloads/INDIAN%20REITS/Nexus/NXST-Standalone-Financial-Results-Q4-FY26.pdf" TargetMode="External" Id="rId23"/><Relationship Type="http://schemas.openxmlformats.org/officeDocument/2006/relationships/hyperlink" Target="../../../../../../../../Users/ishan/Downloads/INDIAN%20REITS/Nexus/NXST-Condensed-Consolidated-FS-March-2024.pdf" TargetMode="External" Id="rId24"/><Relationship Type="http://schemas.openxmlformats.org/officeDocument/2006/relationships/hyperlink" Target="../../../../../../../../Users/ishan/Downloads/INDIAN%20REITS/Nexus/NXST-Consolidated-Financial-Results-Q4-FY26.pdf" TargetMode="External" Id="rId25"/><Relationship Type="http://schemas.openxmlformats.org/officeDocument/2006/relationships/hyperlink" Target="../../../../../../../../Users/ishan/Downloads/INDIAN%20REITS/Nexus/NXST-Consolidated-Financial-Results-Q4-FY26.pdf" TargetMode="External" Id="rId26"/><Relationship Type="http://schemas.openxmlformats.org/officeDocument/2006/relationships/hyperlink" Target="../../../../../../../../Users/ishan/Downloads/INDIAN%20REITS/Nexus/NXST-Condensed-Standalone-FS-March-2024.pdf" TargetMode="External" Id="rId27"/><Relationship Type="http://schemas.openxmlformats.org/officeDocument/2006/relationships/hyperlink" Target="../../../../../../../../Users/ishan/Downloads/INDIAN%20REITS/Nexus/NXST-Standalone-Financial-Results-Q4-FY26.pdf" TargetMode="External" Id="rId28"/><Relationship Type="http://schemas.openxmlformats.org/officeDocument/2006/relationships/hyperlink" Target="../../../../../../../../Users/ishan/Downloads/INDIAN%20REITS/Nexus/NXST-Standalone-Financial-Results-Q4-FY26.pdf" TargetMode="External" Id="rId29"/><Relationship Type="http://schemas.openxmlformats.org/officeDocument/2006/relationships/hyperlink" Target="../../../../../../../../Users/ishan/Downloads/INDIAN%20REITS/Nexus/NXST-Condensed-Consolidated-FS-March-2024.pdf" TargetMode="External" Id="rId30"/><Relationship Type="http://schemas.openxmlformats.org/officeDocument/2006/relationships/hyperlink" Target="../../../../../../../../Users/ishan/Downloads/INDIAN%20REITS/Nexus/NXST-Consolidated-Financial-Results-Q4-FY26.pdf" TargetMode="External" Id="rId31"/><Relationship Type="http://schemas.openxmlformats.org/officeDocument/2006/relationships/hyperlink" Target="../../../../../../../../Users/ishan/Downloads/INDIAN%20REITS/Nexus/NXST-Consolidated-Financial-Results-Q4-FY26.pdf" TargetMode="External" Id="rId32"/><Relationship Type="http://schemas.openxmlformats.org/officeDocument/2006/relationships/hyperlink" Target="../../../../../../../../Users/ishan/Downloads/INDIAN%20REITS/Nexus/NXST-Condensed-Consolidated-FS-March-2024.pdf" TargetMode="External" Id="rId33"/><Relationship Type="http://schemas.openxmlformats.org/officeDocument/2006/relationships/hyperlink" Target="../../../../../../../../Users/ishan/Downloads/INDIAN%20REITS/Nexus/NXST-Consolidated-Financial-Results-Q4-FY26.pdf" TargetMode="External" Id="rId34"/><Relationship Type="http://schemas.openxmlformats.org/officeDocument/2006/relationships/hyperlink" Target="../../../../../../../../Users/ishan/Downloads/INDIAN%20REITS/Nexus/NXST-Consolidated-Financial-Results-Q4-FY26.pdf" TargetMode="External" Id="rId35"/><Relationship Type="http://schemas.openxmlformats.org/officeDocument/2006/relationships/hyperlink" Target="../../../../../../../../Users/ishan/Downloads/INDIAN%20REITS/Nexus/NXST-Condensed-Standalone-FS-March-2024.pdf" TargetMode="External" Id="rId36"/><Relationship Type="http://schemas.openxmlformats.org/officeDocument/2006/relationships/hyperlink" Target="../../../../../../../../Users/ishan/Downloads/INDIAN%20REITS/Nexus/NXST-Standalone-Financial-Results-Q4-FY26.pdf" TargetMode="External" Id="rId37"/><Relationship Type="http://schemas.openxmlformats.org/officeDocument/2006/relationships/hyperlink" Target="../../../../../../../../Users/ishan/Downloads/INDIAN%20REITS/Nexus/NXST-Standalone-Financial-Results-Q4-FY26.pdf" TargetMode="External" Id="rId38"/><Relationship Type="http://schemas.openxmlformats.org/officeDocument/2006/relationships/hyperlink" Target="../../../../../../../../Users/ishan/Downloads/INDIAN%20REITS/Nexus/NXST-Condensed-Consolidated-FS-March-2024.pdf" TargetMode="External" Id="rId39"/><Relationship Type="http://schemas.openxmlformats.org/officeDocument/2006/relationships/hyperlink" Target="../../../../../../../../Users/ishan/Downloads/INDIAN%20REITS/Nexus/NXST-Consolidated-Financial-Results-Q4-FY26.pdf" TargetMode="External" Id="rId40"/><Relationship Type="http://schemas.openxmlformats.org/officeDocument/2006/relationships/hyperlink" Target="../../../../../../../../Users/ishan/Downloads/INDIAN%20REITS/Nexus/NXST-Consolidated-Financial-Results-Q4-FY26.pdf" TargetMode="External" Id="rId41"/><Relationship Type="http://schemas.openxmlformats.org/officeDocument/2006/relationships/hyperlink" Target="../../../../../../../../Users/ishan/Downloads/INDIAN%20REITS/Nexus/NXST-Condensed-Standalone-FS-March-2024.pdf" TargetMode="External" Id="rId42"/><Relationship Type="http://schemas.openxmlformats.org/officeDocument/2006/relationships/hyperlink" Target="../../../../../../../../Users/ishan/Downloads/INDIAN%20REITS/Nexus/NXST-Standalone-Financial-Results-Q4-FY26.pdf" TargetMode="External" Id="rId43"/><Relationship Type="http://schemas.openxmlformats.org/officeDocument/2006/relationships/hyperlink" Target="../../../../../../../../Users/ishan/Downloads/INDIAN%20REITS/Nexus/NXST-Standalone-Financial-Results-Q4-FY26.pdf" TargetMode="External" Id="rId44"/><Relationship Type="http://schemas.openxmlformats.org/officeDocument/2006/relationships/hyperlink" Target="../../../../../../../../Users/ishan/Downloads/INDIAN%20REITS/Nexus/NXST-Condensed-Consolidated-FS-March-2024.pdf" TargetMode="External" Id="rId45"/><Relationship Type="http://schemas.openxmlformats.org/officeDocument/2006/relationships/hyperlink" Target="../../../../../../../../Users/ishan/Downloads/INDIAN%20REITS/Nexus/NXST-Consolidated-Financial-Results-Q4-FY26.pdf" TargetMode="External" Id="rId46"/><Relationship Type="http://schemas.openxmlformats.org/officeDocument/2006/relationships/hyperlink" Target="../../../../../../../../Users/ishan/Downloads/INDIAN%20REITS/Nexus/NXST-Consolidated-Financial-Results-Q4-FY26.pdf" TargetMode="External" Id="rId47"/><Relationship Type="http://schemas.openxmlformats.org/officeDocument/2006/relationships/hyperlink" Target="../../../../../../../../Users/ishan/Downloads/INDIAN%20REITS/Nexus/NXST-Condensed-Consolidated-FS-March-2024.pdf" TargetMode="External" Id="rId48"/><Relationship Type="http://schemas.openxmlformats.org/officeDocument/2006/relationships/hyperlink" Target="../../../../../../../../Users/ishan/Downloads/INDIAN%20REITS/Nexus/NXST-Consolidated-Financial-Results-Q4-FY26.pdf" TargetMode="External" Id="rId49"/><Relationship Type="http://schemas.openxmlformats.org/officeDocument/2006/relationships/hyperlink" Target="../../../../../../../../Users/ishan/Downloads/INDIAN%20REITS/Nexus/NXST-Consolidated-Financial-Results-Q4-FY26.pdf" TargetMode="External" Id="rId50"/><Relationship Type="http://schemas.openxmlformats.org/officeDocument/2006/relationships/hyperlink" Target="../../../../../../../../Users/ishan/Downloads/INDIAN%20REITS/Nexus/NXST-Condensed-Consolidated-FS-March-2024.pdf" TargetMode="External" Id="rId51"/><Relationship Type="http://schemas.openxmlformats.org/officeDocument/2006/relationships/hyperlink" Target="../../../../../../../../Users/ishan/Downloads/INDIAN%20REITS/Nexus/NXST-Consolidated-Financial-Results-Q4-FY26.pdf" TargetMode="External" Id="rId52"/><Relationship Type="http://schemas.openxmlformats.org/officeDocument/2006/relationships/hyperlink" Target="../../../../../../../../Users/ishan/Downloads/INDIAN%20REITS/Nexus/NXST-Consolidated-Financial-Results-Q4-FY26.pdf" TargetMode="External" Id="rId53"/><Relationship Type="http://schemas.openxmlformats.org/officeDocument/2006/relationships/hyperlink" Target="../../../../../../../../Users/ishan/Downloads/INDIAN%20REITS/Nexus/NXST-Condensed-Consolidated-FS-March-2024.pdf" TargetMode="External" Id="rId54"/><Relationship Type="http://schemas.openxmlformats.org/officeDocument/2006/relationships/hyperlink" Target="../../../../../../../../Users/ishan/Downloads/INDIAN%20REITS/Nexus/Condensed-Consolidated-Financial-Statements-FY25-Q4.pdf" TargetMode="External" Id="rId55"/><Relationship Type="http://schemas.openxmlformats.org/officeDocument/2006/relationships/hyperlink" Target="../../../../../../../../Users/ishan/Downloads/INDIAN%20REITS/Nexus/Detailed-Valuation-Report-Q4-FY26.pdf" TargetMode="External" Id="rId56"/><Relationship Type="http://schemas.openxmlformats.org/officeDocument/2006/relationships/hyperlink" Target="../../../../../../../../Users/ishan/Downloads/INDIAN%20REITS/Nexus/NXST-Condensed-Consolidated-FS-March-2024.pdf" TargetMode="External" Id="rId57"/><Relationship Type="http://schemas.openxmlformats.org/officeDocument/2006/relationships/hyperlink" Target="../../../../../../../../Users/ishan/Downloads/INDIAN%20REITS/Nexus/NXST-Consolidated-Financial-Results-Q4-FY26.pdf" TargetMode="External" Id="rId58"/><Relationship Type="http://schemas.openxmlformats.org/officeDocument/2006/relationships/hyperlink" Target="../../../../../../../../Users/ishan/Downloads/INDIAN%20REITS/Nexus/NXST-Consolidated-Financial-Results-Q4-FY26.pdf" TargetMode="External" Id="rId59"/><Relationship Type="http://schemas.openxmlformats.org/officeDocument/2006/relationships/hyperlink" Target="../../../../../../../../Users/ishan/Downloads/INDIAN%20REITS/Nexus/NXST-Condensed-Standalone-FS-March-2024.pdf" TargetMode="External" Id="rId60"/><Relationship Type="http://schemas.openxmlformats.org/officeDocument/2006/relationships/hyperlink" Target="../../../../../../../../Users/ishan/Downloads/INDIAN%20REITS/Nexus/NXST-Standalone-Financial-Results-Q4-FY26.pdf" TargetMode="External" Id="rId61"/><Relationship Type="http://schemas.openxmlformats.org/officeDocument/2006/relationships/hyperlink" Target="../../../../../../../../Users/ishan/Downloads/INDIAN%20REITS/Nexus/NXST-Standalone-Financial-Results-Q4-FY26.pdf" TargetMode="External" Id="rId62"/><Relationship Type="http://schemas.openxmlformats.org/officeDocument/2006/relationships/hyperlink" Target="../../../../../../../../Users/ishan/Downloads/INDIAN%20REITS/Nexus/NXST-Condensed-Consolidated-FS-March-2024.pdf" TargetMode="External" Id="rId63"/><Relationship Type="http://schemas.openxmlformats.org/officeDocument/2006/relationships/hyperlink" Target="../../../../../../../../Users/ishan/Downloads/INDIAN%20REITS/Nexus/NXST-Consolidated-Financial-Results-Q4-FY26.pdf" TargetMode="External" Id="rId64"/><Relationship Type="http://schemas.openxmlformats.org/officeDocument/2006/relationships/hyperlink" Target="../../../../../../../../Users/ishan/Downloads/INDIAN%20REITS/Nexus/NXST-Consolidated-Financial-Results-Q4-FY26.pdf" TargetMode="External" Id="rId65"/><Relationship Type="http://schemas.openxmlformats.org/officeDocument/2006/relationships/hyperlink" Target="../../../../../../../../Users/ishan/Downloads/INDIAN%20REITS/Nexus/NXST-Condensed-Standalone-FS-March-2024.pdf" TargetMode="External" Id="rId66"/><Relationship Type="http://schemas.openxmlformats.org/officeDocument/2006/relationships/hyperlink" Target="../../../../../../../../Users/ishan/Downloads/INDIAN%20REITS/Nexus/NXST-Standalone-Financial-Results-Q4-FY26.pdf" TargetMode="External" Id="rId67"/><Relationship Type="http://schemas.openxmlformats.org/officeDocument/2006/relationships/hyperlink" Target="../../../../../../../../Users/ishan/Downloads/INDIAN%20REITS/Nexus/NXST-Standalone-Financial-Results-Q4-FY26.pdf" TargetMode="External" Id="rId68"/><Relationship Type="http://schemas.openxmlformats.org/officeDocument/2006/relationships/hyperlink" Target="../../../../../../../../Users/ishan/Downloads/INDIAN%20REITS/Nexus/NXST-Condensed-Consolidated-FS-March-2024.pdf" TargetMode="External" Id="rId69"/><Relationship Type="http://schemas.openxmlformats.org/officeDocument/2006/relationships/hyperlink" Target="../../../../../../../../Users/ishan/Downloads/INDIAN%20REITS/Nexus/NXST-Consolidated-Financial-Results-Q4-FY26.pdf" TargetMode="External" Id="rId70"/><Relationship Type="http://schemas.openxmlformats.org/officeDocument/2006/relationships/hyperlink" Target="../../../../../../../../Users/ishan/Downloads/INDIAN%20REITS/Nexus/NXST-Consolidated-Financial-Results-Q4-FY26.pdf" TargetMode="External" Id="rId71"/><Relationship Type="http://schemas.openxmlformats.org/officeDocument/2006/relationships/hyperlink" Target="../../../../../../../../Users/ishan/Downloads/INDIAN%20REITS/Nexus/NXST-Condensed-Standalone-FS-March-2024.pdf" TargetMode="External" Id="rId72"/><Relationship Type="http://schemas.openxmlformats.org/officeDocument/2006/relationships/hyperlink" Target="../../../../../../../../Users/ishan/Downloads/INDIAN%20REITS/Nexus/NXST-Standalone-Financial-Results-Q4-FY26.pdf" TargetMode="External" Id="rId73"/><Relationship Type="http://schemas.openxmlformats.org/officeDocument/2006/relationships/hyperlink" Target="../../../../../../../../Users/ishan/Downloads/INDIAN%20REITS/Nexus/NXST-Standalone-Financial-Results-Q4-FY26.pdf" TargetMode="External" Id="rId74"/><Relationship Type="http://schemas.openxmlformats.org/officeDocument/2006/relationships/hyperlink" Target="../../../../../../../../Users/ishan/Downloads/INDIAN%20REITS/Nexus/NXST-Condensed-Consolidated-FS-March-2024.pdf" TargetMode="External" Id="rId75"/><Relationship Type="http://schemas.openxmlformats.org/officeDocument/2006/relationships/hyperlink" Target="../../../../../../../../Users/ishan/Downloads/INDIAN%20REITS/Nexus/NXST-Consolidated-Financial-Results-Q4-FY26.pdf" TargetMode="External" Id="rId76"/><Relationship Type="http://schemas.openxmlformats.org/officeDocument/2006/relationships/hyperlink" Target="../../../../../../../../Users/ishan/Downloads/INDIAN%20REITS/Nexus/NXST-Consolidated-Financial-Results-Q4-FY26.pdf" TargetMode="External" Id="rId77"/><Relationship Type="http://schemas.openxmlformats.org/officeDocument/2006/relationships/hyperlink" Target="../../../../../../../../Users/ishan/Downloads/INDIAN%20REITS/Nexus/NXST-Condensed-Consolidated-FS-March-2024.pdf" TargetMode="External" Id="rId78"/><Relationship Type="http://schemas.openxmlformats.org/officeDocument/2006/relationships/hyperlink" Target="../../../../../../../../Users/ishan/Downloads/INDIAN%20REITS/Nexus/NXST-Consolidated-Financial-Results-Q4-FY26.pdf" TargetMode="External" Id="rId79"/><Relationship Type="http://schemas.openxmlformats.org/officeDocument/2006/relationships/hyperlink" Target="../../../../../../../../Users/ishan/Downloads/INDIAN%20REITS/Nexus/NXST-Consolidated-Financial-Results-Q4-FY26.pdf" TargetMode="External" Id="rId80"/><Relationship Type="http://schemas.openxmlformats.org/officeDocument/2006/relationships/hyperlink" Target="../../../../../../../../Users/ishan/Downloads/INDIAN%20REITS/REIT_Tableau_Ready_1.xlsx" TargetMode="External" Id="rId81"/><Relationship Type="http://schemas.openxmlformats.org/officeDocument/2006/relationships/hyperlink" Target="../../../../../../../../Users/ishan/Downloads/INDIAN%20REITS/REIT_Tableau_Ready_1.xlsx" TargetMode="External" Id="rId82"/><Relationship Type="http://schemas.openxmlformats.org/officeDocument/2006/relationships/hyperlink" Target="../../../../../../../../Users/ishan/Downloads/INDIAN%20REITS/REIT_Tableau_Ready_1.xlsx" TargetMode="External" Id="rId83"/><Relationship Type="http://schemas.openxmlformats.org/officeDocument/2006/relationships/hyperlink" Target="../../../../../../../../Users/ishan/Downloads/INDIAN%20REITS/Nexus/Earnings-Update-Q4-FY24-2.pdf" TargetMode="External" Id="rId84"/><Relationship Type="http://schemas.openxmlformats.org/officeDocument/2006/relationships/hyperlink" Target="../../../../../../../../Users/ishan/Downloads/INDIAN%20REITS/Nexus/Earning-Call-Transcript_Q4-FY25_vf.pdf" TargetMode="External" Id="rId85"/><Relationship Type="http://schemas.openxmlformats.org/officeDocument/2006/relationships/hyperlink" Target="../../../../../../../../Users/ishan/Downloads/INDIAN%20REITS/Nexus/Half-Yearly-Report-FY-2026.pdf" TargetMode="External" Id="rId86"/><Relationship Type="http://schemas.openxmlformats.org/officeDocument/2006/relationships/hyperlink" Target="../../../../../../../../Users/ishan/Downloads/INDIAN%20REITS/Nexus/Earnings-Update-Q4-FY24-2.pdf" TargetMode="External" Id="rId87"/><Relationship Type="http://schemas.openxmlformats.org/officeDocument/2006/relationships/hyperlink" Target="../../../../../../../../Users/ishan/Downloads/INDIAN%20REITS/Nexus/Earning-Call-Transcript_Q4-FY25_vf.pdf" TargetMode="External" Id="rId88"/><Relationship Type="http://schemas.openxmlformats.org/officeDocument/2006/relationships/hyperlink" Target="../../../../../../../../Users/ishan/Downloads/INDIAN%20REITS/Nexus/Half-Yearly-Report-FY-2026.pdf" TargetMode="External" Id="rId89"/><Relationship Type="http://schemas.openxmlformats.org/officeDocument/2006/relationships/hyperlink" Target="../../../../../../../../Users/ishan/Downloads/INDIAN%20REITS/Nexus/Earnings-Update-Q4-FY24-2.pdf" TargetMode="External" Id="rId90"/><Relationship Type="http://schemas.openxmlformats.org/officeDocument/2006/relationships/hyperlink" Target="../../../../../../../../Users/ishan/Downloads/INDIAN%20REITS/Nexus/Earning-Call-Transcript_Q4-FY25_vf.pdf" TargetMode="External" Id="rId91"/><Relationship Type="http://schemas.openxmlformats.org/officeDocument/2006/relationships/hyperlink" Target="../../../../../../../../Users/ishan/Downloads/INDIAN%20REITS/Nexus/Detailed-Valuation-Report-Q4-FY26.pdf" TargetMode="External" Id="rId92"/><Relationship Type="http://schemas.openxmlformats.org/officeDocument/2006/relationships/hyperlink" Target="../../../../../../../../Users/ishan/Downloads/INDIAN%20REITS/Nexus/Earnings-Update-Q4-FY24-2.pdf" TargetMode="External" Id="rId93"/><Relationship Type="http://schemas.openxmlformats.org/officeDocument/2006/relationships/hyperlink" Target="../../../../../../../../Users/ishan/Downloads/INDIAN%20REITS/Nexus/Earning-Call-Transcript_Q4-FY25_vf.pdf" TargetMode="External" Id="rId94"/><Relationship Type="http://schemas.openxmlformats.org/officeDocument/2006/relationships/hyperlink" Target="../../../../../../../../Users/ishan/Downloads/INDIAN%20REITS/Nexus/Half-Yearly-Report-FY-2026.pdf" TargetMode="External" Id="rId95"/><Relationship Type="http://schemas.openxmlformats.org/officeDocument/2006/relationships/hyperlink" Target="../../../../../../../../Users/ishan/Downloads/INDIAN%20REITS/Nexus/Earnings-Update-Q4-FY24-2.pdf" TargetMode="External" Id="rId96"/><Relationship Type="http://schemas.openxmlformats.org/officeDocument/2006/relationships/hyperlink" Target="../../../../../../../../Users/ishan/Downloads/INDIAN%20REITS/Nexus/Earning-Call-Transcript_Q4-FY25_vf.pdf" TargetMode="External" Id="rId97"/><Relationship Type="http://schemas.openxmlformats.org/officeDocument/2006/relationships/hyperlink" Target="../../../../../../../../Users/ishan/Downloads/INDIAN%20REITS/Nexus/Half-Yearly-Report-FY-2026.pdf" TargetMode="External" Id="rId98"/><Relationship Type="http://schemas.openxmlformats.org/officeDocument/2006/relationships/hyperlink" Target="../../../../../../../../Users/ishan/Downloads/INDIAN%20REITS/Nexus/Earnings-Update-Q4-FY24-2.pdf" TargetMode="External" Id="rId99"/><Relationship Type="http://schemas.openxmlformats.org/officeDocument/2006/relationships/hyperlink" Target="../../../../../../../../Users/ishan/Downloads/INDIAN%20REITS/Nexus/Earning-Call-Transcript_Q4-FY25_vf.pdf" TargetMode="External" Id="rId100"/><Relationship Type="http://schemas.openxmlformats.org/officeDocument/2006/relationships/hyperlink" Target="../../../../../../../../Users/ishan/Downloads/INDIAN%20REITS/Nexus/Half-Yearly-Report-FY-2026.pdf" TargetMode="External" Id="rId101"/><Relationship Type="http://schemas.openxmlformats.org/officeDocument/2006/relationships/hyperlink" Target="../../../../../../../../Users/ishan/Downloads/INDIAN%20REITS/Nexus/Earnings-Update-Q4-FY24-2.pdf" TargetMode="External" Id="rId102"/><Relationship Type="http://schemas.openxmlformats.org/officeDocument/2006/relationships/hyperlink" Target="../../../../../../../../Users/ishan/Downloads/INDIAN%20REITS/Nexus/Earning-Call-Transcript_Q4-FY25_vf.pdf" TargetMode="External" Id="rId103"/><Relationship Type="http://schemas.openxmlformats.org/officeDocument/2006/relationships/hyperlink" Target="../../../../../../../../Users/ishan/Downloads/INDIAN%20REITS/Nexus/Half-Yearly-Report-FY-2026.pdf" TargetMode="External" Id="rId104"/><Relationship Type="http://schemas.openxmlformats.org/officeDocument/2006/relationships/hyperlink" Target="../../../../../../../../Users/ishan/Downloads/INDIAN%20REITS/Nexus/Earnings-Update-Q4-FY24-2.pdf" TargetMode="External" Id="rId105"/><Relationship Type="http://schemas.openxmlformats.org/officeDocument/2006/relationships/hyperlink" Target="../../../../../../../../Users/ishan/Downloads/INDIAN%20REITS/Nexus/Earning-Call-Transcript_Q4-FY25_vf.pdf" TargetMode="External" Id="rId106"/><Relationship Type="http://schemas.openxmlformats.org/officeDocument/2006/relationships/hyperlink" Target="../../../../../../../../Users/ishan/Downloads/INDIAN%20REITS/Nexus/NXST-Condensed-Consolidated-FS-March-2024.pdf" TargetMode="External" Id="rId107"/><Relationship Type="http://schemas.openxmlformats.org/officeDocument/2006/relationships/hyperlink" Target="../../../../../../../../Users/ishan/Downloads/INDIAN%20REITS/Nexus/NXST-Consolidated-Financial-Results-Q4-FY26.pdf" TargetMode="External" Id="rId108"/><Relationship Type="http://schemas.openxmlformats.org/officeDocument/2006/relationships/hyperlink" Target="../../../../../../../../Users/ishan/Downloads/INDIAN%20REITS/Nexus/NXST-Consolidated-Financial-Results-Q4-FY26.pdf" TargetMode="External" Id="rId109"/><Relationship Type="http://schemas.openxmlformats.org/officeDocument/2006/relationships/hyperlink" Target="../../../../../../../../Users/ishan/Downloads/INDIAN%20REITS/Nexus/NXST-Condensed-Standalone-FS-March-2024.pdf" TargetMode="External" Id="rId110"/><Relationship Type="http://schemas.openxmlformats.org/officeDocument/2006/relationships/hyperlink" Target="../../../../../../../../Users/ishan/Downloads/INDIAN%20REITS/Nexus/Condensed-Standalone-Financial-Statements-FY25-Q4.pdf" TargetMode="External" Id="rId111"/><Relationship Type="http://schemas.openxmlformats.org/officeDocument/2006/relationships/hyperlink" Target="../../../../../../../../Users/ishan/Downloads/INDIAN%20REITS/Nexus/NXST-Standalone-Financial-Results-Q4-FY26.pdf" TargetMode="External" Id="rId112"/><Relationship Type="http://schemas.openxmlformats.org/officeDocument/2006/relationships/hyperlink" Target="../../../../../../../../Users/ishan/Downloads/INDIAN%20REITS/Nexus/Earnings-Update-Q4-FY24-2.pdf" TargetMode="External" Id="rId113"/><Relationship Type="http://schemas.openxmlformats.org/officeDocument/2006/relationships/hyperlink" Target="../../../../../../../../Users/ishan/Downloads/INDIAN%20REITS/Nexus/Earning-Call-Transcript_Q4-FY25_vf.pdf" TargetMode="External" Id="rId114"/><Relationship Type="http://schemas.openxmlformats.org/officeDocument/2006/relationships/hyperlink" Target="../../../../../../../../Users/ishan/Downloads/INDIAN%20REITS/Nexus/Half-Yearly-Report-FY-2026.pdf" TargetMode="External" Id="rId115"/><Relationship Type="http://schemas.openxmlformats.org/officeDocument/2006/relationships/drawing" Target="/xl/drawings/drawing4.xml" Id="rId116"/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../../../../../../../../Users/ishan/Downloads/INDIAN%20REITS/KRT/Q4_FY26_Consolidated_Financial_Results.pdf" TargetMode="External" Id="rId1"/><Relationship Type="http://schemas.openxmlformats.org/officeDocument/2006/relationships/hyperlink" Target="../../../../../../../../Users/ishan/Downloads/INDIAN%20REITS/KRT/Q4_FY26_Consolidated_Financial_Results.pdf" TargetMode="External" Id="rId2"/><Relationship Type="http://schemas.openxmlformats.org/officeDocument/2006/relationships/hyperlink" Target="../../../../../../../../Users/ishan/Downloads/INDIAN%20REITS/KRT/Q4_FY26_Consolidated_Financial_Results.pdf" TargetMode="External" Id="rId3"/><Relationship Type="http://schemas.openxmlformats.org/officeDocument/2006/relationships/hyperlink" Target="../../../../../../../../Users/ishan/Downloads/INDIAN%20REITS/KRT/Q4_FY26_Standalone_Financial_Results.pdf" TargetMode="External" Id="rId4"/><Relationship Type="http://schemas.openxmlformats.org/officeDocument/2006/relationships/hyperlink" Target="../../../../../../../../Users/ishan/Downloads/INDIAN%20REITS/KRT/Q4_FY26_Consolidated_Financial_Results.pdf" TargetMode="External" Id="rId5"/><Relationship Type="http://schemas.openxmlformats.org/officeDocument/2006/relationships/hyperlink" Target="../../../../../../../../Users/ishan/Downloads/INDIAN%20REITS/KRT/Q4_FY26_Consolidated_Financial_Results.pdf" TargetMode="External" Id="rId6"/><Relationship Type="http://schemas.openxmlformats.org/officeDocument/2006/relationships/hyperlink" Target="../../../../../../../../Users/ishan/Downloads/INDIAN%20REITS/KRT/Q4_FY26_Consolidated_Financial_Results.pdf" TargetMode="External" Id="rId7"/><Relationship Type="http://schemas.openxmlformats.org/officeDocument/2006/relationships/hyperlink" Target="../../../../../../../../Users/ishan/Downloads/INDIAN%20REITS/KRT/Q4_FY26_Standalone_Financial_Results.pdf" TargetMode="External" Id="rId8"/><Relationship Type="http://schemas.openxmlformats.org/officeDocument/2006/relationships/hyperlink" Target="../../../../../../../../Users/ishan/Downloads/INDIAN%20REITS/KRT/Q4_FY26_Consolidated_Financial_Results.pdf" TargetMode="External" Id="rId9"/><Relationship Type="http://schemas.openxmlformats.org/officeDocument/2006/relationships/hyperlink" Target="../../../../../../../../Users/ishan/Downloads/INDIAN%20REITS/KRT/Q4_FY26_Standalone_Financial_Results.pdf" TargetMode="External" Id="rId10"/><Relationship Type="http://schemas.openxmlformats.org/officeDocument/2006/relationships/hyperlink" Target="../../../../../../../../Users/ishan/Downloads/INDIAN%20REITS/KRT/Q4_FY26_Consolidated_Financial_Results.pdf" TargetMode="External" Id="rId11"/><Relationship Type="http://schemas.openxmlformats.org/officeDocument/2006/relationships/hyperlink" Target="../../../../../../../../Users/ishan/Downloads/INDIAN%20REITS/KRT/Q4_FY26_Standalone_Financial_Results.pdf" TargetMode="External" Id="rId12"/><Relationship Type="http://schemas.openxmlformats.org/officeDocument/2006/relationships/hyperlink" Target="../../../../../../../../Users/ishan/Downloads/INDIAN%20REITS/KRT/Q4_FY26_Consolidated_Financial_Results.pdf" TargetMode="External" Id="rId13"/><Relationship Type="http://schemas.openxmlformats.org/officeDocument/2006/relationships/hyperlink" Target="../../../../../../../../Users/ishan/Downloads/INDIAN%20REITS/KRT/Q4_FY26_Standalone_Financial_Results.pdf" TargetMode="External" Id="rId14"/><Relationship Type="http://schemas.openxmlformats.org/officeDocument/2006/relationships/hyperlink" Target="../../../../../../../../Users/ishan/Downloads/INDIAN%20REITS/KRT/Q4_FY26_Consolidated_Financial_Results.pdf" TargetMode="External" Id="rId15"/><Relationship Type="http://schemas.openxmlformats.org/officeDocument/2006/relationships/hyperlink" Target="../../../../../../../../Users/ishan/Downloads/INDIAN%20REITS/KRT/Q4_FY26_Standalone_Financial_Results.pdf" TargetMode="External" Id="rId16"/><Relationship Type="http://schemas.openxmlformats.org/officeDocument/2006/relationships/hyperlink" Target="../../../../../../../../Users/ishan/Downloads/INDIAN%20REITS/KRT/Q4_FY26_Consolidated_Financial_Results.pdf" TargetMode="External" Id="rId17"/><Relationship Type="http://schemas.openxmlformats.org/officeDocument/2006/relationships/hyperlink" Target="../../../../../../../../Users/ishan/Downloads/INDIAN%20REITS/KRT/Q4_FY26_Consolidated_Financial_Results.pdf" TargetMode="External" Id="rId18"/><Relationship Type="http://schemas.openxmlformats.org/officeDocument/2006/relationships/hyperlink" Target="../../../../../../../../Users/ishan/Downloads/INDIAN%20REITS/KRT/Q4_FY26_Consolidated_Financial_Results.pdf" TargetMode="External" Id="rId19"/><Relationship Type="http://schemas.openxmlformats.org/officeDocument/2006/relationships/hyperlink" Target="../../../../../../../../Users/ishan/Downloads/INDIAN%20REITS/KRT/Q4_March_2026_Detailed_Valuation_Report.pdf" TargetMode="External" Id="rId20"/><Relationship Type="http://schemas.openxmlformats.org/officeDocument/2006/relationships/hyperlink" Target="../../../../../../../../Users/ishan/Downloads/INDIAN%20REITS/KRT/Q4_FY26_Consolidated_Financial_Results.pdf" TargetMode="External" Id="rId21"/><Relationship Type="http://schemas.openxmlformats.org/officeDocument/2006/relationships/hyperlink" Target="../../../../../../../../Users/ishan/Downloads/INDIAN%20REITS/KRT/Q4_FY26_Standalone_Financial_Results.pdf" TargetMode="External" Id="rId22"/><Relationship Type="http://schemas.openxmlformats.org/officeDocument/2006/relationships/hyperlink" Target="../../../../../../../../Users/ishan/Downloads/INDIAN%20REITS/KRT/Q4_FY26_Consolidated_Financial_Results.pdf" TargetMode="External" Id="rId23"/><Relationship Type="http://schemas.openxmlformats.org/officeDocument/2006/relationships/hyperlink" Target="../../../../../../../../Users/ishan/Downloads/INDIAN%20REITS/KRT/Q4_FY26_Standalone_Financial_Results.pdf" TargetMode="External" Id="rId24"/><Relationship Type="http://schemas.openxmlformats.org/officeDocument/2006/relationships/hyperlink" Target="../../../../../../../../Users/ishan/Downloads/INDIAN%20REITS/KRT/Q4_FY26_Consolidated_Financial_Results.pdf" TargetMode="External" Id="rId25"/><Relationship Type="http://schemas.openxmlformats.org/officeDocument/2006/relationships/hyperlink" Target="../../../../../../../../Users/ishan/Downloads/INDIAN%20REITS/KRT/Q4_FY26_Standalone_Financial_Results.pdf" TargetMode="External" Id="rId26"/><Relationship Type="http://schemas.openxmlformats.org/officeDocument/2006/relationships/hyperlink" Target="../../../../../../../../Users/ishan/Downloads/INDIAN%20REITS/KRT/Q4_FY26_Consolidated_Financial_Results.pdf" TargetMode="External" Id="rId27"/><Relationship Type="http://schemas.openxmlformats.org/officeDocument/2006/relationships/hyperlink" Target="../../../../../../../../Users/ishan/Downloads/INDIAN%20REITS/KRT/Q4_FY26_Consolidated_Financial_Results.pdf" TargetMode="External" Id="rId28"/><Relationship Type="http://schemas.openxmlformats.org/officeDocument/2006/relationships/hyperlink" Target="../../../../../../../../Users/ishan/Downloads/INDIAN%20REITS/REIT_Tableau_Ready_1.xlsx" TargetMode="External" Id="rId29"/><Relationship Type="http://schemas.openxmlformats.org/officeDocument/2006/relationships/hyperlink" Target="../../../../../../../../Users/ishan/Downloads/INDIAN%20REITS/KRT/KRT-AnnualReport-FY2025-26.pdf" TargetMode="External" Id="rId30"/><Relationship Type="http://schemas.openxmlformats.org/officeDocument/2006/relationships/hyperlink" Target="../../../../../../../../Users/ishan/Downloads/INDIAN%20REITS/KRT/KRT-AnnualReport-FY2025-26.pdf" TargetMode="External" Id="rId31"/><Relationship Type="http://schemas.openxmlformats.org/officeDocument/2006/relationships/hyperlink" Target="../../../../../../../../Users/ishan/Downloads/INDIAN%20REITS/KRT/KRT-AnnualReport-FY2025-26.pdf" TargetMode="External" Id="rId32"/><Relationship Type="http://schemas.openxmlformats.org/officeDocument/2006/relationships/hyperlink" Target="../../../../../../../../Users/ishan/Downloads/INDIAN%20REITS/KRT/KRT-AnnualReport-FY2025-26.pdf" TargetMode="External" Id="rId33"/><Relationship Type="http://schemas.openxmlformats.org/officeDocument/2006/relationships/hyperlink" Target="../../../../../../../../Users/ishan/Downloads/INDIAN%20REITS/KRT/KRT-AnnualReport-FY2025-26.pdf" TargetMode="External" Id="rId34"/><Relationship Type="http://schemas.openxmlformats.org/officeDocument/2006/relationships/hyperlink" Target="../../../../../../../../Users/ishan/Downloads/INDIAN%20REITS/KRT/KRT-AnnualReport-FY2025-26.pdf" TargetMode="External" Id="rId35"/><Relationship Type="http://schemas.openxmlformats.org/officeDocument/2006/relationships/hyperlink" Target="../../../../../../../../Users/ishan/Downloads/INDIAN%20REITS/KRT/KRT-AnnualReport-FY2025-26.pdf" TargetMode="External" Id="rId36"/><Relationship Type="http://schemas.openxmlformats.org/officeDocument/2006/relationships/hyperlink" Target="../../../../../../../../Users/ishan/Downloads/INDIAN%20REITS/KRT/KRT-AnnualReport-FY2025-26.pdf" TargetMode="External" Id="rId37"/><Relationship Type="http://schemas.openxmlformats.org/officeDocument/2006/relationships/hyperlink" Target="../../../../../../../../Users/ishan/Downloads/INDIAN%20REITS/KRT/Q4_FY26_Earnings_Update.pdf" TargetMode="External" Id="rId38"/><Relationship Type="http://schemas.openxmlformats.org/officeDocument/2006/relationships/hyperlink" Target="../../../../../../../../Users/ishan/Downloads/INDIAN%20REITS/KRT/Q4_FY26_Standalone_Financial_Results.pdf" TargetMode="External" Id="rId39"/><Relationship Type="http://schemas.openxmlformats.org/officeDocument/2006/relationships/hyperlink" Target="../../../../../../../../Users/ishan/Downloads/INDIAN%20REITS/KRT/Q4_FY26_Earnings_Update.pdf" TargetMode="External" Id="rId40"/><Relationship Type="http://schemas.openxmlformats.org/officeDocument/2006/relationships/hyperlink" Target="../../../../../../../../Users/ishan/Downloads/INDIAN%20REITS/KRT/Q4_FY26_Earnings_Update.pdf" TargetMode="External" Id="rId41"/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hyperlink" Target="../../../../../../../../Users/ishan/Downloads/INDIAN%20REITS/Bagmane/Final_Offer_Document%20%28RHP%29.pdf" TargetMode="External" Id="rId1"/><Relationship Type="http://schemas.openxmlformats.org/officeDocument/2006/relationships/hyperlink" Target="../../../../../../../../Users/ishan/Downloads/INDIAN%20REITS/Bagmane/Final_Offer_Document%20%28RHP%29.pdf" TargetMode="External" Id="rId2"/><Relationship Type="http://schemas.openxmlformats.org/officeDocument/2006/relationships/hyperlink" Target="../../../../../../../../Users/ishan/Downloads/INDIAN%20REITS/Bagmane/Final_Offer_Document%20%28RHP%29.pdf" TargetMode="External" Id="rId3"/><Relationship Type="http://schemas.openxmlformats.org/officeDocument/2006/relationships/hyperlink" Target="../../../../../../../../Users/ishan/Downloads/INDIAN%20REITS/Bagmane/bagmane_prime_office_reit_-_financial_statements.pdf" TargetMode="External" Id="rId4"/><Relationship Type="http://schemas.openxmlformats.org/officeDocument/2006/relationships/hyperlink" Target="../../../../../../../../Users/ishan/Downloads/INDIAN%20REITS/Bagmane/Final_Offer_Document%20%28RHP%29.pdf" TargetMode="External" Id="rId5"/><Relationship Type="http://schemas.openxmlformats.org/officeDocument/2006/relationships/hyperlink" Target="../../../../../../../../Users/ishan/Downloads/INDIAN%20REITS/Bagmane/Final_Offer_Document%20%28RHP%29.pdf" TargetMode="External" Id="rId6"/><Relationship Type="http://schemas.openxmlformats.org/officeDocument/2006/relationships/hyperlink" Target="../../../../../../../../Users/ishan/Downloads/INDIAN%20REITS/Bagmane/Final_Offer_Document%20%28RHP%29.pdf" TargetMode="External" Id="rId7"/><Relationship Type="http://schemas.openxmlformats.org/officeDocument/2006/relationships/hyperlink" Target="../../../../../../../../Users/ishan/Downloads/INDIAN%20REITS/Bagmane/bagmane_prime_office_reit_-_financial_statements.pdf" TargetMode="External" Id="rId8"/><Relationship Type="http://schemas.openxmlformats.org/officeDocument/2006/relationships/hyperlink" Target="../../../../../../../../Users/ishan/Downloads/INDIAN%20REITS/Bagmane/Final_Offer_Document%20%28RHP%29.pdf" TargetMode="External" Id="rId9"/><Relationship Type="http://schemas.openxmlformats.org/officeDocument/2006/relationships/hyperlink" Target="../../../../../../../../Users/ishan/Downloads/INDIAN%20REITS/Bagmane/Final_Offer_Document%20%28RHP%29.pdf" TargetMode="External" Id="rId10"/><Relationship Type="http://schemas.openxmlformats.org/officeDocument/2006/relationships/hyperlink" Target="../../../../../../../../Users/ishan/Downloads/INDIAN%20REITS/Bagmane/Final_Offer_Document%20%28RHP%29.pdf" TargetMode="External" Id="rId11"/><Relationship Type="http://schemas.openxmlformats.org/officeDocument/2006/relationships/hyperlink" Target="../../../../../../../../Users/ishan/Downloads/INDIAN%20REITS/Bagmane/Final_Offer_Document%20%28RHP%29.pdf" TargetMode="External" Id="rId12"/><Relationship Type="http://schemas.openxmlformats.org/officeDocument/2006/relationships/hyperlink" Target="../../../../../../../../Users/ishan/Downloads/INDIAN%20REITS/Bagmane/Final_Offer_Document%20%28RHP%29.pdf" TargetMode="External" Id="rId13"/><Relationship Type="http://schemas.openxmlformats.org/officeDocument/2006/relationships/hyperlink" Target="../../../../../../../../Users/ishan/Downloads/INDIAN%20REITS/Bagmane/Final_Offer_Document%20%28RHP%29.pdf" TargetMode="External" Id="rId14"/><Relationship Type="http://schemas.openxmlformats.org/officeDocument/2006/relationships/hyperlink" Target="../../../../../../../../Users/ishan/Downloads/INDIAN%20REITS/Bagmane/Final_Offer_Document%20%28RHP%29.pdf" TargetMode="External" Id="rId15"/><Relationship Type="http://schemas.openxmlformats.org/officeDocument/2006/relationships/hyperlink" Target="../../../../../../../../Users/ishan/Downloads/INDIAN%20REITS/Bagmane/Final_Offer_Document%20%28RHP%29.pdf" TargetMode="External" Id="rId16"/><Relationship Type="http://schemas.openxmlformats.org/officeDocument/2006/relationships/hyperlink" Target="../../../../../../../../Users/ishan/Downloads/INDIAN%20REITS/Bagmane/Final_Offer_Document%20%28RHP%29.pdf" TargetMode="External" Id="rId17"/><Relationship Type="http://schemas.openxmlformats.org/officeDocument/2006/relationships/hyperlink" Target="../../../../../../../../Users/ishan/Downloads/INDIAN%20REITS/Bagmane/bagmane_prime_office_reit_-_financial_results.pdf" TargetMode="External" Id="rId18"/><Relationship Type="http://schemas.openxmlformats.org/officeDocument/2006/relationships/hyperlink" Target="../../../../../../../../Users/ishan/Downloads/INDIAN%20REITS/Bagmane/Final_Offer_Document%20%28RHP%29.pdf" TargetMode="External" Id="rId19"/><Relationship Type="http://schemas.openxmlformats.org/officeDocument/2006/relationships/hyperlink" Target="../../../../../../../../Users/ishan/Downloads/INDIAN%20REITS/Bagmane/Final_Offer_Document%20%28RHP%29.pdf" TargetMode="External" Id="rId20"/><Relationship Type="http://schemas.openxmlformats.org/officeDocument/2006/relationships/hyperlink" Target="../../../../../../../../Users/ishan/Downloads/INDIAN%20REITS/Bagmane/Final_Offer_Document%20%28RHP%29.pdf" TargetMode="External" Id="rId21"/><Relationship Type="http://schemas.openxmlformats.org/officeDocument/2006/relationships/hyperlink" Target="../../../../../../../../Users/ishan/Downloads/INDIAN%20REITS/Bagmane/bagmane_prime_office_reit_-_financial_statements.pdf" TargetMode="External" Id="rId22"/><Relationship Type="http://schemas.openxmlformats.org/officeDocument/2006/relationships/hyperlink" Target="../../../../../../../../Users/ishan/Downloads/INDIAN%20REITS/Bagmane/Final_Offer_Document%20%28RHP%29.pdf" TargetMode="External" Id="rId23"/><Relationship Type="http://schemas.openxmlformats.org/officeDocument/2006/relationships/hyperlink" Target="../../../../../../../../Users/ishan/Downloads/INDIAN%20REITS/Bagmane/Final_Offer_Document%20%28RHP%29.pdf" TargetMode="External" Id="rId24"/><Relationship Type="http://schemas.openxmlformats.org/officeDocument/2006/relationships/hyperlink" Target="../../../../../../../../Users/ishan/Downloads/INDIAN%20REITS/Bagmane/Final_Offer_Document%20%28RHP%29.pdf" TargetMode="External" Id="rId25"/><Relationship Type="http://schemas.openxmlformats.org/officeDocument/2006/relationships/hyperlink" Target="../../../../../../../../Users/ishan/Downloads/INDIAN%20REITS/Bagmane/bagmane_prime_office_reit_-_financial_statements.pdf" TargetMode="External" Id="rId26"/><Relationship Type="http://schemas.openxmlformats.org/officeDocument/2006/relationships/hyperlink" Target="../../../../../../../../Users/ishan/Downloads/INDIAN%20REITS/Bagmane/Final_Offer_Document%20%28RHP%29.pdf" TargetMode="External" Id="rId27"/><Relationship Type="http://schemas.openxmlformats.org/officeDocument/2006/relationships/hyperlink" Target="../../../../../../../../Users/ishan/Downloads/INDIAN%20REITS/Bagmane/Final_Offer_Document%20%28RHP%29.pdf" TargetMode="External" Id="rId28"/><Relationship Type="http://schemas.openxmlformats.org/officeDocument/2006/relationships/hyperlink" Target="../../../../../../../../Users/ishan/Downloads/INDIAN%20REITS/Bagmane/Final_Offer_Document%20%28RHP%29.pdf" TargetMode="External" Id="rId29"/><Relationship Type="http://schemas.openxmlformats.org/officeDocument/2006/relationships/hyperlink" Target="../../../../../../../../Users/ishan/Downloads/INDIAN%20REITS/Bagmane/bagmane_prime_office_reit_-_financial_statements.pdf" TargetMode="External" Id="rId30"/><Relationship Type="http://schemas.openxmlformats.org/officeDocument/2006/relationships/hyperlink" Target="../../../../../../../../Users/ishan/Downloads/INDIAN%20REITS/Bagmane/Final_Offer_Document%20%28RHP%29.pdf" TargetMode="External" Id="rId31"/><Relationship Type="http://schemas.openxmlformats.org/officeDocument/2006/relationships/hyperlink" Target="../../../../../../../../Users/ishan/Downloads/INDIAN%20REITS/Bagmane/Final_Offer_Document%20%28RHP%29.pdf" TargetMode="External" Id="rId32"/><Relationship Type="http://schemas.openxmlformats.org/officeDocument/2006/relationships/hyperlink" Target="../../../../../../../../Users/ishan/Downloads/INDIAN%20REITS/Bagmane/Final_Offer_Document%20%28RHP%29.pdf" TargetMode="External" Id="rId33"/><Relationship Type="http://schemas.openxmlformats.org/officeDocument/2006/relationships/hyperlink" Target="../../../../../../../../Users/ishan/Downloads/INDIAN%20REITS/Bagmane/Final_Offer_Document%20%28RHP%29.pdf" TargetMode="External" Id="rId34"/><Relationship Type="http://schemas.openxmlformats.org/officeDocument/2006/relationships/hyperlink" Target="../../../../../../../../Users/ishan/Downloads/INDIAN%20REITS/Bagmane/bagmane_prime_office_reit_-_financial_results.pdf" TargetMode="External" Id="rId35"/><Relationship Type="http://schemas.openxmlformats.org/officeDocument/2006/relationships/hyperlink" Target="../../../../../../../../Users/ishan/Downloads/INDIAN%20REITS/Bagmane/Final_Offer_Document%20%28RHP%29.pdf" TargetMode="External" Id="rId36"/><Relationship Type="http://schemas.openxmlformats.org/officeDocument/2006/relationships/hyperlink" Target="../../../../../../../../Users/ishan/Downloads/INDIAN%20REITS/Bagmane/Final_Offer_Document%20%28RHP%29.pdf" TargetMode="External" Id="rId37"/><Relationship Type="http://schemas.openxmlformats.org/officeDocument/2006/relationships/hyperlink" Target="../../../../../../../../Users/ishan/Downloads/INDIAN%20REITS/Bagmane/Final_Offer_Document%20%28RHP%29.pdf" TargetMode="External" Id="rId38"/><Relationship Type="http://schemas.openxmlformats.org/officeDocument/2006/relationships/hyperlink" Target="../../../../../../../../Users/ishan/Downloads/INDIAN%20REITS/Bagmane/bagmane_prime_office_reit_-_financial_statements.pdf" TargetMode="External" Id="rId39"/><Relationship Type="http://schemas.openxmlformats.org/officeDocument/2006/relationships/hyperlink" Target="../../../../../../../../Users/ishan/Downloads/INDIAN%20REITS/Bagmane/Final_Offer_Document%20%28RHP%29.pdf" TargetMode="External" Id="rId40"/><Relationship Type="http://schemas.openxmlformats.org/officeDocument/2006/relationships/hyperlink" Target="../../../../../../../../Users/ishan/Downloads/INDIAN%20REITS/Bagmane/Final_Offer_Document%20%28RHP%29.pdf" TargetMode="External" Id="rId41"/><Relationship Type="http://schemas.openxmlformats.org/officeDocument/2006/relationships/hyperlink" Target="../../../../../../../../Users/ishan/Downloads/INDIAN%20REITS/Bagmane/Final_Offer_Document%20%28RHP%29.pdf" TargetMode="External" Id="rId42"/><Relationship Type="http://schemas.openxmlformats.org/officeDocument/2006/relationships/hyperlink" Target="../../../../../../../../Users/ishan/Downloads/INDIAN%20REITS/Bagmane/bagmane_prime_office_reit_-_financial_statements.pdf" TargetMode="External" Id="rId43"/><Relationship Type="http://schemas.openxmlformats.org/officeDocument/2006/relationships/hyperlink" Target="../../../../../../../../Users/ishan/Downloads/INDIAN%20REITS/Bagmane/Final_Offer_Document%20%28RHP%29.pdf" TargetMode="External" Id="rId44"/><Relationship Type="http://schemas.openxmlformats.org/officeDocument/2006/relationships/hyperlink" Target="../../../../../../../../Users/ishan/Downloads/INDIAN%20REITS/Bagmane/Final_Offer_Document%20%28RHP%29.pdf" TargetMode="External" Id="rId45"/><Relationship Type="http://schemas.openxmlformats.org/officeDocument/2006/relationships/hyperlink" Target="../../../../../../../../Users/ishan/Downloads/INDIAN%20REITS/Bagmane/Final_Offer_Document%20%28RHP%29.pdf" TargetMode="External" Id="rId46"/><Relationship Type="http://schemas.openxmlformats.org/officeDocument/2006/relationships/hyperlink" Target="../../../../../../../../Users/ishan/Downloads/INDIAN%20REITS/Bagmane/Final_Offer_Document%20%28RHP%29.pdf" TargetMode="External" Id="rId47"/><Relationship Type="http://schemas.openxmlformats.org/officeDocument/2006/relationships/hyperlink" Target="../../../../../../../../Users/ishan/Downloads/INDIAN%20REITS/Bagmane/Final_Offer_Document%20%28RHP%29.pdf" TargetMode="External" Id="rId48"/><Relationship Type="http://schemas.openxmlformats.org/officeDocument/2006/relationships/hyperlink" Target="../../../../../../../../Users/ishan/Downloads/INDIAN%20REITS/Bagmane/Final_Offer_Document%20%28RHP%29.pdf" TargetMode="External" Id="rId49"/><Relationship Type="http://schemas.openxmlformats.org/officeDocument/2006/relationships/hyperlink" Target="../../../../../../../../Users/ishan/Downloads/INDIAN%20REITS/Bagmane/Final_Offer_Document%20%28RHP%29.pdf" TargetMode="External" Id="rId50"/><Relationship Type="http://schemas.openxmlformats.org/officeDocument/2006/relationships/hyperlink" Target="../../../../../../../../Users/ishan/Downloads/INDIAN%20REITS/Bagmane/Final_Offer_Document%20%28RHP%29.pdf" TargetMode="External" Id="rId51"/><Relationship Type="http://schemas.openxmlformats.org/officeDocument/2006/relationships/hyperlink" Target="../../../../../../../../Users/ishan/Downloads/INDIAN%20REITS/Bagmane/Final_Offer_Document%20%28RHP%29.pdf" TargetMode="External" Id="rId52"/><Relationship Type="http://schemas.openxmlformats.org/officeDocument/2006/relationships/hyperlink" Target="../../../../../../../../Users/ishan/Downloads/INDIAN%20REITS/Bagmane/Final_Offer_Document%20%28RHP%29.pdf" TargetMode="External" Id="rId53"/><Relationship Type="http://schemas.openxmlformats.org/officeDocument/2006/relationships/hyperlink" Target="../../../../../../../../Users/ishan/Downloads/INDIAN%20REITS/Bagmane/Final_Offer_Document%20%28RHP%29.pdf" TargetMode="External" Id="rId54"/><Relationship Type="http://schemas.openxmlformats.org/officeDocument/2006/relationships/hyperlink" Target="../../../../../../../../Users/ishan/Downloads/INDIAN%20REITS/Bagmane/Final_Offer_Document%20%28RHP%29.pdf" TargetMode="External" Id="rId55"/><Relationship Type="http://schemas.openxmlformats.org/officeDocument/2006/relationships/hyperlink" Target="../../../../../../../../Users/ishan/Downloads/INDIAN%20REITS/Bagmane/Final_Offer_Document%20%28RHP%29.pdf" TargetMode="External" Id="rId56"/><Relationship Type="http://schemas.openxmlformats.org/officeDocument/2006/relationships/hyperlink" Target="../../../../../../../../Users/ishan/Downloads/INDIAN%20REITS/Bagmane/bagmane_prime_office_reit_-_financial_results.pdf" TargetMode="External" Id="rId57"/><Relationship Type="http://schemas.openxmlformats.org/officeDocument/2006/relationships/hyperlink" Target="../../../../../../../../Users/ishan/Downloads/INDIAN%20REITS/Bagmane/Final_Offer_Document%20%28RHP%29.pdf" TargetMode="External" Id="rId58"/><Relationship Type="http://schemas.openxmlformats.org/officeDocument/2006/relationships/hyperlink" Target="../../../../../../../../Users/ishan/Downloads/INDIAN%20REITS/Bagmane/Final_Offer_Document%20%28RHP%29.pdf" TargetMode="External" Id="rId59"/><Relationship Type="http://schemas.openxmlformats.org/officeDocument/2006/relationships/hyperlink" Target="../../../../../../../../Users/ishan/Downloads/INDIAN%20REITS/Bagmane/Final_Offer_Document%20%28RHP%29.pdf" TargetMode="External" Id="rId60"/><Relationship Type="http://schemas.openxmlformats.org/officeDocument/2006/relationships/hyperlink" Target="../../../../../../../../Users/ishan/Downloads/INDIAN%20REITS/Bagmane/Final_Offer_Document%20%28RHP%29.pdf" TargetMode="External" Id="rId61"/><Relationship Type="http://schemas.openxmlformats.org/officeDocument/2006/relationships/hyperlink" Target="../../../../../../../../Users/ishan/Downloads/INDIAN%20REITS/Bagmane/Final_Offer_Document%20%28RHP%29.pdf" TargetMode="External" Id="rId62"/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H22"/>
  <sheetViews>
    <sheetView showFormulas="0" showGridLines="0" showRowColHeaders="1" showZeros="1" rightToLeft="0" tabSelected="0" showOutlineSymbols="1" defaultGridColor="1" view="normal" topLeftCell="A1" colorId="64" zoomScale="65" zoomScaleNormal="65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D3" activeCellId="0" sqref="D3"/>
    </sheetView>
  </sheetViews>
  <sheetFormatPr baseColWidth="8" defaultColWidth="8.43359375" defaultRowHeight="15" customHeight="0" zeroHeight="0" outlineLevelRow="0"/>
  <cols>
    <col width="30" customWidth="1" style="38" min="1" max="1"/>
    <col width="9" customWidth="1" style="38" min="2" max="2"/>
    <col width="14" customWidth="1" style="38" min="3" max="8"/>
  </cols>
  <sheetData>
    <row r="1" ht="15" customHeight="1" s="39">
      <c r="A1" s="40" t="inlineStr">
        <is>
          <t>Indian Listed REITs - Comparison Dashboard</t>
        </is>
      </c>
    </row>
    <row r="2" ht="15" customHeight="1" s="39">
      <c r="A2" s="41" t="inlineStr">
        <is>
          <t>Year:</t>
        </is>
      </c>
      <c r="B2" s="42" t="inlineStr">
        <is>
          <t>FY2026</t>
        </is>
      </c>
      <c r="C2" s="43" t="inlineStr">
        <is>
          <t>Pick any year (FY2019-FY2026). Consolidated basis. Figures pull live from each REIT sheet (INR crore).</t>
        </is>
      </c>
    </row>
    <row r="4" ht="15" customHeight="1" s="39">
      <c r="A4" s="44" t="inlineStr">
        <is>
          <t>Metric</t>
        </is>
      </c>
      <c r="B4" s="45" t="inlineStr">
        <is>
          <t>Unit</t>
        </is>
      </c>
      <c r="C4" s="45" t="inlineStr">
        <is>
          <t>Embassy</t>
        </is>
      </c>
      <c r="D4" s="45" t="inlineStr">
        <is>
          <t>Mindspace</t>
        </is>
      </c>
      <c r="E4" s="45" t="inlineStr">
        <is>
          <t>Brookfield</t>
        </is>
      </c>
      <c r="F4" s="45" t="inlineStr">
        <is>
          <t>Nexus (Retail)</t>
        </is>
      </c>
      <c r="G4" s="45" t="inlineStr">
        <is>
          <t>Knowledge / KRT</t>
        </is>
      </c>
      <c r="H4" s="45" t="inlineStr">
        <is>
          <t>Bagmane*</t>
        </is>
      </c>
    </row>
    <row r="5" ht="15" customHeight="1" s="39">
      <c r="A5" s="46" t="inlineStr">
        <is>
          <t>Revenue from Operations</t>
        </is>
      </c>
      <c r="B5" s="47" t="inlineStr">
        <is>
          <t>INR cr</t>
        </is>
      </c>
      <c r="C5" s="48">
        <f>IFERROR(INDEX(Embassy!$C:$J,9,MATCH($B$2,Embassy!$C$7:$J$7,0)),"")</f>
        <v/>
      </c>
      <c r="D5" s="48">
        <f>IFERROR(INDEX(Mindspace!$C:$J,9,MATCH($B$2,Mindspace!$C$7:$J$7,0)),"")</f>
        <v/>
      </c>
      <c r="E5" s="48">
        <f>IFERROR(INDEX(Brookfield!$C:$J,9,MATCH($B$2,Brookfield!$C$7:$J$7,0)),"")</f>
        <v/>
      </c>
      <c r="F5" s="48">
        <f>IFERROR(INDEX(Nexus!$C:$J,9,MATCH($B$2,Nexus!$C$7:$J$7,0)),"")</f>
        <v/>
      </c>
      <c r="G5" s="48">
        <f>IFERROR(INDEX('Knowledge (KRT)'!$C:$J,9,MATCH($B$2,'Knowledge (KRT)'!$C$7:$J$7,0)),"")</f>
        <v/>
      </c>
      <c r="H5" s="48">
        <f>IFERROR(INDEX(Bagmane!$C:$J,9,MATCH($B$2,Bagmane!$C$7:$J$7,0)),"")</f>
        <v/>
      </c>
    </row>
    <row r="6" ht="15" customHeight="1" s="39">
      <c r="A6" s="46" t="inlineStr">
        <is>
          <t>Net Operating Income (NOI)</t>
        </is>
      </c>
      <c r="B6" s="47" t="inlineStr">
        <is>
          <t>INR cr</t>
        </is>
      </c>
      <c r="C6" s="48">
        <f>IFERROR(INDEX(Embassy!$C:$J,13,MATCH($B$2,Embassy!$C$7:$J$7,0)),"")</f>
        <v/>
      </c>
      <c r="D6" s="48">
        <f>IFERROR(INDEX(Mindspace!$C:$J,13,MATCH($B$2,Mindspace!$C$7:$J$7,0)),"")</f>
        <v/>
      </c>
      <c r="E6" s="48">
        <f>IFERROR(INDEX(Brookfield!$C:$J,13,MATCH($B$2,Brookfield!$C$7:$J$7,0)),"")</f>
        <v/>
      </c>
      <c r="F6" s="48">
        <f>IFERROR(INDEX(Nexus!$C:$J,13,MATCH($B$2,Nexus!$C$7:$J$7,0)),"")</f>
        <v/>
      </c>
      <c r="G6" s="48">
        <f>IFERROR(INDEX('Knowledge (KRT)'!$C:$J,13,MATCH($B$2,'Knowledge (KRT)'!$C$7:$J$7,0)),"")</f>
        <v/>
      </c>
      <c r="H6" s="48">
        <f>IFERROR(INDEX(Bagmane!$C:$J,13,MATCH($B$2,Bagmane!$C$7:$J$7,0)),"")</f>
        <v/>
      </c>
    </row>
    <row r="7" ht="15" customHeight="1" s="39">
      <c r="A7" s="46" t="inlineStr">
        <is>
          <t>NOI Margin</t>
        </is>
      </c>
      <c r="B7" s="47" t="inlineStr">
        <is>
          <t>%</t>
        </is>
      </c>
      <c r="C7" s="49">
        <f>IFERROR(INDEX(Embassy!$C:$J,14,MATCH($B$2,Embassy!$C$7:$J$7,0)),"")</f>
        <v/>
      </c>
      <c r="D7" s="49">
        <f>IFERROR(INDEX(Mindspace!$C:$J,14,MATCH($B$2,Mindspace!$C$7:$J$7,0)),"")</f>
        <v/>
      </c>
      <c r="E7" s="49">
        <f>IFERROR(INDEX(Brookfield!$C:$J,14,MATCH($B$2,Brookfield!$C$7:$J$7,0)),"")</f>
        <v/>
      </c>
      <c r="F7" s="49">
        <f>IFERROR(INDEX(Nexus!$C:$J,14,MATCH($B$2,Nexus!$C$7:$J$7,0)),"")</f>
        <v/>
      </c>
      <c r="G7" s="49">
        <f>IFERROR(INDEX('Knowledge (KRT)'!$C:$J,14,MATCH($B$2,'Knowledge (KRT)'!$C$7:$J$7,0)),"")</f>
        <v/>
      </c>
      <c r="H7" s="49">
        <f>IFERROR(INDEX(Bagmane!$C:$J,14,MATCH($B$2,Bagmane!$C$7:$J$7,0)),"")</f>
        <v/>
      </c>
    </row>
    <row r="8" ht="15" customHeight="1" s="39">
      <c r="A8" s="46" t="inlineStr">
        <is>
          <t>EBITDA</t>
        </is>
      </c>
      <c r="B8" s="47" t="inlineStr">
        <is>
          <t>INR cr</t>
        </is>
      </c>
      <c r="C8" s="48">
        <f>IFERROR(INDEX(Embassy!$C:$J,15,MATCH($B$2,Embassy!$C$7:$J$7,0)),"")</f>
        <v/>
      </c>
      <c r="D8" s="48">
        <f>IFERROR(INDEX(Mindspace!$C:$J,15,MATCH($B$2,Mindspace!$C$7:$J$7,0)),"")</f>
        <v/>
      </c>
      <c r="E8" s="48">
        <f>IFERROR(INDEX(Brookfield!$C:$J,15,MATCH($B$2,Brookfield!$C$7:$J$7,0)),"")</f>
        <v/>
      </c>
      <c r="F8" s="48">
        <f>IFERROR(INDEX(Nexus!$C:$J,15,MATCH($B$2,Nexus!$C$7:$J$7,0)),"")</f>
        <v/>
      </c>
      <c r="G8" s="48">
        <f>IFERROR(INDEX('Knowledge (KRT)'!$C:$J,15,MATCH($B$2,'Knowledge (KRT)'!$C$7:$J$7,0)),"")</f>
        <v/>
      </c>
      <c r="H8" s="48">
        <f>IFERROR(INDEX(Bagmane!$C:$J,15,MATCH($B$2,Bagmane!$C$7:$J$7,0)),"")</f>
        <v/>
      </c>
    </row>
    <row r="9" ht="15" customHeight="1" s="39">
      <c r="A9" s="46" t="inlineStr">
        <is>
          <t>NDCF</t>
        </is>
      </c>
      <c r="B9" s="47" t="inlineStr">
        <is>
          <t>INR cr</t>
        </is>
      </c>
      <c r="C9" s="48">
        <f>IFERROR(INDEX(Embassy!$C:$J,23,MATCH($B$2,Embassy!$C$7:$J$7,0)),"")</f>
        <v/>
      </c>
      <c r="D9" s="48">
        <f>IFERROR(INDEX(Mindspace!$C:$J,23,MATCH($B$2,Mindspace!$C$7:$J$7,0)),"")</f>
        <v/>
      </c>
      <c r="E9" s="48">
        <f>IFERROR(INDEX(Brookfield!$C:$J,23,MATCH($B$2,Brookfield!$C$7:$J$7,0)),"")</f>
        <v/>
      </c>
      <c r="F9" s="48">
        <f>IFERROR(INDEX(Nexus!$C:$J,23,MATCH($B$2,Nexus!$C$7:$J$7,0)),"")</f>
        <v/>
      </c>
      <c r="G9" s="48">
        <f>IFERROR(INDEX('Knowledge (KRT)'!$C:$J,23,MATCH($B$2,'Knowledge (KRT)'!$C$7:$J$7,0)),"")</f>
        <v/>
      </c>
      <c r="H9" s="48">
        <f>IFERROR(INDEX(Bagmane!$C:$J,23,MATCH($B$2,Bagmane!$C$7:$J$7,0)),"")</f>
        <v/>
      </c>
    </row>
    <row r="10" ht="15" customHeight="1" s="39">
      <c r="A10" s="46" t="inlineStr">
        <is>
          <t>Total Distribution</t>
        </is>
      </c>
      <c r="B10" s="47" t="inlineStr">
        <is>
          <t>INR cr</t>
        </is>
      </c>
      <c r="C10" s="48">
        <f>IFERROR(INDEX(Embassy!$C:$J,24,MATCH($B$2,Embassy!$C$7:$J$7,0)),"")</f>
        <v/>
      </c>
      <c r="D10" s="48">
        <f>IFERROR(INDEX(Mindspace!$C:$J,24,MATCH($B$2,Mindspace!$C$7:$J$7,0)),"")</f>
        <v/>
      </c>
      <c r="E10" s="48">
        <f>IFERROR(INDEX(Brookfield!$C:$J,24,MATCH($B$2,Brookfield!$C$7:$J$7,0)),"")</f>
        <v/>
      </c>
      <c r="F10" s="48">
        <f>IFERROR(INDEX(Nexus!$C:$J,24,MATCH($B$2,Nexus!$C$7:$J$7,0)),"")</f>
        <v/>
      </c>
      <c r="G10" s="48">
        <f>IFERROR(INDEX('Knowledge (KRT)'!$C:$J,24,MATCH($B$2,'Knowledge (KRT)'!$C$7:$J$7,0)),"")</f>
        <v/>
      </c>
      <c r="H10" s="48">
        <f>IFERROR(INDEX(Bagmane!$C:$J,24,MATCH($B$2,Bagmane!$C$7:$J$7,0)),"")</f>
        <v/>
      </c>
    </row>
    <row r="11" ht="15" customHeight="1" s="39">
      <c r="A11" s="46" t="inlineStr">
        <is>
          <t>Distribution per Unit (DPU)</t>
        </is>
      </c>
      <c r="B11" s="47" t="inlineStr">
        <is>
          <t>INR/unit</t>
        </is>
      </c>
      <c r="C11" s="50">
        <f>IFERROR(INDEX(Embassy!$C:$J,25,MATCH($B$2,Embassy!$C$7:$J$7,0)),"")</f>
        <v/>
      </c>
      <c r="D11" s="50">
        <f>IFERROR(INDEX(Mindspace!$C:$J,25,MATCH($B$2,Mindspace!$C$7:$J$7,0)),"")</f>
        <v/>
      </c>
      <c r="E11" s="50">
        <f>IFERROR(INDEX(Brookfield!$C:$J,25,MATCH($B$2,Brookfield!$C$7:$J$7,0)),"")</f>
        <v/>
      </c>
      <c r="F11" s="50">
        <f>IFERROR(INDEX(Nexus!$C:$J,25,MATCH($B$2,Nexus!$C$7:$J$7,0)),"")</f>
        <v/>
      </c>
      <c r="G11" s="50">
        <f>IFERROR(INDEX('Knowledge (KRT)'!$C:$J,25,MATCH($B$2,'Knowledge (KRT)'!$C$7:$J$7,0)),"")</f>
        <v/>
      </c>
      <c r="H11" s="50">
        <f>IFERROR(INDEX(Bagmane!$C:$J,25,MATCH($B$2,Bagmane!$C$7:$J$7,0)),"")</f>
        <v/>
      </c>
    </row>
    <row r="12" ht="15" customHeight="1" s="39">
      <c r="A12" s="46" t="inlineStr">
        <is>
          <t>Annual Distribution Yield</t>
        </is>
      </c>
      <c r="B12" s="47" t="inlineStr">
        <is>
          <t>%</t>
        </is>
      </c>
      <c r="C12" s="49">
        <f>IFERROR(INDEX(Embassy!$C:$J,39,MATCH($B$2,Embassy!$C$7:$J$7,0)),"")</f>
        <v/>
      </c>
      <c r="D12" s="49">
        <f>IFERROR(INDEX(Mindspace!$C:$J,39,MATCH($B$2,Mindspace!$C$7:$J$7,0)),"")</f>
        <v/>
      </c>
      <c r="E12" s="49">
        <f>IFERROR(INDEX(Brookfield!$C:$J,39,MATCH($B$2,Brookfield!$C$7:$J$7,0)),"")</f>
        <v/>
      </c>
      <c r="F12" s="49">
        <f>IFERROR(INDEX(Nexus!$C:$J,39,MATCH($B$2,Nexus!$C$7:$J$7,0)),"")</f>
        <v/>
      </c>
      <c r="G12" s="49">
        <f>IFERROR(INDEX('Knowledge (KRT)'!$C:$J,39,MATCH($B$2,'Knowledge (KRT)'!$C$7:$J$7,0)),"")</f>
        <v/>
      </c>
      <c r="H12" s="49">
        <f>IFERROR(INDEX(Bagmane!$C:$J,39,MATCH($B$2,Bagmane!$C$7:$J$7,0)),"")</f>
        <v/>
      </c>
    </row>
    <row r="13" ht="15" customHeight="1" s="39">
      <c r="A13" s="46" t="inlineStr">
        <is>
          <t>Market Capitalisation</t>
        </is>
      </c>
      <c r="B13" s="47" t="inlineStr">
        <is>
          <t>INR cr</t>
        </is>
      </c>
      <c r="C13" s="48">
        <f>IFERROR(INDEX(Embassy!$C:$J,38,MATCH($B$2,Embassy!$C$7:$J$7,0)),"")</f>
        <v/>
      </c>
      <c r="D13" s="48">
        <f>IFERROR(INDEX(Mindspace!$C:$J,38,MATCH($B$2,Mindspace!$C$7:$J$7,0)),"")</f>
        <v/>
      </c>
      <c r="E13" s="48">
        <f>IFERROR(INDEX(Brookfield!$C:$J,38,MATCH($B$2,Brookfield!$C$7:$J$7,0)),"")</f>
        <v/>
      </c>
      <c r="F13" s="48">
        <f>IFERROR(INDEX(Nexus!$C:$J,38,MATCH($B$2,Nexus!$C$7:$J$7,0)),"")</f>
        <v/>
      </c>
      <c r="G13" s="48">
        <f>IFERROR(INDEX('Knowledge (KRT)'!$C:$J,38,MATCH($B$2,'Knowledge (KRT)'!$C$7:$J$7,0)),"")</f>
        <v/>
      </c>
      <c r="H13" s="48">
        <f>IFERROR(INDEX(Bagmane!$C:$J,38,MATCH($B$2,Bagmane!$C$7:$J$7,0)),"")</f>
        <v/>
      </c>
    </row>
    <row r="14" ht="15" customHeight="1" s="39">
      <c r="A14" s="46" t="inlineStr">
        <is>
          <t>GAV / AUM</t>
        </is>
      </c>
      <c r="B14" s="47" t="inlineStr">
        <is>
          <t>INR cr</t>
        </is>
      </c>
      <c r="C14" s="48">
        <f>IFERROR(INDEX(Embassy!$C:$J,28,MATCH($B$2,Embassy!$C$7:$J$7,0)),"")</f>
        <v/>
      </c>
      <c r="D14" s="48">
        <f>IFERROR(INDEX(Mindspace!$C:$J,28,MATCH($B$2,Mindspace!$C$7:$J$7,0)),"")</f>
        <v/>
      </c>
      <c r="E14" s="48">
        <f>IFERROR(INDEX(Brookfield!$C:$J,28,MATCH($B$2,Brookfield!$C$7:$J$7,0)),"")</f>
        <v/>
      </c>
      <c r="F14" s="48">
        <f>IFERROR(INDEX(Nexus!$C:$J,28,MATCH($B$2,Nexus!$C$7:$J$7,0)),"")</f>
        <v/>
      </c>
      <c r="G14" s="48">
        <f>IFERROR(INDEX('Knowledge (KRT)'!$C:$J,28,MATCH($B$2,'Knowledge (KRT)'!$C$7:$J$7,0)),"")</f>
        <v/>
      </c>
      <c r="H14" s="48">
        <f>IFERROR(INDEX(Bagmane!$C:$J,28,MATCH($B$2,Bagmane!$C$7:$J$7,0)),"")</f>
        <v/>
      </c>
    </row>
    <row r="15" ht="15" customHeight="1" s="39">
      <c r="A15" s="46" t="inlineStr">
        <is>
          <t>Net Debt</t>
        </is>
      </c>
      <c r="B15" s="47" t="inlineStr">
        <is>
          <t>INR cr</t>
        </is>
      </c>
      <c r="C15" s="48">
        <f>IFERROR(INDEX(Embassy!$C:$J,31,MATCH($B$2,Embassy!$C$7:$J$7,0)),"")</f>
        <v/>
      </c>
      <c r="D15" s="48">
        <f>IFERROR(INDEX(Mindspace!$C:$J,31,MATCH($B$2,Mindspace!$C$7:$J$7,0)),"")</f>
        <v/>
      </c>
      <c r="E15" s="48">
        <f>IFERROR(INDEX(Brookfield!$C:$J,31,MATCH($B$2,Brookfield!$C$7:$J$7,0)),"")</f>
        <v/>
      </c>
      <c r="F15" s="48">
        <f>IFERROR(INDEX(Nexus!$C:$J,31,MATCH($B$2,Nexus!$C$7:$J$7,0)),"")</f>
        <v/>
      </c>
      <c r="G15" s="48">
        <f>IFERROR(INDEX('Knowledge (KRT)'!$C:$J,31,MATCH($B$2,'Knowledge (KRT)'!$C$7:$J$7,0)),"")</f>
        <v/>
      </c>
      <c r="H15" s="48">
        <f>IFERROR(INDEX(Bagmane!$C:$J,31,MATCH($B$2,Bagmane!$C$7:$J$7,0)),"")</f>
        <v/>
      </c>
    </row>
    <row r="16" ht="15" customHeight="1" s="39">
      <c r="A16" s="46" t="inlineStr">
        <is>
          <t>Loan-to-Value (LTV)</t>
        </is>
      </c>
      <c r="B16" s="47" t="inlineStr">
        <is>
          <t>%</t>
        </is>
      </c>
      <c r="C16" s="49">
        <f>IFERROR(INDEX(Embassy!$C:$J,33,MATCH($B$2,Embassy!$C$7:$J$7,0)),"")</f>
        <v/>
      </c>
      <c r="D16" s="49">
        <f>IFERROR(INDEX(Mindspace!$C:$J,33,MATCH($B$2,Mindspace!$C$7:$J$7,0)),"")</f>
        <v/>
      </c>
      <c r="E16" s="49">
        <f>IFERROR(INDEX(Brookfield!$C:$J,33,MATCH($B$2,Brookfield!$C$7:$J$7,0)),"")</f>
        <v/>
      </c>
      <c r="F16" s="49">
        <f>IFERROR(INDEX(Nexus!$C:$J,33,MATCH($B$2,Nexus!$C$7:$J$7,0)),"")</f>
        <v/>
      </c>
      <c r="G16" s="49">
        <f>IFERROR(INDEX('Knowledge (KRT)'!$C:$J,33,MATCH($B$2,'Knowledge (KRT)'!$C$7:$J$7,0)),"")</f>
        <v/>
      </c>
      <c r="H16" s="49">
        <f>IFERROR(INDEX(Bagmane!$C:$J,33,MATCH($B$2,Bagmane!$C$7:$J$7,0)),"")</f>
        <v/>
      </c>
    </row>
    <row r="17" ht="15" customHeight="1" s="39">
      <c r="A17" s="46" t="inlineStr">
        <is>
          <t>GLA</t>
        </is>
      </c>
      <c r="B17" s="47" t="inlineStr">
        <is>
          <t>Msf</t>
        </is>
      </c>
      <c r="C17" s="51">
        <f>IFERROR(INDEX(Embassy!$C:$J,42,MATCH($B$2,Embassy!$C$7:$J$7,0)),"")</f>
        <v/>
      </c>
      <c r="D17" s="51">
        <f>IFERROR(INDEX(Mindspace!$C:$J,42,MATCH($B$2,Mindspace!$C$7:$J$7,0)),"")</f>
        <v/>
      </c>
      <c r="E17" s="51">
        <f>IFERROR(INDEX(Brookfield!$C:$J,42,MATCH($B$2,Brookfield!$C$7:$J$7,0)),"")</f>
        <v/>
      </c>
      <c r="F17" s="51">
        <f>IFERROR(INDEX(Nexus!$C:$J,42,MATCH($B$2,Nexus!$C$7:$J$7,0)),"")</f>
        <v/>
      </c>
      <c r="G17" s="51">
        <f>IFERROR(INDEX('Knowledge (KRT)'!$C:$J,42,MATCH($B$2,'Knowledge (KRT)'!$C$7:$J$7,0)),"")</f>
        <v/>
      </c>
      <c r="H17" s="51">
        <f>IFERROR(INDEX(Bagmane!$C:$J,42,MATCH($B$2,Bagmane!$C$7:$J$7,0)),"")</f>
        <v/>
      </c>
    </row>
    <row r="18" ht="15" customHeight="1" s="39">
      <c r="A18" s="46" t="inlineStr">
        <is>
          <t>Committed Occupancy</t>
        </is>
      </c>
      <c r="B18" s="47" t="inlineStr">
        <is>
          <t>%</t>
        </is>
      </c>
      <c r="C18" s="49">
        <f>IFERROR(INDEX(Embassy!$C:$J,45,MATCH($B$2,Embassy!$C$7:$J$7,0)),"")</f>
        <v/>
      </c>
      <c r="D18" s="49">
        <f>IFERROR(INDEX(Mindspace!$C:$J,45,MATCH($B$2,Mindspace!$C$7:$J$7,0)),"")</f>
        <v/>
      </c>
      <c r="E18" s="49">
        <f>IFERROR(INDEX(Brookfield!$C:$J,45,MATCH($B$2,Brookfield!$C$7:$J$7,0)),"")</f>
        <v/>
      </c>
      <c r="F18" s="49">
        <f>IFERROR(INDEX(Nexus!$C:$J,45,MATCH($B$2,Nexus!$C$7:$J$7,0)),"")</f>
        <v/>
      </c>
      <c r="G18" s="49">
        <f>IFERROR(INDEX('Knowledge (KRT)'!$C:$J,45,MATCH($B$2,'Knowledge (KRT)'!$C$7:$J$7,0)),"")</f>
        <v/>
      </c>
      <c r="H18" s="49">
        <f>IFERROR(INDEX(Bagmane!$C:$J,45,MATCH($B$2,Bagmane!$C$7:$J$7,0)),"")</f>
        <v/>
      </c>
    </row>
    <row r="19" ht="15" customHeight="1" s="39">
      <c r="A19" s="46" t="inlineStr">
        <is>
          <t>WALE</t>
        </is>
      </c>
      <c r="B19" s="47" t="inlineStr">
        <is>
          <t>years</t>
        </is>
      </c>
      <c r="C19" s="51">
        <f>IFERROR(INDEX(Embassy!$C:$J,47,MATCH($B$2,Embassy!$C$7:$J$7,0)),"")</f>
        <v/>
      </c>
      <c r="D19" s="51">
        <f>IFERROR(INDEX(Mindspace!$C:$J,47,MATCH($B$2,Mindspace!$C$7:$J$7,0)),"")</f>
        <v/>
      </c>
      <c r="E19" s="51">
        <f>IFERROR(INDEX(Brookfield!$C:$J,47,MATCH($B$2,Brookfield!$C$7:$J$7,0)),"")</f>
        <v/>
      </c>
      <c r="F19" s="51">
        <f>IFERROR(INDEX(Nexus!$C:$J,47,MATCH($B$2,Nexus!$C$7:$J$7,0)),"")</f>
        <v/>
      </c>
      <c r="G19" s="51">
        <f>IFERROR(INDEX('Knowledge (KRT)'!$C:$J,47,MATCH($B$2,'Knowledge (KRT)'!$C$7:$J$7,0)),"")</f>
        <v/>
      </c>
      <c r="H19" s="51">
        <f>IFERROR(INDEX(Bagmane!$C:$J,47,MATCH($B$2,Bagmane!$C$7:$J$7,0)),"")</f>
        <v/>
      </c>
    </row>
    <row r="21" ht="15" customHeight="1" s="39">
      <c r="A21" s="43" t="inlineStr">
        <is>
          <t>* Bagmane figures are proforma/combined from its RHP (Trust listed May 2026; pre-operational at FY2026 year-end).</t>
        </is>
      </c>
    </row>
    <row r="22" ht="15" customHeight="1" s="39">
      <c r="A22" s="43" t="inlineStr">
        <is>
          <t>Green/grey figures pull live from the individual REIT sheets - edit data there, not here.</t>
        </is>
      </c>
    </row>
  </sheetData>
  <dataValidations count="1">
    <dataValidation sqref="B2" showDropDown="0" showInputMessage="0" showErrorMessage="0" allowBlank="0" type="list" errorStyle="stop" operator="between">
      <formula1>"FY2019,FY2020,FY2021,FY2022,FY2023,FY2024,FY2025,FY2026"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B80"/>
  <sheetViews>
    <sheetView showFormulas="0" showGridLines="0" showRowColHeaders="1" showZeros="1" rightToLeft="0" tabSelected="0" showOutlineSymbols="1" defaultGridColor="1" view="normal" topLeftCell="A11" colorId="64" zoomScale="65" zoomScaleNormal="65" zoomScalePageLayoutView="100" workbookViewId="0">
      <selection pane="topLeft" activeCell="AB56" activeCellId="0" sqref="AB56"/>
    </sheetView>
  </sheetViews>
  <sheetFormatPr baseColWidth="8" defaultColWidth="8.43359375" defaultRowHeight="15" customHeight="0" zeroHeight="0" outlineLevelRow="0"/>
  <cols>
    <col width="34" customWidth="1" style="38" min="1" max="1"/>
    <col width="9" customWidth="1" style="38" min="2" max="2"/>
    <col width="9.52" customWidth="1" style="38" min="3" max="10"/>
    <col width="7" customWidth="1" style="38" min="11" max="11"/>
    <col width="9.52" customWidth="1" style="38" min="12" max="19"/>
    <col width="7" customWidth="1" style="38" min="20" max="20"/>
  </cols>
  <sheetData>
    <row r="1" ht="15" customHeight="1" s="39">
      <c r="A1" s="40" t="inlineStr">
        <is>
          <t>Embassy REIT - Key Financials &amp; Operating Metrics</t>
        </is>
      </c>
    </row>
    <row r="2" ht="15" customHeight="1" s="39">
      <c r="A2" s="43" t="inlineStr">
        <is>
          <t>Sponsor: Embassy Group / Blackstone.  All INR figures in INR crore (cr) unless stated.  1 crore = 10 million.  FY ends 31 March.</t>
        </is>
      </c>
    </row>
    <row r="3" ht="15" customHeight="1" s="39">
      <c r="A3" s="43" t="inlineStr">
        <is>
          <t>Hover a cell for its Source (report + page + original figure).  Grey italic = auto-calculated.  YoY% = FY2026 vs FY2025.</t>
        </is>
      </c>
    </row>
    <row r="6" ht="15" customHeight="1" s="39">
      <c r="C6" s="52" t="inlineStr">
        <is>
          <t>CONSOLIDATED</t>
        </is>
      </c>
      <c r="L6" s="52" t="inlineStr">
        <is>
          <t>STANDALONE</t>
        </is>
      </c>
    </row>
    <row r="7" ht="15" customHeight="1" s="39">
      <c r="A7" s="44" t="inlineStr">
        <is>
          <t>Metric</t>
        </is>
      </c>
      <c r="B7" s="45" t="inlineStr">
        <is>
          <t>Unit</t>
        </is>
      </c>
      <c r="C7" s="45" t="inlineStr">
        <is>
          <t>FY2019</t>
        </is>
      </c>
      <c r="D7" s="45" t="inlineStr">
        <is>
          <t>FY2020</t>
        </is>
      </c>
      <c r="E7" s="45" t="inlineStr">
        <is>
          <t>FY2021</t>
        </is>
      </c>
      <c r="F7" s="45" t="inlineStr">
        <is>
          <t>FY2022</t>
        </is>
      </c>
      <c r="G7" s="45" t="inlineStr">
        <is>
          <t>FY2023</t>
        </is>
      </c>
      <c r="H7" s="45" t="inlineStr">
        <is>
          <t>FY2024</t>
        </is>
      </c>
      <c r="I7" s="45" t="inlineStr">
        <is>
          <t>FY2025</t>
        </is>
      </c>
      <c r="J7" s="45" t="inlineStr">
        <is>
          <t>FY2026</t>
        </is>
      </c>
      <c r="K7" s="45" t="inlineStr">
        <is>
          <t>YoY%</t>
        </is>
      </c>
      <c r="L7" s="45" t="inlineStr">
        <is>
          <t>FY2019</t>
        </is>
      </c>
      <c r="M7" s="45" t="inlineStr">
        <is>
          <t>FY2020</t>
        </is>
      </c>
      <c r="N7" s="45" t="inlineStr">
        <is>
          <t>FY2021</t>
        </is>
      </c>
      <c r="O7" s="45" t="inlineStr">
        <is>
          <t>FY2022</t>
        </is>
      </c>
      <c r="P7" s="45" t="inlineStr">
        <is>
          <t>FY2023</t>
        </is>
      </c>
      <c r="Q7" s="45" t="inlineStr">
        <is>
          <t>FY2024</t>
        </is>
      </c>
      <c r="R7" s="45" t="inlineStr">
        <is>
          <t>FY2025</t>
        </is>
      </c>
      <c r="S7" s="45" t="inlineStr">
        <is>
          <t>FY2026</t>
        </is>
      </c>
      <c r="T7" s="45" t="inlineStr">
        <is>
          <t>YoY%</t>
        </is>
      </c>
    </row>
    <row r="8" ht="15" customHeight="1" s="39">
      <c r="A8" s="53" t="inlineStr">
        <is>
          <t>INCOME STATEMENT</t>
        </is>
      </c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</row>
    <row r="9" ht="15" customHeight="1" s="39">
      <c r="A9" s="46" t="inlineStr">
        <is>
          <t>Revenue from Operations</t>
        </is>
      </c>
      <c r="B9" s="47" t="inlineStr">
        <is>
          <t>INR cr</t>
        </is>
      </c>
      <c r="C9" s="55" t="n">
        <v>1877.081</v>
      </c>
      <c r="D9" s="55" t="n">
        <v>2144.922</v>
      </c>
      <c r="E9" s="55" t="n">
        <v>2360.32</v>
      </c>
      <c r="F9" s="55" t="n">
        <v>2962.605</v>
      </c>
      <c r="G9" s="55" t="n">
        <v>3419.543</v>
      </c>
      <c r="H9" s="55" t="n">
        <v>3685.182</v>
      </c>
      <c r="I9" s="55" t="n">
        <v>4038.932</v>
      </c>
      <c r="J9" s="55" t="n">
        <v>4582.356</v>
      </c>
      <c r="K9" s="49">
        <f>IFERROR((J9-I9)/I9,"")</f>
        <v/>
      </c>
      <c r="L9" s="56" t="n"/>
      <c r="M9" s="56" t="n"/>
      <c r="N9" s="56" t="n"/>
      <c r="O9" s="56" t="n"/>
      <c r="P9" s="56" t="n"/>
      <c r="Q9" s="56" t="n"/>
      <c r="R9" s="56" t="n"/>
      <c r="S9" s="56" t="n"/>
      <c r="T9" s="49">
        <f>IFERROR((S9-R9)/R9,"")</f>
        <v/>
      </c>
    </row>
    <row r="10" ht="15" customHeight="1" s="39">
      <c r="A10" s="46" t="inlineStr">
        <is>
          <t>Other Income</t>
        </is>
      </c>
      <c r="B10" s="47" t="inlineStr">
        <is>
          <t>INR cr</t>
        </is>
      </c>
      <c r="C10" s="55" t="n">
        <v>153.927</v>
      </c>
      <c r="D10" s="55" t="n">
        <v>99.035</v>
      </c>
      <c r="E10" s="55" t="n">
        <v>118.526</v>
      </c>
      <c r="F10" s="55" t="n">
        <v>126.927</v>
      </c>
      <c r="G10" s="55" t="n">
        <v>144.124</v>
      </c>
      <c r="H10" s="55" t="n">
        <v>203.084</v>
      </c>
      <c r="I10" s="55" t="n">
        <v>142.367</v>
      </c>
      <c r="J10" s="55" t="n">
        <v>93.488</v>
      </c>
      <c r="K10" s="49">
        <f>IFERROR((J10-I10)/I10,"")</f>
        <v/>
      </c>
      <c r="L10" s="56" t="n"/>
      <c r="M10" s="56" t="n"/>
      <c r="N10" s="57" t="n">
        <v>947.475</v>
      </c>
      <c r="O10" s="57" t="n">
        <v>2113.605</v>
      </c>
      <c r="P10" s="57" t="n">
        <v>2061.986</v>
      </c>
      <c r="Q10" s="57" t="n">
        <v>1905.453</v>
      </c>
      <c r="R10" s="57" t="n">
        <v>1633.517</v>
      </c>
      <c r="S10" s="57" t="n">
        <v>2173.532</v>
      </c>
      <c r="T10" s="49">
        <f>IFERROR((S10-R10)/R10,"")</f>
        <v/>
      </c>
    </row>
    <row r="11" ht="15" customHeight="1" s="39">
      <c r="A11" s="46" t="inlineStr">
        <is>
          <t>Total Income</t>
        </is>
      </c>
      <c r="B11" s="47" t="inlineStr">
        <is>
          <t>INR cr</t>
        </is>
      </c>
      <c r="C11" s="48">
        <f>IF(AND(C9="",C10=""),"",N(C9)+N(C10))</f>
        <v/>
      </c>
      <c r="D11" s="48">
        <f>IF(AND(D9="",D10=""),"",N(D9)+N(D10))</f>
        <v/>
      </c>
      <c r="E11" s="48">
        <f>IF(AND(E9="",E10=""),"",N(E9)+N(E10))</f>
        <v/>
      </c>
      <c r="F11" s="48">
        <f>IF(AND(F9="",F10=""),"",N(F9)+N(F10))</f>
        <v/>
      </c>
      <c r="G11" s="48">
        <f>IF(AND(G9="",G10=""),"",N(G9)+N(G10))</f>
        <v/>
      </c>
      <c r="H11" s="48">
        <f>IF(AND(H9="",H10=""),"",N(H9)+N(H10))</f>
        <v/>
      </c>
      <c r="I11" s="48">
        <f>IF(AND(I9="",I10=""),"",N(I9)+N(I10))</f>
        <v/>
      </c>
      <c r="J11" s="48">
        <f>IF(AND(J9="",J10=""),"",N(J9)+N(J10))</f>
        <v/>
      </c>
      <c r="K11" s="49">
        <f>IFERROR((J11-I11)/I11,"")</f>
        <v/>
      </c>
      <c r="L11" s="48">
        <f>IF(AND(L9="",L10=""),"",N(L9)+N(L10))</f>
        <v/>
      </c>
      <c r="M11" s="48">
        <f>IF(AND(M9="",M10=""),"",N(M9)+N(M10))</f>
        <v/>
      </c>
      <c r="N11" s="48">
        <f>IF(AND(N9="",N10=""),"",N(N9)+N(N10))</f>
        <v/>
      </c>
      <c r="O11" s="48">
        <f>IF(AND(O9="",O10=""),"",N(O9)+N(O10))</f>
        <v/>
      </c>
      <c r="P11" s="48">
        <f>IF(AND(P9="",P10=""),"",N(P9)+N(P10))</f>
        <v/>
      </c>
      <c r="Q11" s="48">
        <f>IF(AND(Q9="",Q10=""),"",N(Q9)+N(Q10))</f>
        <v/>
      </c>
      <c r="R11" s="48">
        <f>IF(AND(R9="",R10=""),"",N(R9)+N(R10))</f>
        <v/>
      </c>
      <c r="S11" s="48">
        <f>IF(AND(S9="",S10=""),"",N(S9)+N(S10))</f>
        <v/>
      </c>
      <c r="T11" s="49">
        <f>IFERROR((S11-R11)/R11,"")</f>
        <v/>
      </c>
    </row>
    <row r="12" ht="15" customHeight="1" s="39">
      <c r="A12" s="46" t="inlineStr">
        <is>
          <t>Property / Operating Expenses</t>
        </is>
      </c>
      <c r="B12" s="47" t="inlineStr">
        <is>
          <t>INR cr</t>
        </is>
      </c>
      <c r="C12" s="57" t="n">
        <v>237.656</v>
      </c>
      <c r="D12" s="57" t="n">
        <v>184.284</v>
      </c>
      <c r="E12" s="57" t="n">
        <v>220.801</v>
      </c>
      <c r="F12" s="57" t="n">
        <v>324.331</v>
      </c>
      <c r="G12" s="57" t="n">
        <v>399.633</v>
      </c>
      <c r="H12" s="57" t="n">
        <v>524.895</v>
      </c>
      <c r="I12" s="57" t="n">
        <v>561.366</v>
      </c>
      <c r="J12" s="57" t="n">
        <v>585.526</v>
      </c>
      <c r="K12" s="49">
        <f>IFERROR((J12-I12)/I12,"")</f>
        <v/>
      </c>
      <c r="L12" s="56" t="n"/>
      <c r="M12" s="56" t="n"/>
      <c r="N12" s="56" t="n"/>
      <c r="O12" s="56" t="n"/>
      <c r="P12" s="56" t="n"/>
      <c r="Q12" s="56" t="n"/>
      <c r="R12" s="56" t="n"/>
      <c r="S12" s="56" t="n"/>
      <c r="T12" s="49">
        <f>IFERROR((S12-R12)/R12,"")</f>
        <v/>
      </c>
    </row>
    <row r="13" ht="15" customHeight="1" s="39">
      <c r="A13" s="46" t="inlineStr">
        <is>
          <t>Net Operating Income (NOI)</t>
        </is>
      </c>
      <c r="B13" s="47" t="inlineStr">
        <is>
          <t>INR cr</t>
        </is>
      </c>
      <c r="C13" s="57" t="n">
        <v>1574.1</v>
      </c>
      <c r="D13" s="57" t="n">
        <v>1817</v>
      </c>
      <c r="E13" s="56" t="n"/>
      <c r="F13" s="57" t="n">
        <v>2491.1</v>
      </c>
      <c r="G13" s="57" t="n">
        <v>2766.28</v>
      </c>
      <c r="H13" s="57" t="n">
        <v>2981.9</v>
      </c>
      <c r="I13" s="57" t="n">
        <v>3283.5</v>
      </c>
      <c r="J13" s="57" t="n">
        <v>3760</v>
      </c>
      <c r="K13" s="49">
        <f>IFERROR((J13-I13)/I13,"")</f>
        <v/>
      </c>
      <c r="L13" s="56" t="n"/>
      <c r="M13" s="56" t="n"/>
      <c r="N13" s="56" t="n"/>
      <c r="O13" s="56" t="n"/>
      <c r="P13" s="56" t="n"/>
      <c r="Q13" s="56" t="n"/>
      <c r="R13" s="56" t="n"/>
      <c r="S13" s="56" t="n"/>
      <c r="T13" s="49">
        <f>IFERROR((S13-R13)/R13,"")</f>
        <v/>
      </c>
    </row>
    <row r="14" ht="15" customHeight="1" s="39">
      <c r="A14" s="46" t="inlineStr">
        <is>
          <t>NOI Margin</t>
        </is>
      </c>
      <c r="B14" s="47" t="inlineStr">
        <is>
          <t>%</t>
        </is>
      </c>
      <c r="C14" s="49">
        <f>IF(OR(C13="",C9="",N(C9)=0),"",C13/C9)</f>
        <v/>
      </c>
      <c r="D14" s="49">
        <f>IF(OR(D13="",D9="",N(D9)=0),"",D13/D9)</f>
        <v/>
      </c>
      <c r="E14" s="49">
        <f>IF(OR(E13="",E9="",N(E9)=0),"",E13/E9)</f>
        <v/>
      </c>
      <c r="F14" s="49">
        <f>IF(OR(F13="",F9="",N(F9)=0),"",F13/F9)</f>
        <v/>
      </c>
      <c r="G14" s="49">
        <f>IF(OR(G13="",G9="",N(G9)=0),"",G13/G9)</f>
        <v/>
      </c>
      <c r="H14" s="49">
        <f>IF(OR(H13="",H9="",N(H9)=0),"",H13/H9)</f>
        <v/>
      </c>
      <c r="I14" s="49">
        <f>IF(OR(I13="",I9="",N(I9)=0),"",I13/I9)</f>
        <v/>
      </c>
      <c r="J14" s="49">
        <f>IF(OR(J13="",J9="",N(J9)=0),"",J13/J9)</f>
        <v/>
      </c>
      <c r="L14" s="49">
        <f>IF(OR(L13="",L9="",N(L9)=0),"",L13/L9)</f>
        <v/>
      </c>
      <c r="M14" s="49">
        <f>IF(OR(M13="",M9="",N(M9)=0),"",M13/M9)</f>
        <v/>
      </c>
      <c r="N14" s="49">
        <f>IF(OR(N13="",N9="",N(N9)=0),"",N13/N9)</f>
        <v/>
      </c>
      <c r="O14" s="49">
        <f>IF(OR(O13="",O9="",N(O9)=0),"",O13/O9)</f>
        <v/>
      </c>
      <c r="P14" s="49">
        <f>IF(OR(P13="",P9="",N(P9)=0),"",P13/P9)</f>
        <v/>
      </c>
      <c r="Q14" s="49">
        <f>IF(OR(Q13="",Q9="",N(Q9)=0),"",Q13/Q9)</f>
        <v/>
      </c>
      <c r="R14" s="49">
        <f>IF(OR(R13="",R9="",N(R9)=0),"",R13/R9)</f>
        <v/>
      </c>
      <c r="S14" s="49">
        <f>IF(OR(S13="",S9="",N(S9)=0),"",S13/S9)</f>
        <v/>
      </c>
    </row>
    <row r="15" ht="15" customHeight="1" s="39">
      <c r="A15" s="46" t="inlineStr">
        <is>
          <t>EBITDA</t>
        </is>
      </c>
      <c r="B15" s="47" t="inlineStr">
        <is>
          <t>INR cr</t>
        </is>
      </c>
      <c r="C15" s="57" t="n">
        <v>1513.656</v>
      </c>
      <c r="D15" s="57" t="n">
        <v>1764.677</v>
      </c>
      <c r="E15" s="57" t="n">
        <v>1969.321</v>
      </c>
      <c r="F15" s="57" t="n">
        <v>2425.017</v>
      </c>
      <c r="G15" s="57" t="n">
        <v>2688.499</v>
      </c>
      <c r="H15" s="57" t="n">
        <v>2972.411</v>
      </c>
      <c r="I15" s="57" t="n">
        <v>3188.75</v>
      </c>
      <c r="J15" s="57" t="n">
        <v>3602.234</v>
      </c>
      <c r="K15" s="49">
        <f>IFERROR((J15-I15)/I15,"")</f>
        <v/>
      </c>
      <c r="L15" s="57" t="n">
        <v>-9.446999999999999</v>
      </c>
      <c r="M15" s="56" t="n"/>
      <c r="N15" s="57" t="n">
        <v>1189.896</v>
      </c>
      <c r="O15" s="57" t="n">
        <v>2076.255</v>
      </c>
      <c r="P15" s="57" t="n">
        <v>2013.282</v>
      </c>
      <c r="Q15" s="56" t="n"/>
      <c r="R15" s="56" t="n"/>
      <c r="S15" s="56" t="n"/>
      <c r="T15" s="49">
        <f>IFERROR((S15-R15)/R15,"")</f>
        <v/>
      </c>
    </row>
    <row r="16" ht="15" customHeight="1" s="39">
      <c r="A16" s="46" t="inlineStr">
        <is>
          <t>EBITDA Margin</t>
        </is>
      </c>
      <c r="B16" s="47" t="inlineStr">
        <is>
          <t>%</t>
        </is>
      </c>
      <c r="C16" s="49">
        <f>IF(OR(C15="",C9="",N(C9)=0),"",C15/C9)</f>
        <v/>
      </c>
      <c r="D16" s="49">
        <f>IF(OR(D15="",D9="",N(D9)=0),"",D15/D9)</f>
        <v/>
      </c>
      <c r="E16" s="49">
        <f>IF(OR(E15="",E9="",N(E9)=0),"",E15/E9)</f>
        <v/>
      </c>
      <c r="F16" s="49">
        <f>IF(OR(F15="",F9="",N(F9)=0),"",F15/F9)</f>
        <v/>
      </c>
      <c r="G16" s="49">
        <f>IF(OR(G15="",G9="",N(G9)=0),"",G15/G9)</f>
        <v/>
      </c>
      <c r="H16" s="49">
        <f>IF(OR(H15="",H9="",N(H9)=0),"",H15/H9)</f>
        <v/>
      </c>
      <c r="I16" s="49">
        <f>IF(OR(I15="",I9="",N(I9)=0),"",I15/I9)</f>
        <v/>
      </c>
      <c r="J16" s="49">
        <f>IF(OR(J15="",J9="",N(J9)=0),"",J15/J9)</f>
        <v/>
      </c>
      <c r="L16" s="49">
        <f>IF(OR(L15="",L9="",N(L9)=0),"",L15/L9)</f>
        <v/>
      </c>
      <c r="M16" s="49">
        <f>IF(OR(M15="",M9="",N(M9)=0),"",M15/M9)</f>
        <v/>
      </c>
      <c r="N16" s="49">
        <f>IF(OR(N15="",N9="",N(N9)=0),"",N15/N9)</f>
        <v/>
      </c>
      <c r="O16" s="49">
        <f>IF(OR(O15="",O9="",N(O9)=0),"",O15/O9)</f>
        <v/>
      </c>
      <c r="P16" s="49">
        <f>IF(OR(P15="",P9="",N(P9)=0),"",P15/P9)</f>
        <v/>
      </c>
      <c r="Q16" s="49">
        <f>IF(OR(Q15="",Q9="",N(Q9)=0),"",Q15/Q9)</f>
        <v/>
      </c>
      <c r="R16" s="49">
        <f>IF(OR(R15="",R9="",N(R9)=0),"",R15/R9)</f>
        <v/>
      </c>
      <c r="S16" s="49">
        <f>IF(OR(S15="",S9="",N(S9)=0),"",S15/S9)</f>
        <v/>
      </c>
    </row>
    <row r="17" ht="15" customHeight="1" s="39">
      <c r="A17" s="46" t="inlineStr">
        <is>
          <t>Finance Costs</t>
        </is>
      </c>
      <c r="B17" s="47" t="inlineStr">
        <is>
          <t>INR cr</t>
        </is>
      </c>
      <c r="C17" s="57" t="n">
        <v>705.981</v>
      </c>
      <c r="D17" s="57" t="n">
        <v>380.354</v>
      </c>
      <c r="E17" s="57" t="n">
        <v>645.289</v>
      </c>
      <c r="F17" s="57" t="n">
        <v>828.528</v>
      </c>
      <c r="G17" s="57" t="n">
        <v>976.063</v>
      </c>
      <c r="H17" s="57" t="n">
        <v>1087.235</v>
      </c>
      <c r="I17" s="57" t="n">
        <v>1328.625</v>
      </c>
      <c r="J17" s="57" t="n">
        <v>1495.042</v>
      </c>
      <c r="K17" s="49">
        <f>IFERROR((J17-I17)/I17,"")</f>
        <v/>
      </c>
      <c r="L17" s="57" t="n">
        <v>0</v>
      </c>
      <c r="M17" s="56" t="n"/>
      <c r="N17" s="57" t="n">
        <v>469.865</v>
      </c>
      <c r="O17" s="57" t="n">
        <v>646.23</v>
      </c>
      <c r="P17" s="57" t="n">
        <v>601.763</v>
      </c>
      <c r="Q17" s="57" t="n">
        <v>720.717</v>
      </c>
      <c r="R17" s="57" t="n">
        <v>652.053</v>
      </c>
      <c r="S17" s="57" t="n">
        <v>810.413</v>
      </c>
      <c r="T17" s="49">
        <f>IFERROR((S17-R17)/R17,"")</f>
        <v/>
      </c>
    </row>
    <row r="18" ht="15" customHeight="1" s="39">
      <c r="A18" s="46" t="inlineStr">
        <is>
          <t>Depreciation &amp; Amortisation</t>
        </is>
      </c>
      <c r="B18" s="47" t="inlineStr">
        <is>
          <t>INR cr</t>
        </is>
      </c>
      <c r="C18" s="57" t="n">
        <v>356.319</v>
      </c>
      <c r="D18" s="57" t="n">
        <v>528.124</v>
      </c>
      <c r="E18" s="57" t="n">
        <v>570.697</v>
      </c>
      <c r="F18" s="57" t="n">
        <v>796.463</v>
      </c>
      <c r="G18" s="57" t="n">
        <v>1128.416</v>
      </c>
      <c r="H18" s="57" t="n">
        <v>968.989</v>
      </c>
      <c r="I18" s="57" t="n">
        <v>1141.515</v>
      </c>
      <c r="J18" s="57" t="n">
        <v>1265.785</v>
      </c>
      <c r="K18" s="49">
        <f>IFERROR((J18-I18)/I18,"")</f>
        <v/>
      </c>
      <c r="L18" s="56" t="n"/>
      <c r="M18" s="56" t="n"/>
      <c r="N18" s="56" t="n"/>
      <c r="O18" s="56" t="n"/>
      <c r="P18" s="56" t="n"/>
      <c r="Q18" s="56" t="n"/>
      <c r="R18" s="56" t="n"/>
      <c r="S18" s="56" t="n"/>
      <c r="T18" s="49">
        <f>IFERROR((S18-R18)/R18,"")</f>
        <v/>
      </c>
    </row>
    <row r="19" ht="15" customHeight="1" s="39">
      <c r="A19" s="46" t="inlineStr">
        <is>
          <t>Profit Before Tax (PBT)</t>
        </is>
      </c>
      <c r="B19" s="47" t="inlineStr">
        <is>
          <t>INR cr</t>
        </is>
      </c>
      <c r="C19" s="57" t="n">
        <v>566.509</v>
      </c>
      <c r="D19" s="57" t="n">
        <v>795.534</v>
      </c>
      <c r="E19" s="57" t="n">
        <v>753.8869999999999</v>
      </c>
      <c r="F19" s="57" t="n">
        <v>896.24</v>
      </c>
      <c r="G19" s="57" t="n">
        <v>661.77</v>
      </c>
      <c r="H19" s="57" t="n">
        <v>1089.073</v>
      </c>
      <c r="I19" s="57" t="n">
        <v>193.042</v>
      </c>
      <c r="J19" s="57" t="n">
        <v>1133.571</v>
      </c>
      <c r="K19" s="49">
        <f>IFERROR((J19-I19)/I19,"")</f>
        <v/>
      </c>
      <c r="L19" s="57" t="n">
        <v>-9.446999999999999</v>
      </c>
      <c r="M19" s="56" t="n"/>
      <c r="N19" s="57" t="n">
        <v>451.22</v>
      </c>
      <c r="O19" s="57" t="n">
        <v>1344.277</v>
      </c>
      <c r="P19" s="57" t="n">
        <v>1282.007</v>
      </c>
      <c r="Q19" s="57" t="n">
        <v>1208.576</v>
      </c>
      <c r="R19" s="57" t="n">
        <v>631.4</v>
      </c>
      <c r="S19" s="57" t="n">
        <v>1314.927</v>
      </c>
      <c r="T19" s="49">
        <f>IFERROR((S19-R19)/R19,"")</f>
        <v/>
      </c>
    </row>
    <row r="20" ht="15" customHeight="1" s="39">
      <c r="A20" s="46" t="inlineStr">
        <is>
          <t>Profit After Tax (PAT)</t>
        </is>
      </c>
      <c r="B20" s="47" t="inlineStr">
        <is>
          <t>INR cr</t>
        </is>
      </c>
      <c r="C20" s="57" t="n">
        <v>365.329</v>
      </c>
      <c r="D20" s="57" t="n">
        <v>765.534</v>
      </c>
      <c r="E20" s="57" t="n">
        <v>698.353</v>
      </c>
      <c r="F20" s="57" t="n">
        <v>888.385</v>
      </c>
      <c r="G20" s="57" t="n">
        <v>505.958</v>
      </c>
      <c r="H20" s="57" t="n">
        <v>964.028</v>
      </c>
      <c r="I20" s="57" t="n">
        <v>1624.436</v>
      </c>
      <c r="J20" s="57" t="n">
        <v>338.545</v>
      </c>
      <c r="K20" s="49">
        <f>IFERROR((J20-I20)/I20,"")</f>
        <v/>
      </c>
      <c r="L20" s="57" t="n">
        <v>-9.446999999999999</v>
      </c>
      <c r="M20" s="56" t="n"/>
      <c r="N20" s="57" t="n">
        <v>447.442</v>
      </c>
      <c r="O20" s="57" t="n">
        <v>1339.742</v>
      </c>
      <c r="P20" s="57" t="n">
        <v>1279.148</v>
      </c>
      <c r="Q20" s="57" t="n">
        <v>1206.824</v>
      </c>
      <c r="R20" s="57" t="n">
        <v>631.152</v>
      </c>
      <c r="S20" s="57" t="n">
        <v>1313.495</v>
      </c>
      <c r="T20" s="49">
        <f>IFERROR((S20-R20)/R20,"")</f>
        <v/>
      </c>
    </row>
    <row r="21" ht="15" customHeight="1" s="39">
      <c r="A21" s="46" t="inlineStr">
        <is>
          <t>PAT Margin</t>
        </is>
      </c>
      <c r="B21" s="47" t="inlineStr">
        <is>
          <t>%</t>
        </is>
      </c>
      <c r="C21" s="49">
        <f>IF(OR(C20="",C9="",N(C9)=0),"",C20/C9)</f>
        <v/>
      </c>
      <c r="D21" s="49">
        <f>IF(OR(D20="",D9="",N(D9)=0),"",D20/D9)</f>
        <v/>
      </c>
      <c r="E21" s="49">
        <f>IF(OR(E20="",E9="",N(E9)=0),"",E20/E9)</f>
        <v/>
      </c>
      <c r="F21" s="49">
        <f>IF(OR(F20="",F9="",N(F9)=0),"",F20/F9)</f>
        <v/>
      </c>
      <c r="G21" s="49">
        <f>IF(OR(G20="",G9="",N(G9)=0),"",G20/G9)</f>
        <v/>
      </c>
      <c r="H21" s="49">
        <f>IF(OR(H20="",H9="",N(H9)=0),"",H20/H9)</f>
        <v/>
      </c>
      <c r="I21" s="49">
        <f>IF(OR(I20="",I9="",N(I9)=0),"",I20/I9)</f>
        <v/>
      </c>
      <c r="J21" s="49">
        <f>IF(OR(J20="",J9="",N(J9)=0),"",J20/J9)</f>
        <v/>
      </c>
      <c r="L21" s="49">
        <f>IF(OR(L20="",L9="",N(L9)=0),"",L20/L9)</f>
        <v/>
      </c>
      <c r="M21" s="49">
        <f>IF(OR(M20="",M9="",N(M9)=0),"",M20/M9)</f>
        <v/>
      </c>
      <c r="N21" s="49">
        <f>IF(OR(N20="",N9="",N(N9)=0),"",N20/N9)</f>
        <v/>
      </c>
      <c r="O21" s="49">
        <f>IF(OR(O20="",O9="",N(O9)=0),"",O20/O9)</f>
        <v/>
      </c>
      <c r="P21" s="49">
        <f>IF(OR(P20="",P9="",N(P9)=0),"",P20/P9)</f>
        <v/>
      </c>
      <c r="Q21" s="49">
        <f>IF(OR(Q20="",Q9="",N(Q9)=0),"",Q20/Q9)</f>
        <v/>
      </c>
      <c r="R21" s="49">
        <f>IF(OR(R20="",R9="",N(R9)=0),"",R20/R9)</f>
        <v/>
      </c>
      <c r="S21" s="49">
        <f>IF(OR(S20="",S9="",N(S9)=0),"",S20/S9)</f>
        <v/>
      </c>
    </row>
    <row r="22" ht="15" customHeight="1" s="39">
      <c r="A22" s="53" t="inlineStr">
        <is>
          <t>DISTRIBUTIONS &amp; CASH FLOW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</row>
    <row r="23" ht="15" customHeight="1" s="39">
      <c r="A23" s="46" t="inlineStr">
        <is>
          <t>Net Distributable Cash Flow (NDCF)</t>
        </is>
      </c>
      <c r="B23" s="47" t="inlineStr">
        <is>
          <t>INR cr</t>
        </is>
      </c>
      <c r="C23" s="56" t="n"/>
      <c r="D23" s="57" t="n">
        <v>1886.592</v>
      </c>
      <c r="E23" s="57" t="n">
        <v>1835.62</v>
      </c>
      <c r="F23" s="57" t="n">
        <v>2063.819</v>
      </c>
      <c r="G23" s="57" t="n">
        <v>2060.819</v>
      </c>
      <c r="H23" s="57" t="n">
        <v>2024.665</v>
      </c>
      <c r="I23" s="57" t="n">
        <v>2184.553</v>
      </c>
      <c r="J23" s="57" t="n">
        <v>2400.831</v>
      </c>
      <c r="K23" s="49">
        <f>IFERROR((J23-I23)/I23,"")</f>
        <v/>
      </c>
      <c r="L23" s="58" t="inlineStr">
        <is>
          <t>n/a</t>
        </is>
      </c>
      <c r="M23" s="58" t="inlineStr">
        <is>
          <t>n/a</t>
        </is>
      </c>
      <c r="N23" s="58" t="inlineStr">
        <is>
          <t>n/a</t>
        </is>
      </c>
      <c r="O23" s="58" t="inlineStr">
        <is>
          <t>n/a</t>
        </is>
      </c>
      <c r="P23" s="58" t="inlineStr">
        <is>
          <t>n/a</t>
        </is>
      </c>
      <c r="Q23" s="58" t="inlineStr">
        <is>
          <t>n/a</t>
        </is>
      </c>
      <c r="R23" s="58" t="inlineStr">
        <is>
          <t>n/a</t>
        </is>
      </c>
      <c r="S23" s="58" t="inlineStr">
        <is>
          <t>n/a</t>
        </is>
      </c>
      <c r="T23" s="58" t="inlineStr">
        <is>
          <t>n/a</t>
        </is>
      </c>
    </row>
    <row r="24" ht="15" customHeight="1" s="39">
      <c r="A24" s="46" t="inlineStr">
        <is>
          <t>Total Distribution</t>
        </is>
      </c>
      <c r="B24" s="47" t="inlineStr">
        <is>
          <t>INR cr</t>
        </is>
      </c>
      <c r="C24" s="56" t="n"/>
      <c r="D24" s="57" t="n">
        <v>1882.092</v>
      </c>
      <c r="E24" s="57" t="n">
        <v>1836.409</v>
      </c>
      <c r="F24" s="57" t="n">
        <v>2062.617</v>
      </c>
      <c r="G24" s="57" t="n">
        <v>2057.877</v>
      </c>
      <c r="H24" s="57" t="n">
        <v>2021.858</v>
      </c>
      <c r="I24" s="57" t="n">
        <v>2181.103</v>
      </c>
      <c r="J24" s="57" t="n">
        <v>2396.275</v>
      </c>
      <c r="K24" s="49">
        <f>IFERROR((J24-I24)/I24,"")</f>
        <v/>
      </c>
      <c r="L24" s="58" t="inlineStr">
        <is>
          <t>n/a</t>
        </is>
      </c>
      <c r="M24" s="58" t="inlineStr">
        <is>
          <t>n/a</t>
        </is>
      </c>
      <c r="N24" s="58" t="inlineStr">
        <is>
          <t>n/a</t>
        </is>
      </c>
      <c r="O24" s="58" t="inlineStr">
        <is>
          <t>n/a</t>
        </is>
      </c>
      <c r="P24" s="58" t="inlineStr">
        <is>
          <t>n/a</t>
        </is>
      </c>
      <c r="Q24" s="58" t="inlineStr">
        <is>
          <t>n/a</t>
        </is>
      </c>
      <c r="R24" s="58" t="inlineStr">
        <is>
          <t>n/a</t>
        </is>
      </c>
      <c r="S24" s="58" t="inlineStr">
        <is>
          <t>n/a</t>
        </is>
      </c>
      <c r="T24" s="58" t="inlineStr">
        <is>
          <t>n/a</t>
        </is>
      </c>
    </row>
    <row r="25" ht="15" customHeight="1" s="39">
      <c r="A25" s="46" t="inlineStr">
        <is>
          <t>Distribution per Unit (DPU)</t>
        </is>
      </c>
      <c r="B25" s="47" t="inlineStr">
        <is>
          <t>INR/unit</t>
        </is>
      </c>
      <c r="C25" s="59" t="n"/>
      <c r="D25" s="60" t="n">
        <v>24.39</v>
      </c>
      <c r="E25" s="60" t="n">
        <v>21.48</v>
      </c>
      <c r="F25" s="60" t="n">
        <v>21.76</v>
      </c>
      <c r="G25" s="60" t="n">
        <v>21.71</v>
      </c>
      <c r="H25" s="60" t="n">
        <v>21.33</v>
      </c>
      <c r="I25" s="60" t="n">
        <v>23.01</v>
      </c>
      <c r="J25" s="60" t="n">
        <v>25.28</v>
      </c>
      <c r="K25" s="49">
        <f>IFERROR((J25-I25)/I25,"")</f>
        <v/>
      </c>
      <c r="L25" s="58" t="inlineStr">
        <is>
          <t>n/a</t>
        </is>
      </c>
      <c r="M25" s="58" t="inlineStr">
        <is>
          <t>n/a</t>
        </is>
      </c>
      <c r="N25" s="58" t="inlineStr">
        <is>
          <t>n/a</t>
        </is>
      </c>
      <c r="O25" s="58" t="inlineStr">
        <is>
          <t>n/a</t>
        </is>
      </c>
      <c r="P25" s="58" t="inlineStr">
        <is>
          <t>n/a</t>
        </is>
      </c>
      <c r="Q25" s="58" t="inlineStr">
        <is>
          <t>n/a</t>
        </is>
      </c>
      <c r="R25" s="58" t="inlineStr">
        <is>
          <t>n/a</t>
        </is>
      </c>
      <c r="S25" s="58" t="inlineStr">
        <is>
          <t>n/a</t>
        </is>
      </c>
      <c r="T25" s="58" t="inlineStr">
        <is>
          <t>n/a</t>
        </is>
      </c>
    </row>
    <row r="26" ht="15" customHeight="1" s="39">
      <c r="A26" s="46" t="inlineStr">
        <is>
          <t>NDCF Payout Ratio</t>
        </is>
      </c>
      <c r="B26" s="47" t="inlineStr">
        <is>
          <t>%</t>
        </is>
      </c>
      <c r="C26" s="49">
        <f>IF(OR(C24="",C23="",N(C23)=0),"",C24/C23)</f>
        <v/>
      </c>
      <c r="D26" s="49">
        <f>IF(OR(D24="",D23="",N(D23)=0),"",D24/D23)</f>
        <v/>
      </c>
      <c r="E26" s="49">
        <f>IF(OR(E24="",E23="",N(E23)=0),"",E24/E23)</f>
        <v/>
      </c>
      <c r="F26" s="49">
        <f>IF(OR(F24="",F23="",N(F23)=0),"",F24/F23)</f>
        <v/>
      </c>
      <c r="G26" s="49">
        <f>IF(OR(G24="",G23="",N(G23)=0),"",G24/G23)</f>
        <v/>
      </c>
      <c r="H26" s="49">
        <f>IF(OR(H24="",H23="",N(H23)=0),"",H24/H23)</f>
        <v/>
      </c>
      <c r="I26" s="49">
        <f>IF(OR(I24="",I23="",N(I23)=0),"",I24/I23)</f>
        <v/>
      </c>
      <c r="J26" s="49">
        <f>IF(OR(J24="",J23="",N(J23)=0),"",J24/J23)</f>
        <v/>
      </c>
      <c r="L26" s="58" t="inlineStr">
        <is>
          <t>n/a</t>
        </is>
      </c>
      <c r="M26" s="58" t="inlineStr">
        <is>
          <t>n/a</t>
        </is>
      </c>
      <c r="N26" s="58" t="inlineStr">
        <is>
          <t>n/a</t>
        </is>
      </c>
      <c r="O26" s="58" t="inlineStr">
        <is>
          <t>n/a</t>
        </is>
      </c>
      <c r="P26" s="58" t="inlineStr">
        <is>
          <t>n/a</t>
        </is>
      </c>
      <c r="Q26" s="58" t="inlineStr">
        <is>
          <t>n/a</t>
        </is>
      </c>
      <c r="R26" s="58" t="inlineStr">
        <is>
          <t>n/a</t>
        </is>
      </c>
      <c r="S26" s="58" t="inlineStr">
        <is>
          <t>n/a</t>
        </is>
      </c>
      <c r="T26" s="58" t="inlineStr">
        <is>
          <t>n/a</t>
        </is>
      </c>
    </row>
    <row r="27" ht="15" customHeight="1" s="39">
      <c r="A27" s="53" t="inlineStr">
        <is>
          <t>BALANCE SHEET &amp; LEVERAGE</t>
        </is>
      </c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</row>
    <row r="28" ht="15" customHeight="1" s="39">
      <c r="A28" s="46" t="inlineStr">
        <is>
          <t>Gross Asset Value (GAV) / AUM</t>
        </is>
      </c>
      <c r="B28" s="47" t="inlineStr">
        <is>
          <t>INR cr</t>
        </is>
      </c>
      <c r="C28" s="57" t="n">
        <v>31612.4</v>
      </c>
      <c r="D28" s="57" t="n">
        <v>32974.625</v>
      </c>
      <c r="E28" s="57" t="n">
        <v>46605.125</v>
      </c>
      <c r="F28" s="57" t="n">
        <v>49007.8</v>
      </c>
      <c r="G28" s="57" t="n">
        <v>51414.114</v>
      </c>
      <c r="H28" s="57" t="n">
        <v>54911.478</v>
      </c>
      <c r="I28" s="57" t="n">
        <v>60567.286</v>
      </c>
      <c r="J28" s="57" t="n">
        <v>69943.73699999999</v>
      </c>
      <c r="K28" s="49">
        <f>IFERROR((J28-I28)/I28,"")</f>
        <v/>
      </c>
      <c r="L28" s="58" t="inlineStr">
        <is>
          <t>n/a</t>
        </is>
      </c>
      <c r="M28" s="58" t="inlineStr">
        <is>
          <t>n/a</t>
        </is>
      </c>
      <c r="N28" s="58" t="inlineStr">
        <is>
          <t>n/a</t>
        </is>
      </c>
      <c r="O28" s="58" t="inlineStr">
        <is>
          <t>n/a</t>
        </is>
      </c>
      <c r="P28" s="58" t="inlineStr">
        <is>
          <t>n/a</t>
        </is>
      </c>
      <c r="Q28" s="58" t="inlineStr">
        <is>
          <t>n/a</t>
        </is>
      </c>
      <c r="R28" s="58" t="inlineStr">
        <is>
          <t>n/a</t>
        </is>
      </c>
      <c r="S28" s="58" t="inlineStr">
        <is>
          <t>n/a</t>
        </is>
      </c>
      <c r="T28" s="58" t="inlineStr">
        <is>
          <t>n/a</t>
        </is>
      </c>
    </row>
    <row r="29" ht="15" customHeight="1" s="39">
      <c r="A29" s="46" t="inlineStr">
        <is>
          <t>Gross Debt</t>
        </is>
      </c>
      <c r="B29" s="47" t="inlineStr">
        <is>
          <t>INR cr</t>
        </is>
      </c>
      <c r="C29" s="57" t="n">
        <v>7124.565</v>
      </c>
      <c r="D29" s="57" t="n">
        <v>5617.051</v>
      </c>
      <c r="E29" s="57" t="n">
        <v>10622.3</v>
      </c>
      <c r="F29" s="57" t="n">
        <v>12101.352</v>
      </c>
      <c r="G29" s="57" t="n">
        <v>14805.496</v>
      </c>
      <c r="H29" s="57" t="n">
        <v>16807.953</v>
      </c>
      <c r="I29" s="57" t="n">
        <v>19807.304</v>
      </c>
      <c r="J29" s="57" t="n">
        <v>22384.789</v>
      </c>
      <c r="K29" s="49">
        <f>IFERROR((J29-I29)/I29,"")</f>
        <v/>
      </c>
      <c r="L29" s="57" t="n">
        <v>0</v>
      </c>
      <c r="M29" s="56" t="n"/>
      <c r="N29" s="57" t="n">
        <v>8331.91</v>
      </c>
      <c r="O29" s="57" t="n">
        <v>7449.133</v>
      </c>
      <c r="P29" s="57" t="n">
        <v>9465.781000000001</v>
      </c>
      <c r="Q29" s="57" t="n">
        <v>9144.66</v>
      </c>
      <c r="R29" s="57" t="n">
        <v>8064.714</v>
      </c>
      <c r="S29" s="57" t="n">
        <v>12114.256</v>
      </c>
      <c r="T29" s="49">
        <f>IFERROR((S29-R29)/R29,"")</f>
        <v/>
      </c>
    </row>
    <row r="30" ht="15" customHeight="1" s="39">
      <c r="A30" s="46" t="inlineStr">
        <is>
          <t>Cash &amp; Cash Equivalents</t>
        </is>
      </c>
      <c r="B30" s="47" t="inlineStr">
        <is>
          <t>INR cr</t>
        </is>
      </c>
      <c r="C30" s="57" t="n">
        <v>4961.271</v>
      </c>
      <c r="D30" s="57" t="n">
        <v>324.916</v>
      </c>
      <c r="E30" s="57" t="n">
        <v>917.478</v>
      </c>
      <c r="F30" s="57" t="n">
        <v>588.449</v>
      </c>
      <c r="G30" s="57" t="n">
        <v>817.348</v>
      </c>
      <c r="H30" s="57" t="n">
        <v>1026.847</v>
      </c>
      <c r="I30" s="57" t="n">
        <v>676.586</v>
      </c>
      <c r="J30" s="57" t="n">
        <v>980.376</v>
      </c>
      <c r="K30" s="49">
        <f>IFERROR((J30-I30)/I30,"")</f>
        <v/>
      </c>
      <c r="L30" s="57" t="n">
        <v>4281.853</v>
      </c>
      <c r="M30" s="56" t="n"/>
      <c r="N30" s="57" t="n">
        <v>717.126</v>
      </c>
      <c r="O30" s="57" t="n">
        <v>520.047</v>
      </c>
      <c r="P30" s="57" t="n">
        <v>528.015</v>
      </c>
      <c r="Q30" s="57" t="n">
        <v>518.712</v>
      </c>
      <c r="R30" s="57" t="n">
        <v>0.966</v>
      </c>
      <c r="S30" s="57" t="n">
        <v>153.643</v>
      </c>
      <c r="T30" s="49">
        <f>IFERROR((S30-R30)/R30,"")</f>
        <v/>
      </c>
    </row>
    <row r="31" ht="15" customHeight="1" s="39">
      <c r="A31" s="46" t="inlineStr">
        <is>
          <t>Net Debt</t>
        </is>
      </c>
      <c r="B31" s="47" t="inlineStr">
        <is>
          <t>INR cr</t>
        </is>
      </c>
      <c r="C31" s="48">
        <f>IF(C29="","",C29-N(C30))</f>
        <v/>
      </c>
      <c r="D31" s="48">
        <f>IF(D29="","",D29-N(D30))</f>
        <v/>
      </c>
      <c r="E31" s="48">
        <f>IF(E29="","",E29-N(E30))</f>
        <v/>
      </c>
      <c r="F31" s="48">
        <f>IF(F29="","",F29-N(F30))</f>
        <v/>
      </c>
      <c r="G31" s="48">
        <f>IF(G29="","",G29-N(G30))</f>
        <v/>
      </c>
      <c r="H31" s="48">
        <f>IF(H29="","",H29-N(H30))</f>
        <v/>
      </c>
      <c r="I31" s="48">
        <f>IF(I29="","",I29-N(I30))</f>
        <v/>
      </c>
      <c r="J31" s="48">
        <f>IF(J29="","",J29-N(J30))</f>
        <v/>
      </c>
      <c r="K31" s="49">
        <f>IFERROR((J31-I31)/I31,"")</f>
        <v/>
      </c>
      <c r="L31" s="48">
        <f>IF(L29="","",L29-N(L30))</f>
        <v/>
      </c>
      <c r="M31" s="48">
        <f>IF(M29="","",M29-N(M30))</f>
        <v/>
      </c>
      <c r="N31" s="48">
        <f>IF(N29="","",N29-N(N30))</f>
        <v/>
      </c>
      <c r="O31" s="48">
        <f>IF(O29="","",O29-N(O30))</f>
        <v/>
      </c>
      <c r="P31" s="48">
        <f>IF(P29="","",P29-N(P30))</f>
        <v/>
      </c>
      <c r="Q31" s="48">
        <f>IF(Q29="","",Q29-N(Q30))</f>
        <v/>
      </c>
      <c r="R31" s="48">
        <f>IF(R29="","",R29-N(R30))</f>
        <v/>
      </c>
      <c r="S31" s="48">
        <f>IF(S29="","",S29-N(S30))</f>
        <v/>
      </c>
      <c r="T31" s="49">
        <f>IFERROR((S31-R31)/R31,"")</f>
        <v/>
      </c>
    </row>
    <row r="32" ht="15" customHeight="1" s="39">
      <c r="A32" s="46" t="inlineStr">
        <is>
          <t>Net Worth / Unitholders Equity</t>
        </is>
      </c>
      <c r="B32" s="47" t="inlineStr">
        <is>
          <t>INR cr</t>
        </is>
      </c>
      <c r="C32" s="57" t="n">
        <v>22894.479</v>
      </c>
      <c r="D32" s="57" t="n">
        <v>22317.784</v>
      </c>
      <c r="E32" s="57" t="n">
        <v>27093.067</v>
      </c>
      <c r="F32" s="57" t="n">
        <v>25886.69</v>
      </c>
      <c r="G32" s="57" t="n">
        <v>24368.298</v>
      </c>
      <c r="H32" s="57" t="n">
        <v>23274.175</v>
      </c>
      <c r="I32" s="57" t="n">
        <v>22761.16</v>
      </c>
      <c r="J32" s="57" t="n">
        <v>20780.179</v>
      </c>
      <c r="K32" s="49">
        <f>IFERROR((J32-I32)/I32,"")</f>
        <v/>
      </c>
      <c r="L32" s="57" t="n">
        <v>22894.479</v>
      </c>
      <c r="M32" s="56" t="n"/>
      <c r="N32" s="57" t="n">
        <v>26557.922</v>
      </c>
      <c r="O32" s="57" t="n">
        <v>25802.819</v>
      </c>
      <c r="P32" s="57" t="n">
        <v>25057.266</v>
      </c>
      <c r="Q32" s="57" t="n">
        <v>24205.265</v>
      </c>
      <c r="R32" s="57" t="n">
        <v>22698.917</v>
      </c>
      <c r="S32" s="57" t="n">
        <v>21693.862</v>
      </c>
      <c r="T32" s="49">
        <f>IFERROR((S32-R32)/R32,"")</f>
        <v/>
      </c>
    </row>
    <row r="33" ht="15" customHeight="1" s="39">
      <c r="A33" s="46" t="inlineStr">
        <is>
          <t>Loan-to-Value (LTV)</t>
        </is>
      </c>
      <c r="B33" s="47" t="inlineStr">
        <is>
          <t>%</t>
        </is>
      </c>
      <c r="C33" s="49">
        <f>IF(OR(C31="",C28="",N(C28)=0),"",C31/C28)</f>
        <v/>
      </c>
      <c r="D33" s="49">
        <f>IF(OR(D31="",D28="",N(D28)=0),"",D31/D28)</f>
        <v/>
      </c>
      <c r="E33" s="49">
        <f>IF(OR(E31="",E28="",N(E28)=0),"",E31/E28)</f>
        <v/>
      </c>
      <c r="F33" s="49">
        <f>IF(OR(F31="",F28="",N(F28)=0),"",F31/F28)</f>
        <v/>
      </c>
      <c r="G33" s="49">
        <f>IF(OR(G31="",G28="",N(G28)=0),"",G31/G28)</f>
        <v/>
      </c>
      <c r="H33" s="49">
        <f>IF(OR(H31="",H28="",N(H28)=0),"",H31/H28)</f>
        <v/>
      </c>
      <c r="I33" s="49">
        <f>IF(OR(I31="",I28="",N(I28)=0),"",I31/I28)</f>
        <v/>
      </c>
      <c r="J33" s="49">
        <f>IF(OR(J31="",J28="",N(J28)=0),"",J31/J28)</f>
        <v/>
      </c>
      <c r="L33" s="49">
        <f>IF(OR(L31="",L28="",N(L28)=0),"",L31/L28)</f>
        <v/>
      </c>
      <c r="M33" s="49">
        <f>IF(OR(M31="",M28="",N(M28)=0),"",M31/M28)</f>
        <v/>
      </c>
      <c r="N33" s="49">
        <f>IF(OR(N31="",N28="",N(N28)=0),"",N31/N28)</f>
        <v/>
      </c>
      <c r="O33" s="49">
        <f>IF(OR(O31="",O28="",N(O28)=0),"",O31/O28)</f>
        <v/>
      </c>
      <c r="P33" s="49">
        <f>IF(OR(P31="",P28="",N(P28)=0),"",P31/P28)</f>
        <v/>
      </c>
      <c r="Q33" s="49">
        <f>IF(OR(Q31="",Q28="",N(Q28)=0),"",Q31/Q28)</f>
        <v/>
      </c>
      <c r="R33" s="49">
        <f>IF(OR(R31="",R28="",N(R28)=0),"",R31/R28)</f>
        <v/>
      </c>
      <c r="S33" s="49">
        <f>IF(OR(S31="",S28="",N(S28)=0),"",S31/S28)</f>
        <v/>
      </c>
    </row>
    <row r="34" ht="15" customHeight="1" s="39">
      <c r="A34" s="46" t="inlineStr">
        <is>
          <t>NAV per Unit</t>
        </is>
      </c>
      <c r="B34" s="47" t="inlineStr">
        <is>
          <t>INR/unit</t>
        </is>
      </c>
      <c r="C34" s="60" t="n">
        <v>362</v>
      </c>
      <c r="D34" s="60" t="n">
        <v>374.64</v>
      </c>
      <c r="E34" s="60" t="n">
        <v>387.54</v>
      </c>
      <c r="F34" s="60" t="n">
        <v>393.9</v>
      </c>
      <c r="G34" s="60" t="n">
        <v>394.88</v>
      </c>
      <c r="H34" s="60" t="n">
        <v>401.59</v>
      </c>
      <c r="I34" s="60" t="n">
        <v>423.22</v>
      </c>
      <c r="J34" s="60" t="n">
        <v>491.62</v>
      </c>
      <c r="K34" s="49">
        <f>IFERROR((J34-I34)/I34,"")</f>
        <v/>
      </c>
      <c r="L34" s="58" t="inlineStr">
        <is>
          <t>n/a</t>
        </is>
      </c>
      <c r="M34" s="58" t="inlineStr">
        <is>
          <t>n/a</t>
        </is>
      </c>
      <c r="N34" s="58" t="inlineStr">
        <is>
          <t>n/a</t>
        </is>
      </c>
      <c r="O34" s="58" t="inlineStr">
        <is>
          <t>n/a</t>
        </is>
      </c>
      <c r="P34" s="58" t="inlineStr">
        <is>
          <t>n/a</t>
        </is>
      </c>
      <c r="Q34" s="58" t="inlineStr">
        <is>
          <t>n/a</t>
        </is>
      </c>
      <c r="R34" s="58" t="inlineStr">
        <is>
          <t>n/a</t>
        </is>
      </c>
      <c r="S34" s="58" t="inlineStr">
        <is>
          <t>n/a</t>
        </is>
      </c>
      <c r="T34" s="58" t="inlineStr">
        <is>
          <t>n/a</t>
        </is>
      </c>
    </row>
    <row r="35" ht="15" customHeight="1" s="39">
      <c r="A35" s="53" t="inlineStr">
        <is>
          <t>MARKET DATA</t>
        </is>
      </c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</row>
    <row r="36" ht="15" customHeight="1" s="39">
      <c r="A36" s="46" t="inlineStr">
        <is>
          <t>Units Outstanding</t>
        </is>
      </c>
      <c r="B36" s="47" t="inlineStr">
        <is>
          <t>mn units</t>
        </is>
      </c>
      <c r="C36" s="60" t="n">
        <v>771.67</v>
      </c>
      <c r="D36" s="60" t="n">
        <v>771.67</v>
      </c>
      <c r="E36" s="60" t="n">
        <v>947.89</v>
      </c>
      <c r="F36" s="60" t="n">
        <v>947.89</v>
      </c>
      <c r="G36" s="60" t="n">
        <v>947.89</v>
      </c>
      <c r="H36" s="60" t="n">
        <v>947.89</v>
      </c>
      <c r="I36" s="60" t="n">
        <v>947.89</v>
      </c>
      <c r="J36" s="60" t="n">
        <v>947.89</v>
      </c>
      <c r="K36" s="49">
        <f>IFERROR((J36-I36)/I36,"")</f>
        <v/>
      </c>
      <c r="L36" s="58" t="inlineStr">
        <is>
          <t>n/a</t>
        </is>
      </c>
      <c r="M36" s="58" t="inlineStr">
        <is>
          <t>n/a</t>
        </is>
      </c>
      <c r="N36" s="58" t="inlineStr">
        <is>
          <t>n/a</t>
        </is>
      </c>
      <c r="O36" s="58" t="inlineStr">
        <is>
          <t>n/a</t>
        </is>
      </c>
      <c r="P36" s="58" t="inlineStr">
        <is>
          <t>n/a</t>
        </is>
      </c>
      <c r="Q36" s="58" t="inlineStr">
        <is>
          <t>n/a</t>
        </is>
      </c>
      <c r="R36" s="58" t="inlineStr">
        <is>
          <t>n/a</t>
        </is>
      </c>
      <c r="S36" s="58" t="inlineStr">
        <is>
          <t>n/a</t>
        </is>
      </c>
      <c r="T36" s="58" t="inlineStr">
        <is>
          <t>n/a</t>
        </is>
      </c>
    </row>
    <row r="37" ht="15" customHeight="1" s="39">
      <c r="A37" s="46" t="inlineStr">
        <is>
          <t>Unit Price (period-end)</t>
        </is>
      </c>
      <c r="B37" s="47" t="inlineStr">
        <is>
          <t>INR/unit</t>
        </is>
      </c>
      <c r="C37" s="59" t="n"/>
      <c r="D37" s="59" t="n"/>
      <c r="E37" s="60" t="n">
        <v>325.45</v>
      </c>
      <c r="F37" s="60" t="n">
        <v>370.11</v>
      </c>
      <c r="G37" s="60" t="n">
        <v>312.6</v>
      </c>
      <c r="H37" s="60" t="n">
        <v>369.61</v>
      </c>
      <c r="I37" s="60" t="n">
        <v>365.49</v>
      </c>
      <c r="J37" s="60" t="n">
        <v>420.3</v>
      </c>
      <c r="K37" s="49">
        <f>IFERROR((J37-I37)/I37,"")</f>
        <v/>
      </c>
      <c r="L37" s="58" t="inlineStr">
        <is>
          <t>n/a</t>
        </is>
      </c>
      <c r="M37" s="58" t="inlineStr">
        <is>
          <t>n/a</t>
        </is>
      </c>
      <c r="N37" s="58" t="inlineStr">
        <is>
          <t>n/a</t>
        </is>
      </c>
      <c r="O37" s="58" t="inlineStr">
        <is>
          <t>n/a</t>
        </is>
      </c>
      <c r="P37" s="58" t="inlineStr">
        <is>
          <t>n/a</t>
        </is>
      </c>
      <c r="Q37" s="58" t="inlineStr">
        <is>
          <t>n/a</t>
        </is>
      </c>
      <c r="R37" s="58" t="inlineStr">
        <is>
          <t>n/a</t>
        </is>
      </c>
      <c r="S37" s="58" t="inlineStr">
        <is>
          <t>n/a</t>
        </is>
      </c>
      <c r="T37" s="58" t="inlineStr">
        <is>
          <t>n/a</t>
        </is>
      </c>
    </row>
    <row r="38" ht="15" customHeight="1" s="39">
      <c r="A38" s="46" t="inlineStr">
        <is>
          <t>Market Capitalisation</t>
        </is>
      </c>
      <c r="B38" s="47" t="inlineStr">
        <is>
          <t>INR cr</t>
        </is>
      </c>
      <c r="C38" s="48">
        <f>IF(OR(C36="",C37=""),"",C36*C37/10)</f>
        <v/>
      </c>
      <c r="D38" s="48">
        <f>IF(OR(D36="",D37=""),"",D36*D37/10)</f>
        <v/>
      </c>
      <c r="E38" s="48">
        <f>IF(OR(E36="",E37=""),"",E36*E37/10)</f>
        <v/>
      </c>
      <c r="F38" s="48">
        <f>IF(OR(F36="",F37=""),"",F36*F37/10)</f>
        <v/>
      </c>
      <c r="G38" s="48">
        <f>IF(OR(G36="",G37=""),"",G36*G37/10)</f>
        <v/>
      </c>
      <c r="H38" s="48">
        <f>IF(OR(H36="",H37=""),"",H36*H37/10)</f>
        <v/>
      </c>
      <c r="I38" s="48">
        <f>IF(OR(I36="",I37=""),"",I36*I37/10)</f>
        <v/>
      </c>
      <c r="J38" s="48">
        <f>IF(OR(J36="",J37=""),"",J36*J37/10)</f>
        <v/>
      </c>
      <c r="K38" s="49">
        <f>IFERROR((J38-I38)/I38,"")</f>
        <v/>
      </c>
      <c r="L38" s="58" t="inlineStr">
        <is>
          <t>n/a</t>
        </is>
      </c>
      <c r="M38" s="58" t="inlineStr">
        <is>
          <t>n/a</t>
        </is>
      </c>
      <c r="N38" s="58" t="inlineStr">
        <is>
          <t>n/a</t>
        </is>
      </c>
      <c r="O38" s="58" t="inlineStr">
        <is>
          <t>n/a</t>
        </is>
      </c>
      <c r="P38" s="58" t="inlineStr">
        <is>
          <t>n/a</t>
        </is>
      </c>
      <c r="Q38" s="58" t="inlineStr">
        <is>
          <t>n/a</t>
        </is>
      </c>
      <c r="R38" s="58" t="inlineStr">
        <is>
          <t>n/a</t>
        </is>
      </c>
      <c r="S38" s="58" t="inlineStr">
        <is>
          <t>n/a</t>
        </is>
      </c>
      <c r="T38" s="58" t="inlineStr">
        <is>
          <t>n/a</t>
        </is>
      </c>
    </row>
    <row r="39" ht="15" customHeight="1" s="39">
      <c r="A39" s="46" t="inlineStr">
        <is>
          <t>Annual Distribution Yield</t>
        </is>
      </c>
      <c r="B39" s="47" t="inlineStr">
        <is>
          <t>%</t>
        </is>
      </c>
      <c r="C39" s="49">
        <f>IF(OR(C25="",C37="",N(C37)=0),"",C25/C37)</f>
        <v/>
      </c>
      <c r="D39" s="49">
        <f>IF(OR(D25="",D37="",N(D37)=0),"",D25/D37)</f>
        <v/>
      </c>
      <c r="E39" s="49">
        <f>IF(OR(E25="",E37="",N(E37)=0),"",E25/E37)</f>
        <v/>
      </c>
      <c r="F39" s="49">
        <f>IF(OR(F25="",F37="",N(F37)=0),"",F25/F37)</f>
        <v/>
      </c>
      <c r="G39" s="49">
        <f>IF(OR(G25="",G37="",N(G37)=0),"",G25/G37)</f>
        <v/>
      </c>
      <c r="H39" s="49">
        <f>IF(OR(H25="",H37="",N(H37)=0),"",H25/H37)</f>
        <v/>
      </c>
      <c r="I39" s="49">
        <f>IF(OR(I25="",I37="",N(I37)=0),"",I25/I37)</f>
        <v/>
      </c>
      <c r="J39" s="49">
        <f>IF(OR(J25="",J37="",N(J37)=0),"",J25/J37)</f>
        <v/>
      </c>
      <c r="L39" s="58" t="inlineStr">
        <is>
          <t>n/a</t>
        </is>
      </c>
      <c r="M39" s="58" t="inlineStr">
        <is>
          <t>n/a</t>
        </is>
      </c>
      <c r="N39" s="58" t="inlineStr">
        <is>
          <t>n/a</t>
        </is>
      </c>
      <c r="O39" s="58" t="inlineStr">
        <is>
          <t>n/a</t>
        </is>
      </c>
      <c r="P39" s="58" t="inlineStr">
        <is>
          <t>n/a</t>
        </is>
      </c>
      <c r="Q39" s="58" t="inlineStr">
        <is>
          <t>n/a</t>
        </is>
      </c>
      <c r="R39" s="58" t="inlineStr">
        <is>
          <t>n/a</t>
        </is>
      </c>
      <c r="S39" s="58" t="inlineStr">
        <is>
          <t>n/a</t>
        </is>
      </c>
      <c r="T39" s="58" t="inlineStr">
        <is>
          <t>n/a</t>
        </is>
      </c>
    </row>
    <row r="40" ht="15" customHeight="1" s="39">
      <c r="A40" s="46" t="inlineStr">
        <is>
          <t>Cost of Debt</t>
        </is>
      </c>
      <c r="B40" s="47" t="inlineStr">
        <is>
          <t>%</t>
        </is>
      </c>
      <c r="C40" s="61" t="n"/>
      <c r="D40" s="61" t="n">
        <v>0.095</v>
      </c>
      <c r="E40" s="62" t="n">
        <v>0.0781</v>
      </c>
      <c r="F40" s="62" t="n">
        <v>0.067</v>
      </c>
      <c r="G40" s="62" t="n">
        <v>0.07199999999999999</v>
      </c>
      <c r="H40" s="62" t="n">
        <v>0.078</v>
      </c>
      <c r="I40" s="62" t="n">
        <v>0.079</v>
      </c>
      <c r="J40" s="62" t="n">
        <v>0.0725</v>
      </c>
      <c r="L40" s="58" t="inlineStr">
        <is>
          <t>n/a</t>
        </is>
      </c>
      <c r="M40" s="58" t="inlineStr">
        <is>
          <t>n/a</t>
        </is>
      </c>
      <c r="N40" s="58" t="inlineStr">
        <is>
          <t>n/a</t>
        </is>
      </c>
      <c r="O40" s="58" t="inlineStr">
        <is>
          <t>n/a</t>
        </is>
      </c>
      <c r="P40" s="58" t="inlineStr">
        <is>
          <t>n/a</t>
        </is>
      </c>
      <c r="Q40" s="58" t="inlineStr">
        <is>
          <t>n/a</t>
        </is>
      </c>
      <c r="R40" s="58" t="inlineStr">
        <is>
          <t>n/a</t>
        </is>
      </c>
      <c r="S40" s="58" t="inlineStr">
        <is>
          <t>n/a</t>
        </is>
      </c>
      <c r="T40" s="58" t="inlineStr">
        <is>
          <t>n/a</t>
        </is>
      </c>
    </row>
    <row r="41" ht="15" customHeight="1" s="39">
      <c r="A41" s="53" t="inlineStr">
        <is>
          <t>PORTFOLIO &amp; OPERATING METRICS  (consolidated)</t>
        </is>
      </c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</row>
    <row r="42" ht="15" customHeight="1" s="39">
      <c r="A42" s="46" t="inlineStr">
        <is>
          <t>Total Leasable Area (GLA)</t>
        </is>
      </c>
      <c r="B42" s="47" t="inlineStr">
        <is>
          <t>Msf</t>
        </is>
      </c>
      <c r="C42" s="63" t="n">
        <v>32.7</v>
      </c>
      <c r="D42" s="63" t="n">
        <v>33.3</v>
      </c>
      <c r="E42" s="63" t="n">
        <v>42.4</v>
      </c>
      <c r="F42" s="63" t="n">
        <v>42.8</v>
      </c>
      <c r="G42" s="63" t="n">
        <v>45</v>
      </c>
      <c r="H42" s="63" t="n">
        <v>45.4</v>
      </c>
      <c r="I42" s="63" t="n">
        <v>51.1</v>
      </c>
      <c r="J42" s="63" t="n">
        <v>52.5</v>
      </c>
      <c r="K42" s="49">
        <f>IFERROR((J42-I42)/I42,"")</f>
        <v/>
      </c>
      <c r="L42" s="58" t="inlineStr">
        <is>
          <t>n/a</t>
        </is>
      </c>
      <c r="M42" s="58" t="inlineStr">
        <is>
          <t>n/a</t>
        </is>
      </c>
      <c r="N42" s="58" t="inlineStr">
        <is>
          <t>n/a</t>
        </is>
      </c>
      <c r="O42" s="58" t="inlineStr">
        <is>
          <t>n/a</t>
        </is>
      </c>
      <c r="P42" s="58" t="inlineStr">
        <is>
          <t>n/a</t>
        </is>
      </c>
      <c r="Q42" s="58" t="inlineStr">
        <is>
          <t>n/a</t>
        </is>
      </c>
      <c r="R42" s="58" t="inlineStr">
        <is>
          <t>n/a</t>
        </is>
      </c>
      <c r="S42" s="58" t="inlineStr">
        <is>
          <t>n/a</t>
        </is>
      </c>
      <c r="T42" s="58" t="inlineStr">
        <is>
          <t>n/a</t>
        </is>
      </c>
    </row>
    <row r="43" ht="15" customHeight="1" s="39">
      <c r="A43" s="46" t="inlineStr">
        <is>
          <t>Operational Area</t>
        </is>
      </c>
      <c r="B43" s="47" t="inlineStr">
        <is>
          <t>Msf</t>
        </is>
      </c>
      <c r="C43" s="63" t="n">
        <v>24.8</v>
      </c>
      <c r="D43" s="63" t="n">
        <v>26.2</v>
      </c>
      <c r="E43" s="63" t="n">
        <v>32.3</v>
      </c>
      <c r="F43" s="63" t="n">
        <v>33.8</v>
      </c>
      <c r="G43" s="63" t="n">
        <v>34.3</v>
      </c>
      <c r="H43" s="63" t="n">
        <v>36.5</v>
      </c>
      <c r="I43" s="63" t="n">
        <v>40.3</v>
      </c>
      <c r="J43" s="63" t="n">
        <v>43.4</v>
      </c>
      <c r="K43" s="49">
        <f>IFERROR((J43-I43)/I43,"")</f>
        <v/>
      </c>
      <c r="L43" s="58" t="inlineStr">
        <is>
          <t>n/a</t>
        </is>
      </c>
      <c r="M43" s="58" t="inlineStr">
        <is>
          <t>n/a</t>
        </is>
      </c>
      <c r="N43" s="58" t="inlineStr">
        <is>
          <t>n/a</t>
        </is>
      </c>
      <c r="O43" s="58" t="inlineStr">
        <is>
          <t>n/a</t>
        </is>
      </c>
      <c r="P43" s="58" t="inlineStr">
        <is>
          <t>n/a</t>
        </is>
      </c>
      <c r="Q43" s="58" t="inlineStr">
        <is>
          <t>n/a</t>
        </is>
      </c>
      <c r="R43" s="58" t="inlineStr">
        <is>
          <t>n/a</t>
        </is>
      </c>
      <c r="S43" s="58" t="inlineStr">
        <is>
          <t>n/a</t>
        </is>
      </c>
      <c r="T43" s="58" t="inlineStr">
        <is>
          <t>n/a</t>
        </is>
      </c>
    </row>
    <row r="44" ht="15" customHeight="1" s="39">
      <c r="A44" s="46" t="inlineStr">
        <is>
          <t>Under Construction + Future Development</t>
        </is>
      </c>
      <c r="B44" s="47" t="inlineStr">
        <is>
          <t>Msf</t>
        </is>
      </c>
      <c r="C44" s="63" t="n">
        <v>7.9</v>
      </c>
      <c r="D44" s="63" t="n">
        <v>7.1</v>
      </c>
      <c r="E44" s="63" t="n">
        <v>10.1</v>
      </c>
      <c r="F44" s="63" t="n">
        <v>9</v>
      </c>
      <c r="G44" s="63" t="n">
        <v>10.7</v>
      </c>
      <c r="H44" s="63" t="n">
        <v>8.9</v>
      </c>
      <c r="I44" s="63" t="n">
        <v>10.9</v>
      </c>
      <c r="J44" s="63" t="n">
        <v>9.1</v>
      </c>
      <c r="K44" s="49">
        <f>IFERROR((J44-I44)/I44,"")</f>
        <v/>
      </c>
      <c r="L44" s="58" t="inlineStr">
        <is>
          <t>n/a</t>
        </is>
      </c>
      <c r="M44" s="58" t="inlineStr">
        <is>
          <t>n/a</t>
        </is>
      </c>
      <c r="N44" s="58" t="inlineStr">
        <is>
          <t>n/a</t>
        </is>
      </c>
      <c r="O44" s="58" t="inlineStr">
        <is>
          <t>n/a</t>
        </is>
      </c>
      <c r="P44" s="58" t="inlineStr">
        <is>
          <t>n/a</t>
        </is>
      </c>
      <c r="Q44" s="58" t="inlineStr">
        <is>
          <t>n/a</t>
        </is>
      </c>
      <c r="R44" s="58" t="inlineStr">
        <is>
          <t>n/a</t>
        </is>
      </c>
      <c r="S44" s="58" t="inlineStr">
        <is>
          <t>n/a</t>
        </is>
      </c>
      <c r="T44" s="58" t="inlineStr">
        <is>
          <t>n/a</t>
        </is>
      </c>
    </row>
    <row r="45" ht="15" customHeight="1" s="39">
      <c r="A45" s="46" t="inlineStr">
        <is>
          <t>Committed Occupancy</t>
        </is>
      </c>
      <c r="B45" s="47" t="inlineStr">
        <is>
          <t>%</t>
        </is>
      </c>
      <c r="C45" s="61" t="n"/>
      <c r="D45" s="61" t="n"/>
      <c r="E45" s="61" t="n"/>
      <c r="F45" s="61" t="n"/>
      <c r="G45" s="61" t="n"/>
      <c r="H45" s="61" t="n"/>
      <c r="I45" s="61" t="n"/>
      <c r="J45" s="62" t="n">
        <v>0.9399999999999999</v>
      </c>
      <c r="L45" s="58" t="inlineStr">
        <is>
          <t>n/a</t>
        </is>
      </c>
      <c r="M45" s="58" t="inlineStr">
        <is>
          <t>n/a</t>
        </is>
      </c>
      <c r="N45" s="58" t="inlineStr">
        <is>
          <t>n/a</t>
        </is>
      </c>
      <c r="O45" s="58" t="inlineStr">
        <is>
          <t>n/a</t>
        </is>
      </c>
      <c r="P45" s="58" t="inlineStr">
        <is>
          <t>n/a</t>
        </is>
      </c>
      <c r="Q45" s="58" t="inlineStr">
        <is>
          <t>n/a</t>
        </is>
      </c>
      <c r="R45" s="58" t="inlineStr">
        <is>
          <t>n/a</t>
        </is>
      </c>
      <c r="S45" s="58" t="inlineStr">
        <is>
          <t>n/a</t>
        </is>
      </c>
      <c r="T45" s="58" t="inlineStr">
        <is>
          <t>n/a</t>
        </is>
      </c>
    </row>
    <row r="46" ht="15" customHeight="1" s="39">
      <c r="A46" s="46" t="inlineStr">
        <is>
          <t>In-place / Physical Occupancy</t>
        </is>
      </c>
      <c r="B46" s="47" t="inlineStr">
        <is>
          <t>%</t>
        </is>
      </c>
      <c r="C46" s="62" t="n">
        <v>0.9429999999999999</v>
      </c>
      <c r="D46" s="62" t="n">
        <v>0.928</v>
      </c>
      <c r="E46" s="62" t="n">
        <v>0.889</v>
      </c>
      <c r="F46" s="62" t="n">
        <v>0.871</v>
      </c>
      <c r="G46" s="62" t="n">
        <v>0.86</v>
      </c>
      <c r="H46" s="62" t="n">
        <v>0.85</v>
      </c>
      <c r="I46" s="62" t="n">
        <v>0.87</v>
      </c>
      <c r="J46" s="62" t="n">
        <v>0.9</v>
      </c>
      <c r="L46" s="58" t="inlineStr">
        <is>
          <t>n/a</t>
        </is>
      </c>
      <c r="M46" s="58" t="inlineStr">
        <is>
          <t>n/a</t>
        </is>
      </c>
      <c r="N46" s="58" t="inlineStr">
        <is>
          <t>n/a</t>
        </is>
      </c>
      <c r="O46" s="58" t="inlineStr">
        <is>
          <t>n/a</t>
        </is>
      </c>
      <c r="P46" s="58" t="inlineStr">
        <is>
          <t>n/a</t>
        </is>
      </c>
      <c r="Q46" s="58" t="inlineStr">
        <is>
          <t>n/a</t>
        </is>
      </c>
      <c r="R46" s="58" t="inlineStr">
        <is>
          <t>n/a</t>
        </is>
      </c>
      <c r="S46" s="58" t="inlineStr">
        <is>
          <t>n/a</t>
        </is>
      </c>
      <c r="T46" s="58" t="inlineStr">
        <is>
          <t>n/a</t>
        </is>
      </c>
    </row>
    <row r="47" ht="15" customHeight="1" s="39">
      <c r="A47" s="46" t="inlineStr">
        <is>
          <t>WALE</t>
        </is>
      </c>
      <c r="B47" s="47" t="inlineStr">
        <is>
          <t>years</t>
        </is>
      </c>
      <c r="C47" s="63" t="n">
        <v>7</v>
      </c>
      <c r="D47" s="63" t="n">
        <v>7</v>
      </c>
      <c r="E47" s="63" t="n">
        <v>7</v>
      </c>
      <c r="F47" s="63" t="n">
        <v>7</v>
      </c>
      <c r="G47" s="63" t="n">
        <v>6.6</v>
      </c>
      <c r="H47" s="63" t="n">
        <v>6.8</v>
      </c>
      <c r="I47" s="63" t="n">
        <v>8.4</v>
      </c>
      <c r="J47" s="63" t="n">
        <v>8.5</v>
      </c>
      <c r="K47" s="49">
        <f>IFERROR((J47-I47)/I47,"")</f>
        <v/>
      </c>
      <c r="L47" s="58" t="inlineStr">
        <is>
          <t>n/a</t>
        </is>
      </c>
      <c r="M47" s="58" t="inlineStr">
        <is>
          <t>n/a</t>
        </is>
      </c>
      <c r="N47" s="58" t="inlineStr">
        <is>
          <t>n/a</t>
        </is>
      </c>
      <c r="O47" s="58" t="inlineStr">
        <is>
          <t>n/a</t>
        </is>
      </c>
      <c r="P47" s="58" t="inlineStr">
        <is>
          <t>n/a</t>
        </is>
      </c>
      <c r="Q47" s="58" t="inlineStr">
        <is>
          <t>n/a</t>
        </is>
      </c>
      <c r="R47" s="58" t="inlineStr">
        <is>
          <t>n/a</t>
        </is>
      </c>
      <c r="S47" s="58" t="inlineStr">
        <is>
          <t>n/a</t>
        </is>
      </c>
      <c r="T47" s="58" t="inlineStr">
        <is>
          <t>n/a</t>
        </is>
      </c>
    </row>
    <row r="48" ht="15" customHeight="1" s="39">
      <c r="A48" s="46" t="inlineStr">
        <is>
          <t>Number of Tenants</t>
        </is>
      </c>
      <c r="B48" s="47" t="inlineStr">
        <is>
          <t>count</t>
        </is>
      </c>
      <c r="C48" s="64" t="n">
        <v>160</v>
      </c>
      <c r="D48" s="64" t="n">
        <v>160</v>
      </c>
      <c r="E48" s="64" t="n">
        <v>190</v>
      </c>
      <c r="F48" s="64" t="n">
        <v>200</v>
      </c>
      <c r="G48" s="64" t="n">
        <v>230</v>
      </c>
      <c r="H48" s="64" t="n">
        <v>255</v>
      </c>
      <c r="I48" s="64" t="n">
        <v>272</v>
      </c>
      <c r="J48" s="64" t="n">
        <v>274</v>
      </c>
      <c r="K48" s="49">
        <f>IFERROR((J48-I48)/I48,"")</f>
        <v/>
      </c>
      <c r="L48" s="58" t="inlineStr">
        <is>
          <t>n/a</t>
        </is>
      </c>
      <c r="M48" s="58" t="inlineStr">
        <is>
          <t>n/a</t>
        </is>
      </c>
      <c r="N48" s="58" t="inlineStr">
        <is>
          <t>n/a</t>
        </is>
      </c>
      <c r="O48" s="58" t="inlineStr">
        <is>
          <t>n/a</t>
        </is>
      </c>
      <c r="P48" s="58" t="inlineStr">
        <is>
          <t>n/a</t>
        </is>
      </c>
      <c r="Q48" s="58" t="inlineStr">
        <is>
          <t>n/a</t>
        </is>
      </c>
      <c r="R48" s="58" t="inlineStr">
        <is>
          <t>n/a</t>
        </is>
      </c>
      <c r="S48" s="58" t="inlineStr">
        <is>
          <t>n/a</t>
        </is>
      </c>
      <c r="T48" s="58" t="inlineStr">
        <is>
          <t>n/a</t>
        </is>
      </c>
    </row>
    <row r="49" ht="15" customHeight="1" s="39">
      <c r="A49" s="46" t="inlineStr">
        <is>
          <t>In-place Rent</t>
        </is>
      </c>
      <c r="B49" s="47" t="inlineStr">
        <is>
          <t>INR psf/mo</t>
        </is>
      </c>
      <c r="C49" s="63" t="n">
        <v>63</v>
      </c>
      <c r="D49" s="63" t="n">
        <v>68</v>
      </c>
      <c r="E49" s="63" t="n">
        <v>71</v>
      </c>
      <c r="F49" s="63" t="n">
        <v>75</v>
      </c>
      <c r="G49" s="63" t="n">
        <v>80</v>
      </c>
      <c r="H49" s="63" t="n">
        <v>87</v>
      </c>
      <c r="I49" s="63" t="n">
        <v>92</v>
      </c>
      <c r="J49" s="63" t="n">
        <v>95</v>
      </c>
      <c r="K49" s="49">
        <f>IFERROR((J49-I49)/I49,"")</f>
        <v/>
      </c>
      <c r="L49" s="58" t="inlineStr">
        <is>
          <t>n/a</t>
        </is>
      </c>
      <c r="M49" s="58" t="inlineStr">
        <is>
          <t>n/a</t>
        </is>
      </c>
      <c r="N49" s="58" t="inlineStr">
        <is>
          <t>n/a</t>
        </is>
      </c>
      <c r="O49" s="58" t="inlineStr">
        <is>
          <t>n/a</t>
        </is>
      </c>
      <c r="P49" s="58" t="inlineStr">
        <is>
          <t>n/a</t>
        </is>
      </c>
      <c r="Q49" s="58" t="inlineStr">
        <is>
          <t>n/a</t>
        </is>
      </c>
      <c r="R49" s="58" t="inlineStr">
        <is>
          <t>n/a</t>
        </is>
      </c>
      <c r="S49" s="58" t="inlineStr">
        <is>
          <t>n/a</t>
        </is>
      </c>
      <c r="T49" s="58" t="inlineStr">
        <is>
          <t>n/a</t>
        </is>
      </c>
    </row>
    <row r="52" ht="15" customHeight="1" s="39">
      <c r="A52" s="65" t="inlineStr">
        <is>
          <t>DEBT &amp; NDCF / DISTRIBUTION DETAIL   (consolidated; INR cr unless noted)</t>
        </is>
      </c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</row>
    <row r="53" ht="15" customHeight="1" s="39">
      <c r="A53" s="67" t="inlineStr">
        <is>
          <t>Metric</t>
        </is>
      </c>
      <c r="B53" s="68" t="inlineStr">
        <is>
          <t>Unit</t>
        </is>
      </c>
      <c r="C53" s="68" t="inlineStr">
        <is>
          <t>FY2019</t>
        </is>
      </c>
      <c r="D53" s="68" t="inlineStr">
        <is>
          <t>FY2020</t>
        </is>
      </c>
      <c r="E53" s="68" t="inlineStr">
        <is>
          <t>FY2021</t>
        </is>
      </c>
      <c r="F53" s="68" t="inlineStr">
        <is>
          <t>FY2022</t>
        </is>
      </c>
      <c r="G53" s="68" t="inlineStr">
        <is>
          <t>FY2023</t>
        </is>
      </c>
      <c r="H53" s="68" t="inlineStr">
        <is>
          <t>FY2024</t>
        </is>
      </c>
      <c r="I53" s="68" t="inlineStr">
        <is>
          <t>FY2025</t>
        </is>
      </c>
      <c r="J53" s="68" t="inlineStr">
        <is>
          <t>FY2026</t>
        </is>
      </c>
    </row>
    <row r="54" ht="15" customHeight="1" s="39">
      <c r="A54" s="69" t="inlineStr">
        <is>
          <t>Distribution composition (NDCF -&gt; unitholders)</t>
        </is>
      </c>
      <c r="V54" s="38" t="inlineStr">
        <is>
          <t>Embassy REIT</t>
        </is>
      </c>
    </row>
    <row r="55" ht="15" customHeight="1" s="39">
      <c r="A55" s="46" t="inlineStr">
        <is>
          <t>Net Distributable Cash Flow (NDCF)</t>
        </is>
      </c>
      <c r="B55" s="47" t="inlineStr">
        <is>
          <t>INR cr</t>
        </is>
      </c>
      <c r="C55" s="48">
        <f>IF(N(C23)=0,IF(C23="","",C23),C23)</f>
        <v/>
      </c>
      <c r="D55" s="48">
        <f>IF(N(D23)=0,IF(D23="","",D23),D23)</f>
        <v/>
      </c>
      <c r="E55" s="48">
        <f>IF(N(E23)=0,IF(E23="","",E23),E23)</f>
        <v/>
      </c>
      <c r="F55" s="48">
        <f>IF(N(F23)=0,IF(F23="","",F23),F23)</f>
        <v/>
      </c>
      <c r="G55" s="48">
        <f>IF(N(G23)=0,IF(G23="","",G23),G23)</f>
        <v/>
      </c>
      <c r="H55" s="48">
        <f>IF(N(H23)=0,IF(H23="","",H23),H23)</f>
        <v/>
      </c>
      <c r="I55" s="48">
        <f>IF(N(I23)=0,IF(I23="","",I23),I23)</f>
        <v/>
      </c>
      <c r="J55" s="48">
        <f>IF(N(J23)=0,IF(J23="","",J23),J23)</f>
        <v/>
      </c>
    </row>
    <row r="56" ht="15" customHeight="1" s="39">
      <c r="A56" s="46" t="inlineStr">
        <is>
          <t>Total Distribution</t>
        </is>
      </c>
      <c r="B56" s="47" t="inlineStr">
        <is>
          <t>INR cr</t>
        </is>
      </c>
      <c r="C56" s="48">
        <f>IF(N(C24)=0,IF(C24="","",C24),C24)</f>
        <v/>
      </c>
      <c r="D56" s="48">
        <f>IF(N(D24)=0,IF(D24="","",D24),D24)</f>
        <v/>
      </c>
      <c r="E56" s="48">
        <f>IF(N(E24)=0,IF(E24="","",E24),E24)</f>
        <v/>
      </c>
      <c r="F56" s="48">
        <f>IF(N(F24)=0,IF(F24="","",F24),F24)</f>
        <v/>
      </c>
      <c r="G56" s="48">
        <f>IF(N(G24)=0,IF(G24="","",G24),G24)</f>
        <v/>
      </c>
      <c r="H56" s="48">
        <f>IF(N(H24)=0,IF(H24="","",H24),H24)</f>
        <v/>
      </c>
      <c r="I56" s="48">
        <f>IF(N(I24)=0,IF(I24="","",I24),I24)</f>
        <v/>
      </c>
      <c r="J56" s="48">
        <f>IF(N(J24)=0,IF(J24="","",J24),J24)</f>
        <v/>
      </c>
      <c r="S56" s="44">
        <f>A7</f>
        <v/>
      </c>
      <c r="T56" s="44">
        <f>B7</f>
        <v/>
      </c>
      <c r="U56" s="44">
        <f>C7</f>
        <v/>
      </c>
      <c r="V56" s="44">
        <f>D7</f>
        <v/>
      </c>
      <c r="W56" s="44">
        <f>E7</f>
        <v/>
      </c>
      <c r="X56" s="44">
        <f>F7</f>
        <v/>
      </c>
      <c r="Y56" s="44">
        <f>G7</f>
        <v/>
      </c>
      <c r="Z56" s="44">
        <f>H7</f>
        <v/>
      </c>
      <c r="AA56" s="44">
        <f>I7</f>
        <v/>
      </c>
      <c r="AB56" s="44">
        <f>J7</f>
        <v/>
      </c>
    </row>
    <row r="57" ht="15" customHeight="1" s="39">
      <c r="A57" s="46" t="inlineStr">
        <is>
          <t xml:space="preserve">  of which: Interest</t>
        </is>
      </c>
      <c r="B57" s="47" t="inlineStr">
        <is>
          <t>INR cr</t>
        </is>
      </c>
      <c r="C57" s="56" t="n"/>
      <c r="D57" s="56" t="n"/>
      <c r="E57" s="56" t="n"/>
      <c r="F57" s="56" t="n"/>
      <c r="G57" s="56" t="n"/>
      <c r="H57" s="56" t="n"/>
      <c r="I57" s="56" t="n"/>
      <c r="J57" s="56" t="n"/>
      <c r="S57" s="46">
        <f>A46</f>
        <v/>
      </c>
      <c r="T57" s="46">
        <f>B46</f>
        <v/>
      </c>
      <c r="U57" s="61">
        <f>C46*10</f>
        <v/>
      </c>
      <c r="V57" s="61">
        <f>D46*10</f>
        <v/>
      </c>
      <c r="W57" s="61">
        <f>E46*10</f>
        <v/>
      </c>
      <c r="X57" s="61">
        <f>F46*10</f>
        <v/>
      </c>
      <c r="Y57" s="61">
        <f>G46*10</f>
        <v/>
      </c>
      <c r="Z57" s="61">
        <f>H46*10</f>
        <v/>
      </c>
      <c r="AA57" s="61">
        <f>I46*10</f>
        <v/>
      </c>
      <c r="AB57" s="61">
        <f>J46*10</f>
        <v/>
      </c>
    </row>
    <row r="58" ht="15" customHeight="1" s="39">
      <c r="A58" s="46" t="inlineStr">
        <is>
          <t xml:space="preserve">  of which: Dividend</t>
        </is>
      </c>
      <c r="B58" s="47" t="inlineStr">
        <is>
          <t>INR cr</t>
        </is>
      </c>
      <c r="C58" s="56" t="n"/>
      <c r="D58" s="56" t="n"/>
      <c r="E58" s="56" t="n"/>
      <c r="F58" s="56" t="n"/>
      <c r="G58" s="56" t="n"/>
      <c r="H58" s="56" t="n"/>
      <c r="I58" s="56" t="n"/>
      <c r="J58" s="56" t="n"/>
      <c r="S58" s="46">
        <f>A47</f>
        <v/>
      </c>
      <c r="T58" s="46">
        <f>B47</f>
        <v/>
      </c>
      <c r="U58" s="70">
        <f>C47</f>
        <v/>
      </c>
      <c r="V58" s="70">
        <f>D47</f>
        <v/>
      </c>
      <c r="W58" s="70">
        <f>E47</f>
        <v/>
      </c>
      <c r="X58" s="70">
        <f>F47</f>
        <v/>
      </c>
      <c r="Y58" s="70">
        <f>G47</f>
        <v/>
      </c>
      <c r="Z58" s="70">
        <f>H47</f>
        <v/>
      </c>
      <c r="AA58" s="70">
        <f>I47</f>
        <v/>
      </c>
      <c r="AB58" s="70">
        <f>J47</f>
        <v/>
      </c>
    </row>
    <row r="59" ht="15" customHeight="1" s="39">
      <c r="A59" s="46" t="inlineStr">
        <is>
          <t xml:space="preserve">  of which: Return of capital (SPV/shareholder-loan repayment)</t>
        </is>
      </c>
      <c r="B59" s="47" t="inlineStr">
        <is>
          <t>INR cr</t>
        </is>
      </c>
      <c r="C59" s="56" t="n"/>
      <c r="D59" s="56" t="n"/>
      <c r="E59" s="56" t="n"/>
      <c r="F59" s="56" t="n"/>
      <c r="G59" s="56" t="n"/>
      <c r="H59" s="56" t="n"/>
      <c r="I59" s="56" t="n"/>
      <c r="J59" s="56" t="n"/>
    </row>
    <row r="60" ht="15" customHeight="1" s="39">
      <c r="A60" s="46" t="inlineStr">
        <is>
          <t xml:space="preserve">  of which: Other</t>
        </is>
      </c>
      <c r="B60" s="47" t="inlineStr">
        <is>
          <t>INR cr</t>
        </is>
      </c>
      <c r="C60" s="56" t="n"/>
      <c r="D60" s="56" t="n"/>
      <c r="E60" s="56" t="n"/>
      <c r="F60" s="56" t="n"/>
      <c r="G60" s="56" t="n"/>
      <c r="H60" s="56" t="n"/>
      <c r="I60" s="56" t="n"/>
      <c r="J60" s="56" t="n"/>
    </row>
    <row r="61" ht="15" customHeight="1" s="39">
      <c r="A61" s="46" t="inlineStr">
        <is>
          <t>Return-of-capital % of distribution</t>
        </is>
      </c>
      <c r="B61" s="47" t="inlineStr">
        <is>
          <t>%</t>
        </is>
      </c>
      <c r="C61" s="49">
        <f>IF(OR(C59="",C56="",N(C56)=0),"",C59/C56)</f>
        <v/>
      </c>
      <c r="D61" s="49">
        <f>IF(OR(D59="",D56="",N(D56)=0),"",D59/D56)</f>
        <v/>
      </c>
      <c r="E61" s="49">
        <f>IF(OR(E59="",E56="",N(E56)=0),"",E59/E56)</f>
        <v/>
      </c>
      <c r="F61" s="49">
        <f>IF(OR(F59="",F56="",N(F56)=0),"",F59/F56)</f>
        <v/>
      </c>
      <c r="G61" s="49">
        <f>IF(OR(G59="",G56="",N(G56)=0),"",G59/G56)</f>
        <v/>
      </c>
      <c r="H61" s="49">
        <f>IF(OR(H59="",H56="",N(H56)=0),"",H59/H56)</f>
        <v/>
      </c>
      <c r="I61" s="49">
        <f>IF(OR(I59="",I56="",N(I56)=0),"",I59/I56)</f>
        <v/>
      </c>
      <c r="J61" s="49">
        <f>IF(OR(J59="",J56="",N(J56)=0),"",J59/J56)</f>
        <v/>
      </c>
    </row>
    <row r="62" ht="15" customHeight="1" s="39">
      <c r="A62" s="46" t="inlineStr">
        <is>
          <t>Distribution per Unit (DPU)</t>
        </is>
      </c>
      <c r="B62" s="47" t="inlineStr">
        <is>
          <t>INR/unit</t>
        </is>
      </c>
      <c r="C62" s="50">
        <f>IF(N(C25)=0,IF(C25="","",C25),C25)</f>
        <v/>
      </c>
      <c r="D62" s="50">
        <f>IF(N(D25)=0,IF(D25="","",D25),D25)</f>
        <v/>
      </c>
      <c r="E62" s="50">
        <f>IF(N(E25)=0,IF(E25="","",E25),E25)</f>
        <v/>
      </c>
      <c r="F62" s="50">
        <f>IF(N(F25)=0,IF(F25="","",F25),F25)</f>
        <v/>
      </c>
      <c r="G62" s="50">
        <f>IF(N(G25)=0,IF(G25="","",G25),G25)</f>
        <v/>
      </c>
      <c r="H62" s="50">
        <f>IF(N(H25)=0,IF(H25="","",H25),H25)</f>
        <v/>
      </c>
      <c r="I62" s="50">
        <f>IF(N(I25)=0,IF(I25="","",I25),I25)</f>
        <v/>
      </c>
      <c r="J62" s="50">
        <f>IF(N(J25)=0,IF(J25="","",J25),J25)</f>
        <v/>
      </c>
    </row>
    <row r="63" ht="15" customHeight="1" s="39">
      <c r="A63" s="46" t="inlineStr">
        <is>
          <t xml:space="preserve">  DPU: Interest</t>
        </is>
      </c>
      <c r="B63" s="47" t="inlineStr">
        <is>
          <t>INR/unit</t>
        </is>
      </c>
      <c r="C63" s="59" t="n"/>
      <c r="D63" s="59" t="n"/>
      <c r="E63" s="59" t="n"/>
      <c r="F63" s="59" t="n"/>
      <c r="G63" s="59" t="n"/>
      <c r="H63" s="59" t="n"/>
      <c r="I63" s="59" t="n"/>
      <c r="J63" s="60" t="n">
        <v>0.14</v>
      </c>
    </row>
    <row r="64" ht="15" customHeight="1" s="39">
      <c r="A64" s="46" t="inlineStr">
        <is>
          <t xml:space="preserve">  DPU: Dividend</t>
        </is>
      </c>
      <c r="B64" s="47" t="inlineStr">
        <is>
          <t>INR/unit</t>
        </is>
      </c>
      <c r="C64" s="59" t="n"/>
      <c r="D64" s="59" t="n"/>
      <c r="E64" s="59" t="n"/>
      <c r="F64" s="59" t="n"/>
      <c r="G64" s="59" t="n"/>
      <c r="H64" s="59" t="n"/>
      <c r="I64" s="59" t="n"/>
      <c r="J64" s="60" t="n">
        <v>1.39</v>
      </c>
    </row>
    <row r="65" ht="15" customHeight="1" s="39">
      <c r="A65" s="46" t="inlineStr">
        <is>
          <t xml:space="preserve">  DPU: Return of capital</t>
        </is>
      </c>
      <c r="B65" s="47" t="inlineStr">
        <is>
          <t>INR/unit</t>
        </is>
      </c>
      <c r="C65" s="59" t="n"/>
      <c r="D65" s="59" t="n"/>
      <c r="E65" s="59" t="n"/>
      <c r="F65" s="59" t="n"/>
      <c r="G65" s="59" t="n"/>
      <c r="H65" s="59" t="n"/>
      <c r="I65" s="59" t="n"/>
      <c r="J65" s="60" t="n">
        <v>4.97</v>
      </c>
    </row>
    <row r="66" ht="15" customHeight="1" s="39">
      <c r="A66" s="46" t="inlineStr">
        <is>
          <t xml:space="preserve">  DPU: Other</t>
        </is>
      </c>
      <c r="B66" s="47" t="inlineStr">
        <is>
          <t>INR/unit</t>
        </is>
      </c>
      <c r="C66" s="59" t="n"/>
      <c r="D66" s="59" t="n"/>
      <c r="E66" s="59" t="n"/>
      <c r="F66" s="59" t="n"/>
      <c r="G66" s="59" t="n"/>
      <c r="H66" s="59" t="n"/>
      <c r="I66" s="59" t="n"/>
      <c r="J66" s="59" t="n"/>
    </row>
    <row r="67" ht="15" customHeight="1" s="39">
      <c r="A67" s="69" t="inlineStr">
        <is>
          <t>Debt &amp; leverage profile</t>
        </is>
      </c>
    </row>
    <row r="68" ht="15" customHeight="1" s="39">
      <c r="A68" s="46" t="inlineStr">
        <is>
          <t>Gross Debt - external (banks/NCDs/LRD)</t>
        </is>
      </c>
      <c r="B68" s="47" t="inlineStr">
        <is>
          <t>INR cr</t>
        </is>
      </c>
      <c r="C68" s="48">
        <f>IF(C29="","",C29)</f>
        <v/>
      </c>
      <c r="D68" s="48">
        <f>IF(D29="","",D29)</f>
        <v/>
      </c>
      <c r="E68" s="48">
        <f>IF(E29="","",E29)</f>
        <v/>
      </c>
      <c r="F68" s="48">
        <f>IF(F29="","",F29)</f>
        <v/>
      </c>
      <c r="G68" s="48">
        <f>IF(G29="","",G29)</f>
        <v/>
      </c>
      <c r="H68" s="57" t="n">
        <v>16807.953</v>
      </c>
      <c r="I68" s="57" t="n">
        <v>19807.304</v>
      </c>
      <c r="J68" s="57" t="n">
        <v>22384.789</v>
      </c>
    </row>
    <row r="69" ht="15" customHeight="1" s="39">
      <c r="A69" s="46" t="inlineStr">
        <is>
          <t>Shareholder / unitholder loans (Trust -&gt; SPVs)</t>
        </is>
      </c>
      <c r="B69" s="47" t="inlineStr">
        <is>
          <t>INR cr</t>
        </is>
      </c>
      <c r="C69" s="56" t="n"/>
      <c r="D69" s="56" t="n"/>
      <c r="E69" s="56" t="n"/>
      <c r="F69" s="56" t="n"/>
      <c r="G69" s="57" t="n">
        <v>9386.084000000001</v>
      </c>
      <c r="H69" s="57" t="n">
        <v>8288.92</v>
      </c>
      <c r="I69" s="57" t="n">
        <v>6450.427</v>
      </c>
      <c r="J69" s="57" t="n">
        <v>8797.061</v>
      </c>
    </row>
    <row r="70" ht="15" customHeight="1" s="39">
      <c r="A70" s="46" t="inlineStr">
        <is>
          <t>Cash &amp; Cash Equivalents</t>
        </is>
      </c>
      <c r="B70" s="47" t="inlineStr">
        <is>
          <t>INR cr</t>
        </is>
      </c>
      <c r="C70" s="48">
        <f>IF(N(C30)=0,IF(C30="","",C30),C30)</f>
        <v/>
      </c>
      <c r="D70" s="48">
        <f>IF(N(D30)=0,IF(D30="","",D30),D30)</f>
        <v/>
      </c>
      <c r="E70" s="48">
        <f>IF(N(E30)=0,IF(E30="","",E30),E30)</f>
        <v/>
      </c>
      <c r="F70" s="48">
        <f>IF(N(F30)=0,IF(F30="","",F30),F30)</f>
        <v/>
      </c>
      <c r="G70" s="48">
        <f>IF(N(G30)=0,IF(G30="","",G30),G30)</f>
        <v/>
      </c>
      <c r="H70" s="48">
        <f>IF(N(H30)=0,IF(H30="","",H30),H30)</f>
        <v/>
      </c>
      <c r="I70" s="48">
        <f>IF(N(I30)=0,IF(I30="","",I30),I30)</f>
        <v/>
      </c>
      <c r="J70" s="48">
        <f>IF(N(J30)=0,IF(J30="","",J30),J30)</f>
        <v/>
      </c>
    </row>
    <row r="71" ht="15" customHeight="1" s="39">
      <c r="A71" s="46" t="inlineStr">
        <is>
          <t>Net Debt</t>
        </is>
      </c>
      <c r="B71" s="47" t="inlineStr">
        <is>
          <t>INR cr</t>
        </is>
      </c>
      <c r="C71" s="48">
        <f>IF(N(C31)=0,IF(C31="","",C31),C31)</f>
        <v/>
      </c>
      <c r="D71" s="48">
        <f>IF(N(D31)=0,IF(D31="","",D31),D31)</f>
        <v/>
      </c>
      <c r="E71" s="48">
        <f>IF(N(E31)=0,IF(E31="","",E31),E31)</f>
        <v/>
      </c>
      <c r="F71" s="48">
        <f>IF(N(F31)=0,IF(F31="","",F31),F31)</f>
        <v/>
      </c>
      <c r="G71" s="48">
        <f>IF(N(G31)=0,IF(G31="","",G31),G31)</f>
        <v/>
      </c>
      <c r="H71" s="48">
        <f>IF(N(H31)=0,IF(H31="","",H31),H31)</f>
        <v/>
      </c>
      <c r="I71" s="48">
        <f>IF(N(I31)=0,IF(I31="","",I31),I31)</f>
        <v/>
      </c>
      <c r="J71" s="48">
        <f>IF(N(J31)=0,IF(J31="","",J31),J31)</f>
        <v/>
      </c>
    </row>
    <row r="72" ht="15" customHeight="1" s="39">
      <c r="A72" s="46" t="inlineStr">
        <is>
          <t>Gross Asset Value (GAV)</t>
        </is>
      </c>
      <c r="B72" s="47" t="inlineStr">
        <is>
          <t>INR cr</t>
        </is>
      </c>
      <c r="C72" s="48">
        <f>IF(N(C28)=0,IF(C28="","",C28),C28)</f>
        <v/>
      </c>
      <c r="D72" s="48">
        <f>IF(N(D28)=0,IF(D28="","",D28),D28)</f>
        <v/>
      </c>
      <c r="E72" s="48">
        <f>IF(N(E28)=0,IF(E28="","",E28),E28)</f>
        <v/>
      </c>
      <c r="F72" s="48">
        <f>IF(N(F28)=0,IF(F28="","",F28),F28)</f>
        <v/>
      </c>
      <c r="G72" s="48">
        <f>IF(N(G28)=0,IF(G28="","",G28),G28)</f>
        <v/>
      </c>
      <c r="H72" s="48">
        <f>IF(N(H28)=0,IF(H28="","",H28),H28)</f>
        <v/>
      </c>
      <c r="I72" s="48">
        <f>IF(N(I28)=0,IF(I28="","",I28),I28)</f>
        <v/>
      </c>
      <c r="J72" s="48">
        <f>IF(N(J28)=0,IF(J28="","",J28),J28)</f>
        <v/>
      </c>
    </row>
    <row r="73" ht="15" customHeight="1" s="39">
      <c r="A73" s="46" t="inlineStr">
        <is>
          <t>Loan-to-Value (LTV)</t>
        </is>
      </c>
      <c r="B73" s="47" t="inlineStr">
        <is>
          <t>%</t>
        </is>
      </c>
      <c r="C73" s="49">
        <f>IF(N(C33)=0,IF(C33="","",C33),C33)</f>
        <v/>
      </c>
      <c r="D73" s="49">
        <f>IF(N(D33)=0,IF(D33="","",D33),D33)</f>
        <v/>
      </c>
      <c r="E73" s="49">
        <f>IF(N(E33)=0,IF(E33="","",E33),E33)</f>
        <v/>
      </c>
      <c r="F73" s="49">
        <f>IF(N(F33)=0,IF(F33="","",F33),F33)</f>
        <v/>
      </c>
      <c r="G73" s="49">
        <f>IF(N(G33)=0,IF(G33="","",G33),G33)</f>
        <v/>
      </c>
      <c r="H73" s="49">
        <f>IF(N(H33)=0,IF(H33="","",H33),H33)</f>
        <v/>
      </c>
      <c r="I73" s="49">
        <f>IF(N(I33)=0,IF(I33="","",I33),I33)</f>
        <v/>
      </c>
      <c r="J73" s="49">
        <f>IF(N(J33)=0,IF(J33="","",J33),J33)</f>
        <v/>
      </c>
    </row>
    <row r="74" ht="15" customHeight="1" s="39">
      <c r="A74" s="46" t="inlineStr">
        <is>
          <t>Cost of Debt (wtd avg)</t>
        </is>
      </c>
      <c r="B74" s="47" t="inlineStr">
        <is>
          <t>%</t>
        </is>
      </c>
      <c r="C74" s="49">
        <f>IF(N(C40)=0,IF(C40="","",C40),C40)</f>
        <v/>
      </c>
      <c r="D74" s="49">
        <f>IF(N(D40)=0,IF(D40="","",D40),D40)</f>
        <v/>
      </c>
      <c r="E74" s="49">
        <f>IF(N(E40)=0,IF(E40="","",E40),E40)</f>
        <v/>
      </c>
      <c r="F74" s="49">
        <f>IF(N(F40)=0,IF(F40="","",F40),F40)</f>
        <v/>
      </c>
      <c r="G74" s="49">
        <f>IF(N(G40)=0,IF(G40="","",G40),G40)</f>
        <v/>
      </c>
      <c r="H74" s="49">
        <f>IF(N(H40)=0,IF(H40="","",H40),H40)</f>
        <v/>
      </c>
      <c r="I74" s="49">
        <f>IF(N(I40)=0,IF(I40="","",I40),I40)</f>
        <v/>
      </c>
      <c r="J74" s="49">
        <f>IF(N(J40)=0,IF(J40="","",J40),J40)</f>
        <v/>
      </c>
    </row>
    <row r="75" ht="15" customHeight="1" s="39">
      <c r="A75" s="46" t="inlineStr">
        <is>
          <t>% Floating rate</t>
        </is>
      </c>
      <c r="B75" s="47" t="inlineStr">
        <is>
          <t>%</t>
        </is>
      </c>
      <c r="C75" s="61" t="n"/>
      <c r="D75" s="61" t="n"/>
      <c r="E75" s="61" t="n"/>
      <c r="F75" s="61" t="n"/>
      <c r="G75" s="61" t="n"/>
      <c r="H75" s="62" t="n">
        <v>0.4</v>
      </c>
      <c r="I75" s="62" t="n">
        <v>0.49</v>
      </c>
      <c r="J75" s="61" t="n"/>
    </row>
    <row r="76" ht="15" customHeight="1" s="39">
      <c r="A76" s="46" t="inlineStr">
        <is>
          <t>Wtd-avg debt maturity</t>
        </is>
      </c>
      <c r="B76" s="47" t="inlineStr">
        <is>
          <t>years</t>
        </is>
      </c>
      <c r="C76" s="70" t="n"/>
      <c r="D76" s="70" t="n"/>
      <c r="E76" s="70" t="n"/>
      <c r="F76" s="70" t="n"/>
      <c r="G76" s="70" t="n"/>
      <c r="H76" s="63" t="n">
        <v>4</v>
      </c>
      <c r="I76" s="63" t="n">
        <v>4</v>
      </c>
      <c r="J76" s="70" t="n"/>
    </row>
    <row r="77" ht="15" customHeight="1" s="39">
      <c r="A77" s="46" t="inlineStr">
        <is>
          <t>Undrawn debt headroom</t>
        </is>
      </c>
      <c r="B77" s="47" t="inlineStr">
        <is>
          <t>INR cr</t>
        </is>
      </c>
      <c r="C77" s="56" t="n"/>
      <c r="D77" s="56" t="n"/>
      <c r="E77" s="56" t="n"/>
      <c r="F77" s="56" t="n"/>
      <c r="G77" s="56" t="n"/>
      <c r="H77" s="57" t="n">
        <v>900</v>
      </c>
      <c r="I77" s="57" t="n">
        <v>10000</v>
      </c>
      <c r="J77" s="56" t="n"/>
    </row>
    <row r="78" ht="15" customHeight="1" s="39">
      <c r="A78" s="46" t="inlineStr">
        <is>
          <t>Interest cover (NOI / Finance cost)</t>
        </is>
      </c>
      <c r="B78" s="47" t="inlineStr">
        <is>
          <t>x</t>
        </is>
      </c>
      <c r="C78" s="71">
        <f>IF(OR(C13="",N(C17)=0),"",C13/C17)</f>
        <v/>
      </c>
      <c r="D78" s="71">
        <f>IF(OR(D13="",N(D17)=0),"",D13/D17)</f>
        <v/>
      </c>
      <c r="E78" s="71">
        <f>IF(OR(E13="",N(E17)=0),"",E13/E17)</f>
        <v/>
      </c>
      <c r="F78" s="71">
        <f>IF(OR(F13="",N(F17)=0),"",F13/F17)</f>
        <v/>
      </c>
      <c r="G78" s="71">
        <f>IF(OR(G13="",N(G17)=0),"",G13/G17)</f>
        <v/>
      </c>
      <c r="H78" s="71">
        <f>IF(OR(H13="",N(H17)=0),"",H13/H17)</f>
        <v/>
      </c>
      <c r="I78" s="71">
        <f>IF(OR(I13="",N(I17)=0),"",I13/I17)</f>
        <v/>
      </c>
      <c r="J78" s="71">
        <f>IF(OR(J13="",N(J17)=0),"",J13/J17)</f>
        <v/>
      </c>
    </row>
    <row r="80" ht="15" customHeight="1" s="39">
      <c r="A80" s="43" t="inlineStr">
        <is>
          <t>Distribution-component split is shown where the issuer disclosed it (often per-unit for Q4 only in older years); blanks = not separately disclosed.</t>
        </is>
      </c>
    </row>
  </sheetData>
  <hyperlinks>
    <hyperlink xmlns:r="http://schemas.openxmlformats.org/officeDocument/2006/relationships" ref="C9" display="file:///Users/ishan/Downloads/INDIAN%20REITS/Embassy/4q-fy2019-condensed-combined-financial-statements.pdf" r:id="rId1"/>
    <hyperlink xmlns:r="http://schemas.openxmlformats.org/officeDocument/2006/relationships" ref="D9" display="file:///Users/ishan/Downloads/INDIAN%20REITS/Embassy/4q-fy2020-condensed-consolidated-financial-statements.pdf" r:id="rId2"/>
    <hyperlink xmlns:r="http://schemas.openxmlformats.org/officeDocument/2006/relationships" ref="E9" display="file:///Users/ishan/Downloads/INDIAN%20REITS/Embassy/embassy_reit_ar_2021_web.pdf" r:id="rId3"/>
    <hyperlink xmlns:r="http://schemas.openxmlformats.org/officeDocument/2006/relationships" ref="F9" display="file:///Users/ishan/Downloads/INDIAN%20REITS/Embassy/4_reit_detailed_consol_fy_22.pdf" r:id="rId4"/>
    <hyperlink xmlns:r="http://schemas.openxmlformats.org/officeDocument/2006/relationships" ref="G9" location="page=2" display="file:///Users/ishan/Downloads/INDIAN%20REITS/Embassy/1reit_consol_condensed_mar23.pdf#page=2" r:id="rId5"/>
    <hyperlink xmlns:r="http://schemas.openxmlformats.org/officeDocument/2006/relationships" ref="H9" location="page=8" display="file:///Users/ishan/Downloads/INDIAN%20REITS/Embassy/condensed_consolidated_fs.pdf#page=8" r:id="rId6"/>
    <hyperlink xmlns:r="http://schemas.openxmlformats.org/officeDocument/2006/relationships" ref="I9" location="page=10" display="file:///Users/ishan/Downloads/INDIAN%20REITS/Embassy/reit_consol_fs_and_ar_mar_2026.pdf#page=10" r:id="rId7"/>
    <hyperlink xmlns:r="http://schemas.openxmlformats.org/officeDocument/2006/relationships" ref="J9" location="page=10" display="file:///Users/ishan/Downloads/INDIAN%20REITS/Embassy/reit_consol_fs_and_ar_mar_2026.pdf#page=10" r:id="rId8"/>
    <hyperlink xmlns:r="http://schemas.openxmlformats.org/officeDocument/2006/relationships" ref="C10" display="file:///Users/ishan/Downloads/INDIAN%20REITS/Embassy/4q-fy2019-condensed-combined-financial-statements.pdf" r:id="rId9"/>
    <hyperlink xmlns:r="http://schemas.openxmlformats.org/officeDocument/2006/relationships" ref="D10" display="file:///Users/ishan/Downloads/INDIAN%20REITS/Embassy/4q-fy2020-condensed-consolidated-financial-statements.pdf" r:id="rId10"/>
    <hyperlink xmlns:r="http://schemas.openxmlformats.org/officeDocument/2006/relationships" ref="E10" display="file:///Users/ishan/Downloads/INDIAN%20REITS/Embassy/embassy_reit_ar_2021_web.pdf" r:id="rId11"/>
    <hyperlink xmlns:r="http://schemas.openxmlformats.org/officeDocument/2006/relationships" ref="F10" display="file:///Users/ishan/Downloads/INDIAN%20REITS/Embassy/4_reit_detailed_consol_fy_22.pdf" r:id="rId12"/>
    <hyperlink xmlns:r="http://schemas.openxmlformats.org/officeDocument/2006/relationships" ref="G10" location="page=2" display="file:///Users/ishan/Downloads/INDIAN%20REITS/Embassy/1reit_consol_condensed_mar23.pdf#page=2" r:id="rId13"/>
    <hyperlink xmlns:r="http://schemas.openxmlformats.org/officeDocument/2006/relationships" ref="H10" location="page=8" display="file:///Users/ishan/Downloads/INDIAN%20REITS/Embassy/condensed_consolidated_fs.pdf#page=8" r:id="rId14"/>
    <hyperlink xmlns:r="http://schemas.openxmlformats.org/officeDocument/2006/relationships" ref="I10" location="page=10" display="file:///Users/ishan/Downloads/INDIAN%20REITS/Embassy/reit_consol_fs_and_ar_mar_2026.pdf#page=10" r:id="rId15"/>
    <hyperlink xmlns:r="http://schemas.openxmlformats.org/officeDocument/2006/relationships" ref="J10" location="page=10" display="file:///Users/ishan/Downloads/INDIAN%20REITS/Embassy/reit_consol_fs_and_ar_mar_2026.pdf#page=10" r:id="rId16"/>
    <hyperlink xmlns:r="http://schemas.openxmlformats.org/officeDocument/2006/relationships" ref="N10" display="file:///Users/ishan/Downloads/INDIAN%20REITS/Embassy/embassy_reit_ar_2021_web.pdf" r:id="rId17"/>
    <hyperlink xmlns:r="http://schemas.openxmlformats.org/officeDocument/2006/relationships" ref="O10" display="file:///Users/ishan/Downloads/INDIAN%20REITS/Embassy/2_reit_detailed_standalone_fy_22.pdf" r:id="rId18"/>
    <hyperlink xmlns:r="http://schemas.openxmlformats.org/officeDocument/2006/relationships" ref="P10" location="page=2" display="file:///Users/ishan/Downloads/INDIAN%20REITS/Embassy/3reit_standalone_condesned_mar23.pdf#page=2" r:id="rId19"/>
    <hyperlink xmlns:r="http://schemas.openxmlformats.org/officeDocument/2006/relationships" ref="Q10" location="page=5" display="file:///Users/ishan/Downloads/INDIAN%20REITS/Embassy/condensed_standalone.pdf#page=5" r:id="rId20"/>
    <hyperlink xmlns:r="http://schemas.openxmlformats.org/officeDocument/2006/relationships" ref="R10" location="page=8" display="file:///Users/ishan/Downloads/INDIAN%20REITS/Embassy/reit_sa_fs_and_ar_mar_2026.pdf#page=8" r:id="rId21"/>
    <hyperlink xmlns:r="http://schemas.openxmlformats.org/officeDocument/2006/relationships" ref="S10" location="page=8" display="file:///Users/ishan/Downloads/INDIAN%20REITS/Embassy/reit_sa_fs_and_ar_mar_2026.pdf#page=8" r:id="rId22"/>
    <hyperlink xmlns:r="http://schemas.openxmlformats.org/officeDocument/2006/relationships" ref="C12" display="file:///Users/ishan/Downloads/INDIAN%20REITS/Embassy/4q-fy2019-condensed-combined-financial-statements.pdf" r:id="rId23"/>
    <hyperlink xmlns:r="http://schemas.openxmlformats.org/officeDocument/2006/relationships" ref="D12" display="file:///Users/ishan/Downloads/INDIAN%20REITS/Embassy/4q-fy2020-condensed-consolidated-financial-statements.pdf" r:id="rId24"/>
    <hyperlink xmlns:r="http://schemas.openxmlformats.org/officeDocument/2006/relationships" ref="E12" display="file:///Users/ishan/Downloads/INDIAN%20REITS/Embassy/embassy_reit_ar_2021_web.pdf" r:id="rId25"/>
    <hyperlink xmlns:r="http://schemas.openxmlformats.org/officeDocument/2006/relationships" ref="F12" display="file:///Users/ishan/Downloads/INDIAN%20REITS/Embassy/4_reit_detailed_consol_fy_22.pdf" r:id="rId26"/>
    <hyperlink xmlns:r="http://schemas.openxmlformats.org/officeDocument/2006/relationships" ref="G12" location="page=2" display="file:///Users/ishan/Downloads/INDIAN%20REITS/Embassy/1reit_consol_condensed_mar23.pdf#page=2" r:id="rId27"/>
    <hyperlink xmlns:r="http://schemas.openxmlformats.org/officeDocument/2006/relationships" ref="H12" location="page=219" display="file:///Users/ishan/Downloads/INDIAN%20REITS/Embassy/annual_report_2025.pdf#page=219" r:id="rId28"/>
    <hyperlink xmlns:r="http://schemas.openxmlformats.org/officeDocument/2006/relationships" ref="I12" location="page=10" display="file:///Users/ishan/Downloads/INDIAN%20REITS/Embassy/reit_consol_fs_and_ar_mar_2026.pdf#page=10" r:id="rId29"/>
    <hyperlink xmlns:r="http://schemas.openxmlformats.org/officeDocument/2006/relationships" ref="J12" location="page=10" display="file:///Users/ishan/Downloads/INDIAN%20REITS/Embassy/reit_consol_fs_and_ar_mar_2026.pdf#page=10" r:id="rId30"/>
    <hyperlink xmlns:r="http://schemas.openxmlformats.org/officeDocument/2006/relationships" ref="C13" display="file:///Users/ishan/Downloads/INDIAN%20REITS/Embassy/4q-fy2019-earnings-presentation.pdf" r:id="rId31"/>
    <hyperlink xmlns:r="http://schemas.openxmlformats.org/officeDocument/2006/relationships" ref="D13" display="file:///Users/ishan/Downloads/INDIAN%20REITS/Embassy/4q-fy2020-earnings-materials.pdf" r:id="rId32"/>
    <hyperlink xmlns:r="http://schemas.openxmlformats.org/officeDocument/2006/relationships" ref="F13" display="file:///Users/ishan/Downloads/INDIAN%20REITS/Embassy/final_annual_report.pdf" r:id="rId33"/>
    <hyperlink xmlns:r="http://schemas.openxmlformats.org/officeDocument/2006/relationships" ref="G13" location="page=130" display="file:///Users/ishan/Downloads/INDIAN%20REITS/Embassy/embassy_reit_-_annual_report_-_fy_2022-23.pdf#page=130" r:id="rId34"/>
    <hyperlink xmlns:r="http://schemas.openxmlformats.org/officeDocument/2006/relationships" ref="H13" location="page=13" display="file:///Users/ishan/Downloads/INDIAN%20REITS/Embassy/embassy_reit_ar_2024_final.pdf#page=13" r:id="rId35"/>
    <hyperlink xmlns:r="http://schemas.openxmlformats.org/officeDocument/2006/relationships" ref="I13" location="page=19" display="file:///Users/ishan/Downloads/INDIAN%20REITS/Embassy/annual_report_2025.pdf#page=19" r:id="rId36"/>
    <hyperlink xmlns:r="http://schemas.openxmlformats.org/officeDocument/2006/relationships" ref="J13" location="page=31" display="file:///Users/ishan/Downloads/INDIAN%20REITS/Nexus/earnings_presentation_q4_fy26_v1.pdf#page=31" r:id="rId37"/>
    <hyperlink xmlns:r="http://schemas.openxmlformats.org/officeDocument/2006/relationships" ref="C15" display="file:///Users/ishan/Downloads/INDIAN%20REITS/Embassy/4q-fy2019-condensed-combined-financial-statements.pdf" r:id="rId38"/>
    <hyperlink xmlns:r="http://schemas.openxmlformats.org/officeDocument/2006/relationships" ref="D15" display="file:///Users/ishan/Downloads/INDIAN%20REITS/Embassy/4q-fy2020-condensed-consolidated-financial-statements.pdf" r:id="rId39"/>
    <hyperlink xmlns:r="http://schemas.openxmlformats.org/officeDocument/2006/relationships" ref="E15" display="file:///Users/ishan/Downloads/INDIAN%20REITS/Embassy/embassy_reit_ar_2021_web.pdf" r:id="rId40"/>
    <hyperlink xmlns:r="http://schemas.openxmlformats.org/officeDocument/2006/relationships" ref="F15" display="file:///Users/ishan/Downloads/INDIAN%20REITS/Embassy/4_reit_detailed_consol_fy_22.pdf" r:id="rId41"/>
    <hyperlink xmlns:r="http://schemas.openxmlformats.org/officeDocument/2006/relationships" ref="G15" location="page=2" display="file:///Users/ishan/Downloads/INDIAN%20REITS/Embassy/1reit_consol_condensed_mar23.pdf#page=2" r:id="rId42"/>
    <hyperlink xmlns:r="http://schemas.openxmlformats.org/officeDocument/2006/relationships" ref="H15" location="page=8" display="file:///Users/ishan/Downloads/INDIAN%20REITS/Embassy/condensed_consolidated_fs.pdf#page=8" r:id="rId43"/>
    <hyperlink xmlns:r="http://schemas.openxmlformats.org/officeDocument/2006/relationships" ref="I15" location="page=10" display="file:///Users/ishan/Downloads/INDIAN%20REITS/Embassy/reit_consol_fs_and_ar_mar_2026.pdf#page=10" r:id="rId44"/>
    <hyperlink xmlns:r="http://schemas.openxmlformats.org/officeDocument/2006/relationships" ref="J15" location="page=10" display="file:///Users/ishan/Downloads/INDIAN%20REITS/Embassy/reit_consol_fs_and_ar_mar_2026.pdf#page=10" r:id="rId45"/>
    <hyperlink xmlns:r="http://schemas.openxmlformats.org/officeDocument/2006/relationships" ref="L15" display="file:///Users/ishan/Downloads/INDIAN%20REITS/Embassy/4q-fy2019-standalone-financial-statements.pdf" r:id="rId46"/>
    <hyperlink xmlns:r="http://schemas.openxmlformats.org/officeDocument/2006/relationships" ref="N15" display="file:///Users/ishan/Downloads/INDIAN%20REITS/Embassy/embassy_reit_ar_2021_web.pdf" r:id="rId47"/>
    <hyperlink xmlns:r="http://schemas.openxmlformats.org/officeDocument/2006/relationships" ref="O15" display="file:///Users/ishan/Downloads/INDIAN%20REITS/Embassy/2_reit_detailed_standalone_fy_22.pdf" r:id="rId48"/>
    <hyperlink xmlns:r="http://schemas.openxmlformats.org/officeDocument/2006/relationships" ref="P15" location="page=2" display="file:///Users/ishan/Downloads/INDIAN%20REITS/Embassy/3reit_standalone_condesned_mar23.pdf#page=2" r:id="rId49"/>
    <hyperlink xmlns:r="http://schemas.openxmlformats.org/officeDocument/2006/relationships" ref="C17" display="file:///Users/ishan/Downloads/INDIAN%20REITS/Embassy/4q-fy2019-condensed-combined-financial-statements.pdf" r:id="rId50"/>
    <hyperlink xmlns:r="http://schemas.openxmlformats.org/officeDocument/2006/relationships" ref="D17" display="file:///Users/ishan/Downloads/INDIAN%20REITS/Embassy/4q-fy2020-condensed-consolidated-financial-statements.pdf" r:id="rId51"/>
    <hyperlink xmlns:r="http://schemas.openxmlformats.org/officeDocument/2006/relationships" ref="E17" display="file:///Users/ishan/Downloads/INDIAN%20REITS/Embassy/embassy_reit_ar_2021_web.pdf" r:id="rId52"/>
    <hyperlink xmlns:r="http://schemas.openxmlformats.org/officeDocument/2006/relationships" ref="F17" display="file:///Users/ishan/Downloads/INDIAN%20REITS/Embassy/4_reit_detailed_consol_fy_22.pdf" r:id="rId53"/>
    <hyperlink xmlns:r="http://schemas.openxmlformats.org/officeDocument/2006/relationships" ref="G17" location="page=2" display="file:///Users/ishan/Downloads/INDIAN%20REITS/Embassy/1reit_consol_condensed_mar23.pdf#page=2" r:id="rId54"/>
    <hyperlink xmlns:r="http://schemas.openxmlformats.org/officeDocument/2006/relationships" ref="H17" location="page=8" display="file:///Users/ishan/Downloads/INDIAN%20REITS/Embassy/condensed_consolidated_fs.pdf#page=8" r:id="rId55"/>
    <hyperlink xmlns:r="http://schemas.openxmlformats.org/officeDocument/2006/relationships" ref="I17" location="page=10" display="file:///Users/ishan/Downloads/INDIAN%20REITS/Embassy/reit_consol_fs_and_ar_mar_2026.pdf#page=10" r:id="rId56"/>
    <hyperlink xmlns:r="http://schemas.openxmlformats.org/officeDocument/2006/relationships" ref="J17" location="page=10" display="file:///Users/ishan/Downloads/INDIAN%20REITS/Embassy/reit_consol_fs_and_ar_mar_2026.pdf#page=10" r:id="rId57"/>
    <hyperlink xmlns:r="http://schemas.openxmlformats.org/officeDocument/2006/relationships" ref="L17" display="file:///Users/ishan/Downloads/INDIAN%20REITS/Embassy/4q-fy2019-standalone-financial-statements.pdf" r:id="rId58"/>
    <hyperlink xmlns:r="http://schemas.openxmlformats.org/officeDocument/2006/relationships" ref="N17" display="file:///Users/ishan/Downloads/INDIAN%20REITS/Embassy/embassy_reit_ar_2021_web.pdf" r:id="rId59"/>
    <hyperlink xmlns:r="http://schemas.openxmlformats.org/officeDocument/2006/relationships" ref="O17" display="file:///Users/ishan/Downloads/INDIAN%20REITS/Embassy/2_reit_detailed_standalone_fy_22.pdf" r:id="rId60"/>
    <hyperlink xmlns:r="http://schemas.openxmlformats.org/officeDocument/2006/relationships" ref="P17" location="page=2" display="file:///Users/ishan/Downloads/INDIAN%20REITS/Embassy/3reit_standalone_condesned_mar23.pdf#page=2" r:id="rId61"/>
    <hyperlink xmlns:r="http://schemas.openxmlformats.org/officeDocument/2006/relationships" ref="Q17" location="page=5" display="file:///Users/ishan/Downloads/INDIAN%20REITS/Embassy/condensed_standalone.pdf#page=5" r:id="rId62"/>
    <hyperlink xmlns:r="http://schemas.openxmlformats.org/officeDocument/2006/relationships" ref="R17" location="page=8" display="file:///Users/ishan/Downloads/INDIAN%20REITS/Embassy/reit_sa_fs_and_ar_mar_2026.pdf#page=8" r:id="rId63"/>
    <hyperlink xmlns:r="http://schemas.openxmlformats.org/officeDocument/2006/relationships" ref="S17" location="page=8" display="file:///Users/ishan/Downloads/INDIAN%20REITS/Embassy/reit_sa_fs_and_ar_mar_2026.pdf#page=8" r:id="rId64"/>
    <hyperlink xmlns:r="http://schemas.openxmlformats.org/officeDocument/2006/relationships" ref="C18" display="file:///Users/ishan/Downloads/INDIAN%20REITS/Embassy/4q-fy2019-condensed-combined-financial-statements.pdf" r:id="rId65"/>
    <hyperlink xmlns:r="http://schemas.openxmlformats.org/officeDocument/2006/relationships" ref="D18" display="file:///Users/ishan/Downloads/INDIAN%20REITS/Embassy/4q-fy2020-condensed-consolidated-financial-statements.pdf" r:id="rId66"/>
    <hyperlink xmlns:r="http://schemas.openxmlformats.org/officeDocument/2006/relationships" ref="E18" display="file:///Users/ishan/Downloads/INDIAN%20REITS/Embassy/embassy_reit_ar_2021_web.pdf" r:id="rId67"/>
    <hyperlink xmlns:r="http://schemas.openxmlformats.org/officeDocument/2006/relationships" ref="F18" display="file:///Users/ishan/Downloads/INDIAN%20REITS/Embassy/4_reit_detailed_consol_fy_22.pdf" r:id="rId68"/>
    <hyperlink xmlns:r="http://schemas.openxmlformats.org/officeDocument/2006/relationships" ref="G18" location="page=2" display="file:///Users/ishan/Downloads/INDIAN%20REITS/Embassy/1reit_consol_condensed_mar23.pdf#page=2" r:id="rId69"/>
    <hyperlink xmlns:r="http://schemas.openxmlformats.org/officeDocument/2006/relationships" ref="H18" location="page=8" display="file:///Users/ishan/Downloads/INDIAN%20REITS/Embassy/condensed_consolidated_fs.pdf#page=8" r:id="rId70"/>
    <hyperlink xmlns:r="http://schemas.openxmlformats.org/officeDocument/2006/relationships" ref="I18" location="page=10" display="file:///Users/ishan/Downloads/INDIAN%20REITS/Embassy/reit_consol_fs_and_ar_mar_2026.pdf#page=10" r:id="rId71"/>
    <hyperlink xmlns:r="http://schemas.openxmlformats.org/officeDocument/2006/relationships" ref="J18" location="page=10" display="file:///Users/ishan/Downloads/INDIAN%20REITS/Embassy/reit_consol_fs_and_ar_mar_2026.pdf#page=10" r:id="rId72"/>
    <hyperlink xmlns:r="http://schemas.openxmlformats.org/officeDocument/2006/relationships" ref="C19" display="file:///Users/ishan/Downloads/INDIAN%20REITS/Embassy/4q-fy2019-condensed-combined-financial-statements.pdf" r:id="rId73"/>
    <hyperlink xmlns:r="http://schemas.openxmlformats.org/officeDocument/2006/relationships" ref="D19" display="file:///Users/ishan/Downloads/INDIAN%20REITS/Embassy/4q-fy2020-condensed-consolidated-financial-statements.pdf" r:id="rId74"/>
    <hyperlink xmlns:r="http://schemas.openxmlformats.org/officeDocument/2006/relationships" ref="E19" display="file:///Users/ishan/Downloads/INDIAN%20REITS/Embassy/embassy_reit_ar_2021_web.pdf" r:id="rId75"/>
    <hyperlink xmlns:r="http://schemas.openxmlformats.org/officeDocument/2006/relationships" ref="F19" display="file:///Users/ishan/Downloads/INDIAN%20REITS/Embassy/4_reit_detailed_consol_fy_22.pdf" r:id="rId76"/>
    <hyperlink xmlns:r="http://schemas.openxmlformats.org/officeDocument/2006/relationships" ref="G19" location="page=2" display="file:///Users/ishan/Downloads/INDIAN%20REITS/Embassy/1reit_consol_condensed_mar23.pdf#page=2" r:id="rId77"/>
    <hyperlink xmlns:r="http://schemas.openxmlformats.org/officeDocument/2006/relationships" ref="H19" location="page=8" display="file:///Users/ishan/Downloads/INDIAN%20REITS/Embassy/condensed_consolidated_fs.pdf#page=8" r:id="rId78"/>
    <hyperlink xmlns:r="http://schemas.openxmlformats.org/officeDocument/2006/relationships" ref="I19" location="page=10" display="file:///Users/ishan/Downloads/INDIAN%20REITS/Embassy/reit_consol_fs_and_ar_mar_2026.pdf#page=10" r:id="rId79"/>
    <hyperlink xmlns:r="http://schemas.openxmlformats.org/officeDocument/2006/relationships" ref="J19" location="page=10" display="file:///Users/ishan/Downloads/INDIAN%20REITS/Embassy/reit_consol_fs_and_ar_mar_2026.pdf#page=10" r:id="rId80"/>
    <hyperlink xmlns:r="http://schemas.openxmlformats.org/officeDocument/2006/relationships" ref="L19" display="file:///Users/ishan/Downloads/INDIAN%20REITS/Embassy/4q-fy2019-standalone-financial-statements.pdf" r:id="rId81"/>
    <hyperlink xmlns:r="http://schemas.openxmlformats.org/officeDocument/2006/relationships" ref="N19" display="file:///Users/ishan/Downloads/INDIAN%20REITS/Embassy/embassy_reit_ar_2021_web.pdf" r:id="rId82"/>
    <hyperlink xmlns:r="http://schemas.openxmlformats.org/officeDocument/2006/relationships" ref="O19" display="file:///Users/ishan/Downloads/INDIAN%20REITS/Embassy/2_reit_detailed_standalone_fy_22.pdf" r:id="rId83"/>
    <hyperlink xmlns:r="http://schemas.openxmlformats.org/officeDocument/2006/relationships" ref="P19" location="page=2" display="file:///Users/ishan/Downloads/INDIAN%20REITS/Embassy/3reit_standalone_condesned_mar23.pdf#page=2" r:id="rId84"/>
    <hyperlink xmlns:r="http://schemas.openxmlformats.org/officeDocument/2006/relationships" ref="Q19" location="page=5" display="file:///Users/ishan/Downloads/INDIAN%20REITS/Embassy/condensed_standalone.pdf#page=5" r:id="rId85"/>
    <hyperlink xmlns:r="http://schemas.openxmlformats.org/officeDocument/2006/relationships" ref="R19" location="page=8" display="file:///Users/ishan/Downloads/INDIAN%20REITS/Embassy/reit_sa_fs_and_ar_mar_2026.pdf#page=8" r:id="rId86"/>
    <hyperlink xmlns:r="http://schemas.openxmlformats.org/officeDocument/2006/relationships" ref="S19" location="page=8" display="file:///Users/ishan/Downloads/INDIAN%20REITS/Embassy/reit_sa_fs_and_ar_mar_2026.pdf#page=8" r:id="rId87"/>
    <hyperlink xmlns:r="http://schemas.openxmlformats.org/officeDocument/2006/relationships" ref="C20" display="file:///Users/ishan/Downloads/INDIAN%20REITS/Embassy/4q-fy2019-condensed-combined-financial-statements.pdf" r:id="rId88"/>
    <hyperlink xmlns:r="http://schemas.openxmlformats.org/officeDocument/2006/relationships" ref="D20" display="file:///Users/ishan/Downloads/INDIAN%20REITS/Embassy/4q-fy2020-condensed-consolidated-financial-statements.pdf" r:id="rId89"/>
    <hyperlink xmlns:r="http://schemas.openxmlformats.org/officeDocument/2006/relationships" ref="E20" display="file:///Users/ishan/Downloads/INDIAN%20REITS/Embassy/embassy_reit_ar_2021_web.pdf" r:id="rId90"/>
    <hyperlink xmlns:r="http://schemas.openxmlformats.org/officeDocument/2006/relationships" ref="F20" display="file:///Users/ishan/Downloads/INDIAN%20REITS/Embassy/4_reit_detailed_consol_fy_22.pdf" r:id="rId91"/>
    <hyperlink xmlns:r="http://schemas.openxmlformats.org/officeDocument/2006/relationships" ref="G20" location="page=2" display="file:///Users/ishan/Downloads/INDIAN%20REITS/Embassy/1reit_consol_condensed_mar23.pdf#page=2" r:id="rId92"/>
    <hyperlink xmlns:r="http://schemas.openxmlformats.org/officeDocument/2006/relationships" ref="H20" location="page=8" display="file:///Users/ishan/Downloads/INDIAN%20REITS/Embassy/condensed_consolidated_fs.pdf#page=8" r:id="rId93"/>
    <hyperlink xmlns:r="http://schemas.openxmlformats.org/officeDocument/2006/relationships" ref="I20" location="page=10" display="file:///Users/ishan/Downloads/INDIAN%20REITS/Embassy/reit_consol_fs_and_ar_mar_2026.pdf#page=10" r:id="rId94"/>
    <hyperlink xmlns:r="http://schemas.openxmlformats.org/officeDocument/2006/relationships" ref="J20" location="page=10" display="file:///Users/ishan/Downloads/INDIAN%20REITS/Embassy/reit_consol_fs_and_ar_mar_2026.pdf#page=10" r:id="rId95"/>
    <hyperlink xmlns:r="http://schemas.openxmlformats.org/officeDocument/2006/relationships" ref="L20" display="file:///Users/ishan/Downloads/INDIAN%20REITS/Embassy/4q-fy2019-standalone-financial-statements.pdf" r:id="rId96"/>
    <hyperlink xmlns:r="http://schemas.openxmlformats.org/officeDocument/2006/relationships" ref="N20" display="file:///Users/ishan/Downloads/INDIAN%20REITS/Embassy/embassy_reit_ar_2021_web.pdf" r:id="rId97"/>
    <hyperlink xmlns:r="http://schemas.openxmlformats.org/officeDocument/2006/relationships" ref="O20" display="file:///Users/ishan/Downloads/INDIAN%20REITS/Embassy/2_reit_detailed_standalone_fy_22.pdf" r:id="rId98"/>
    <hyperlink xmlns:r="http://schemas.openxmlformats.org/officeDocument/2006/relationships" ref="P20" location="page=2" display="file:///Users/ishan/Downloads/INDIAN%20REITS/Embassy/3reit_standalone_condesned_mar23.pdf#page=2" r:id="rId99"/>
    <hyperlink xmlns:r="http://schemas.openxmlformats.org/officeDocument/2006/relationships" ref="Q20" location="page=5" display="file:///Users/ishan/Downloads/INDIAN%20REITS/Embassy/condensed_standalone.pdf#page=5" r:id="rId100"/>
    <hyperlink xmlns:r="http://schemas.openxmlformats.org/officeDocument/2006/relationships" ref="R20" location="page=8" display="file:///Users/ishan/Downloads/INDIAN%20REITS/Embassy/reit_sa_fs_and_ar_mar_2026.pdf#page=8" r:id="rId101"/>
    <hyperlink xmlns:r="http://schemas.openxmlformats.org/officeDocument/2006/relationships" ref="S20" location="page=8" display="file:///Users/ishan/Downloads/INDIAN%20REITS/Embassy/reit_sa_fs_and_ar_mar_2026.pdf#page=8" r:id="rId102"/>
    <hyperlink xmlns:r="http://schemas.openxmlformats.org/officeDocument/2006/relationships" ref="D23" display="file:///Users/ishan/Downloads/INDIAN%20REITS/Embassy/4q-fy2020-condensed-consolidated-financial-statements.pdf" r:id="rId103"/>
    <hyperlink xmlns:r="http://schemas.openxmlformats.org/officeDocument/2006/relationships" ref="E23" display="file:///Users/ishan/Downloads/INDIAN%20REITS/Embassy/embassy_reit_ar_2021_web.pdf" r:id="rId104"/>
    <hyperlink xmlns:r="http://schemas.openxmlformats.org/officeDocument/2006/relationships" ref="F23" display="file:///Users/ishan/Downloads/INDIAN%20REITS/Embassy/4_reit_detailed_consol_fy_22.pdf" r:id="rId105"/>
    <hyperlink xmlns:r="http://schemas.openxmlformats.org/officeDocument/2006/relationships" ref="G23" display="file:///Users/ishan/Downloads/INDIAN%20REITS/Embassy/1reit_consol_condensed_mar23.pdf" r:id="rId106"/>
    <hyperlink xmlns:r="http://schemas.openxmlformats.org/officeDocument/2006/relationships" ref="H23" location="page=7" display="file:///Users/ishan/Downloads/INDIAN%20REITS/Embassy/standalone_reit_fs_condensed_mar_24.pdf#page=7" r:id="rId107"/>
    <hyperlink xmlns:r="http://schemas.openxmlformats.org/officeDocument/2006/relationships" ref="I23" location="page=10" display="file:///Users/ishan/Downloads/INDIAN%20REITS/Embassy/reit_consol_fs_and_ar_mar_2026.pdf#page=10" r:id="rId108"/>
    <hyperlink xmlns:r="http://schemas.openxmlformats.org/officeDocument/2006/relationships" ref="J23" location="page=9" display="file:///Users/ishan/Downloads/INDIAN%20REITS/Embassy/consol_results_-_march_2026.pdf#page=9" r:id="rId109"/>
    <hyperlink xmlns:r="http://schemas.openxmlformats.org/officeDocument/2006/relationships" ref="D24" display="file:///Users/ishan/Downloads/INDIAN%20REITS/Embassy/4q-fy2020-earnings-materials.pdf" r:id="rId110"/>
    <hyperlink xmlns:r="http://schemas.openxmlformats.org/officeDocument/2006/relationships" ref="E24" display="file:///Users/ishan/Downloads/INDIAN%20REITS/Embassy/embassy_reit_ar_2021_web.pdf" r:id="rId111"/>
    <hyperlink xmlns:r="http://schemas.openxmlformats.org/officeDocument/2006/relationships" ref="F24" display="file:///Users/ishan/Downloads/INDIAN%20REITS/Embassy/4_reit_detailed_consol_fy_22.pdf" r:id="rId112"/>
    <hyperlink xmlns:r="http://schemas.openxmlformats.org/officeDocument/2006/relationships" ref="G24" location="page=11" display="file:///Users/ishan/Downloads/INDIAN%20REITS/Embassy/1reit_consol_condensed_mar23.pdf#page=11" r:id="rId113"/>
    <hyperlink xmlns:r="http://schemas.openxmlformats.org/officeDocument/2006/relationships" ref="H24" location="page=9" display="file:///Users/ishan/Downloads/INDIAN%20REITS/Embassy/consol_reit_fs_condensed_mar_24.pdf#page=9" r:id="rId114"/>
    <hyperlink xmlns:r="http://schemas.openxmlformats.org/officeDocument/2006/relationships" ref="I24" location="page=10" display="file:///Users/ishan/Downloads/INDIAN%20REITS/Embassy/condensed_standalone.pdf#page=10" r:id="rId115"/>
    <hyperlink xmlns:r="http://schemas.openxmlformats.org/officeDocument/2006/relationships" ref="J24" location="page=9" display="file:///Users/ishan/Downloads/INDIAN%20REITS/Embassy/consol_results_-_march_2026.pdf#page=9" r:id="rId116"/>
    <hyperlink xmlns:r="http://schemas.openxmlformats.org/officeDocument/2006/relationships" ref="D25" display="file:///Users/ishan/Downloads/INDIAN%20REITS/Embassy/4q-fy2020-condensed-consolidated-financial-statements.pdf" r:id="rId117"/>
    <hyperlink xmlns:r="http://schemas.openxmlformats.org/officeDocument/2006/relationships" ref="E25" display="file:///Users/ishan/Downloads/INDIAN%20REITS/Embassy/embassy_reit_ar_2021_web.pdf" r:id="rId118"/>
    <hyperlink xmlns:r="http://schemas.openxmlformats.org/officeDocument/2006/relationships" ref="F25" display="file:///Users/ishan/Downloads/INDIAN%20REITS/Embassy/4_reit_detailed_consol_fy_22.pdf" r:id="rId119"/>
    <hyperlink xmlns:r="http://schemas.openxmlformats.org/officeDocument/2006/relationships" ref="G25" location="page=11" display="file:///Users/ishan/Downloads/INDIAN%20REITS/Embassy/embassy_reit_-_annual_report_-_fy_2022-23.pdf#page=11" r:id="rId120"/>
    <hyperlink xmlns:r="http://schemas.openxmlformats.org/officeDocument/2006/relationships" ref="H25" location="page=7" display="file:///Users/ishan/Downloads/INDIAN%20REITS/Embassy/consol_reit_fs_condensed_mar_24.pdf#page=7" r:id="rId121"/>
    <hyperlink xmlns:r="http://schemas.openxmlformats.org/officeDocument/2006/relationships" ref="I25" location="page=10" display="file:///Users/ishan/Downloads/INDIAN%20REITS/Embassy/condensed_standalone.pdf#page=10" r:id="rId122"/>
    <hyperlink xmlns:r="http://schemas.openxmlformats.org/officeDocument/2006/relationships" ref="J25" location="page=9" display="file:///Users/ishan/Downloads/INDIAN%20REITS/Embassy/consol_results_-_march_2026.pdf#page=9" r:id="rId123"/>
    <hyperlink xmlns:r="http://schemas.openxmlformats.org/officeDocument/2006/relationships" ref="C28" display="file:///Users/ishan/Downloads/INDIAN%20REITS/Embassy/4q-fy2019-earnings-presentation.pdf" r:id="rId124"/>
    <hyperlink xmlns:r="http://schemas.openxmlformats.org/officeDocument/2006/relationships" ref="D28" location="page=25" display="file:///Users/ishan/Downloads/INDIAN%20REITS/Embassy/4q-fy2020-condensed-consolidated-financial-statements.pdf#page=25" r:id="rId125"/>
    <hyperlink xmlns:r="http://schemas.openxmlformats.org/officeDocument/2006/relationships" ref="E28" display="file:///Users/ishan/Downloads/INDIAN%20REITS/Embassy/embassy_reit_ar_2021_web.pdf" r:id="rId126"/>
    <hyperlink xmlns:r="http://schemas.openxmlformats.org/officeDocument/2006/relationships" ref="F28" display="file:///Users/ishan/Downloads/INDIAN%20REITS/Embassy/final_annual_report.pdf" r:id="rId127"/>
    <hyperlink xmlns:r="http://schemas.openxmlformats.org/officeDocument/2006/relationships" ref="G28" location="page=131" display="file:///Users/ishan/Downloads/INDIAN%20REITS/Embassy/embassy_reit_-_annual_report_-_fy_2022-23.pdf#page=131" r:id="rId128"/>
    <hyperlink xmlns:r="http://schemas.openxmlformats.org/officeDocument/2006/relationships" ref="H28" location="page=11" display="file:///Users/ishan/Downloads/INDIAN%20REITS/Embassy/consol_reit_fs_condensed_mar_24.pdf#page=11" r:id="rId129"/>
    <hyperlink xmlns:r="http://schemas.openxmlformats.org/officeDocument/2006/relationships" ref="I28" location="page=18" display="file:///Users/ishan/Downloads/INDIAN%20REITS/Embassy/reit_consol_fs_and_ar_mar_2026.pdf#page=18" r:id="rId130"/>
    <hyperlink xmlns:r="http://schemas.openxmlformats.org/officeDocument/2006/relationships" ref="J28" location="page=17" display="file:///Users/ishan/Downloads/INDIAN%20REITS/Embassy/reit_consol_fs_and_ar_mar_2026.pdf#page=17" r:id="rId131"/>
    <hyperlink xmlns:r="http://schemas.openxmlformats.org/officeDocument/2006/relationships" ref="C29" display="file:///Users/ishan/Downloads/INDIAN%20REITS/Embassy/4q-fy2019-condensed-combined-financial-statements.pdf" r:id="rId132"/>
    <hyperlink xmlns:r="http://schemas.openxmlformats.org/officeDocument/2006/relationships" ref="D29" display="file:///Users/ishan/Downloads/INDIAN%20REITS/Embassy/4q-fy2020-condensed-consolidated-financial-statements.pdf" r:id="rId133"/>
    <hyperlink xmlns:r="http://schemas.openxmlformats.org/officeDocument/2006/relationships" ref="E29" display="file:///Users/ishan/Downloads/INDIAN%20REITS/Embassy/embassy_reit_ar_2021_web.pdf" r:id="rId134"/>
    <hyperlink xmlns:r="http://schemas.openxmlformats.org/officeDocument/2006/relationships" ref="F29" display="file:///Users/ishan/Downloads/INDIAN%20REITS/Embassy/4_reit_detailed_consol_fy_22.pdf" r:id="rId135"/>
    <hyperlink xmlns:r="http://schemas.openxmlformats.org/officeDocument/2006/relationships" ref="G29" location="page=1" display="file:///Users/ishan/Downloads/INDIAN%20REITS/Embassy/1reit_consol_condensed_mar23.pdf#page=1" r:id="rId136"/>
    <hyperlink xmlns:r="http://schemas.openxmlformats.org/officeDocument/2006/relationships" ref="H29" location="page=6" display="file:///Users/ishan/Downloads/INDIAN%20REITS/Embassy/consol_reit_fs_condensed_mar_24.pdf#page=6" r:id="rId137"/>
    <hyperlink xmlns:r="http://schemas.openxmlformats.org/officeDocument/2006/relationships" ref="I29" location="page=9" display="file:///Users/ishan/Downloads/INDIAN%20REITS/Embassy/reit_consol_fs_and_ar_mar_2026.pdf#page=9" r:id="rId138"/>
    <hyperlink xmlns:r="http://schemas.openxmlformats.org/officeDocument/2006/relationships" ref="J29" location="page=9" display="file:///Users/ishan/Downloads/INDIAN%20REITS/Embassy/reit_consol_fs_and_ar_mar_2026.pdf#page=9" r:id="rId139"/>
    <hyperlink xmlns:r="http://schemas.openxmlformats.org/officeDocument/2006/relationships" ref="L29" display="file:///Users/ishan/Downloads/INDIAN%20REITS/Embassy/4q-fy2019-standalone-financial-statements.pdf" r:id="rId140"/>
    <hyperlink xmlns:r="http://schemas.openxmlformats.org/officeDocument/2006/relationships" ref="N29" display="file:///Users/ishan/Downloads/INDIAN%20REITS/Embassy/embassy_reit_ar_2021_web.pdf" r:id="rId141"/>
    <hyperlink xmlns:r="http://schemas.openxmlformats.org/officeDocument/2006/relationships" ref="O29" display="file:///Users/ishan/Downloads/INDIAN%20REITS/Embassy/2_reit_detailed_standalone_fy_22.pdf" r:id="rId142"/>
    <hyperlink xmlns:r="http://schemas.openxmlformats.org/officeDocument/2006/relationships" ref="P29" location="page=1" display="file:///Users/ishan/Downloads/INDIAN%20REITS/Embassy/3reit_standalone_condesned_mar23.pdf#page=1" r:id="rId143"/>
    <hyperlink xmlns:r="http://schemas.openxmlformats.org/officeDocument/2006/relationships" ref="Q29" location="page=4" display="file:///Users/ishan/Downloads/INDIAN%20REITS/Embassy/standalone_reit_fs_condensed_mar_24.pdf#page=4" r:id="rId144"/>
    <hyperlink xmlns:r="http://schemas.openxmlformats.org/officeDocument/2006/relationships" ref="R29" location="page=7" display="file:///Users/ishan/Downloads/INDIAN%20REITS/Embassy/reit_sa_fs_and_ar_mar_2026.pdf#page=7" r:id="rId145"/>
    <hyperlink xmlns:r="http://schemas.openxmlformats.org/officeDocument/2006/relationships" ref="S29" location="page=7" display="file:///Users/ishan/Downloads/INDIAN%20REITS/Embassy/reit_sa_fs_and_ar_mar_2026.pdf#page=7" r:id="rId146"/>
    <hyperlink xmlns:r="http://schemas.openxmlformats.org/officeDocument/2006/relationships" ref="C30" display="file:///Users/ishan/Downloads/INDIAN%20REITS/Embassy/4q-fy2019-condensed-combined-financial-statements.pdf" r:id="rId147"/>
    <hyperlink xmlns:r="http://schemas.openxmlformats.org/officeDocument/2006/relationships" ref="D30" display="file:///Users/ishan/Downloads/INDIAN%20REITS/Embassy/4q-fy2020-condensed-consolidated-financial-statements.pdf" r:id="rId148"/>
    <hyperlink xmlns:r="http://schemas.openxmlformats.org/officeDocument/2006/relationships" ref="E30" display="file:///Users/ishan/Downloads/INDIAN%20REITS/Embassy/embassy_reit_ar_2021_web.pdf" r:id="rId149"/>
    <hyperlink xmlns:r="http://schemas.openxmlformats.org/officeDocument/2006/relationships" ref="F30" display="file:///Users/ishan/Downloads/INDIAN%20REITS/Embassy/4_reit_detailed_consol_fy_22.pdf" r:id="rId150"/>
    <hyperlink xmlns:r="http://schemas.openxmlformats.org/officeDocument/2006/relationships" ref="G30" location="page=1" display="file:///Users/ishan/Downloads/INDIAN%20REITS/Embassy/1reit_consol_condensed_mar23.pdf#page=1" r:id="rId151"/>
    <hyperlink xmlns:r="http://schemas.openxmlformats.org/officeDocument/2006/relationships" ref="H30" location="page=6" display="file:///Users/ishan/Downloads/INDIAN%20REITS/Embassy/consol_reit_fs_condensed_mar_24.pdf#page=6" r:id="rId152"/>
    <hyperlink xmlns:r="http://schemas.openxmlformats.org/officeDocument/2006/relationships" ref="I30" location="page=9" display="file:///Users/ishan/Downloads/INDIAN%20REITS/Embassy/reit_consol_fs_and_ar_mar_2026.pdf#page=9" r:id="rId153"/>
    <hyperlink xmlns:r="http://schemas.openxmlformats.org/officeDocument/2006/relationships" ref="J30" location="page=9" display="file:///Users/ishan/Downloads/INDIAN%20REITS/Embassy/reit_consol_fs_and_ar_mar_2026.pdf#page=9" r:id="rId154"/>
    <hyperlink xmlns:r="http://schemas.openxmlformats.org/officeDocument/2006/relationships" ref="L30" display="file:///Users/ishan/Downloads/INDIAN%20REITS/Embassy/4q-fy2019-standalone-financial-statements.pdf" r:id="rId155"/>
    <hyperlink xmlns:r="http://schemas.openxmlformats.org/officeDocument/2006/relationships" ref="N30" display="file:///Users/ishan/Downloads/INDIAN%20REITS/Embassy/embassy_reit_ar_2021_web.pdf" r:id="rId156"/>
    <hyperlink xmlns:r="http://schemas.openxmlformats.org/officeDocument/2006/relationships" ref="O30" display="file:///Users/ishan/Downloads/INDIAN%20REITS/Embassy/2_reit_detailed_standalone_fy_22.pdf" r:id="rId157"/>
    <hyperlink xmlns:r="http://schemas.openxmlformats.org/officeDocument/2006/relationships" ref="P30" location="page=1" display="file:///Users/ishan/Downloads/INDIAN%20REITS/Embassy/3reit_standalone_condesned_mar23.pdf#page=1" r:id="rId158"/>
    <hyperlink xmlns:r="http://schemas.openxmlformats.org/officeDocument/2006/relationships" ref="Q30" location="page=4" display="file:///Users/ishan/Downloads/INDIAN%20REITS/Embassy/standalone_reit_fs_condensed_mar_24.pdf#page=4" r:id="rId159"/>
    <hyperlink xmlns:r="http://schemas.openxmlformats.org/officeDocument/2006/relationships" ref="R30" location="page=7" display="file:///Users/ishan/Downloads/INDIAN%20REITS/Embassy/reit_sa_fs_and_ar_mar_2026.pdf#page=7" r:id="rId160"/>
    <hyperlink xmlns:r="http://schemas.openxmlformats.org/officeDocument/2006/relationships" ref="S30" location="page=7" display="file:///Users/ishan/Downloads/INDIAN%20REITS/Embassy/reit_sa_fs_and_ar_mar_2026.pdf#page=7" r:id="rId161"/>
    <hyperlink xmlns:r="http://schemas.openxmlformats.org/officeDocument/2006/relationships" ref="C32" display="file:///Users/ishan/Downloads/INDIAN%20REITS/Embassy/4q-fy2019-condensed-combined-financial-statements.pdf" r:id="rId162"/>
    <hyperlink xmlns:r="http://schemas.openxmlformats.org/officeDocument/2006/relationships" ref="D32" display="file:///Users/ishan/Downloads/INDIAN%20REITS/Embassy/4q-fy2020-condensed-consolidated-financial-statements.pdf" r:id="rId163"/>
    <hyperlink xmlns:r="http://schemas.openxmlformats.org/officeDocument/2006/relationships" ref="E32" display="file:///Users/ishan/Downloads/INDIAN%20REITS/Embassy/embassy_reit_ar_2021_web.pdf" r:id="rId164"/>
    <hyperlink xmlns:r="http://schemas.openxmlformats.org/officeDocument/2006/relationships" ref="F32" display="file:///Users/ishan/Downloads/INDIAN%20REITS/Embassy/4_reit_detailed_consol_fy_22.pdf" r:id="rId165"/>
    <hyperlink xmlns:r="http://schemas.openxmlformats.org/officeDocument/2006/relationships" ref="G32" location="page=1" display="file:///Users/ishan/Downloads/INDIAN%20REITS/Embassy/1reit_consol_condensed_mar23.pdf#page=1" r:id="rId166"/>
    <hyperlink xmlns:r="http://schemas.openxmlformats.org/officeDocument/2006/relationships" ref="H32" location="page=6" display="file:///Users/ishan/Downloads/INDIAN%20REITS/Embassy/consol_reit_fs_condensed_mar_24.pdf#page=6" r:id="rId167"/>
    <hyperlink xmlns:r="http://schemas.openxmlformats.org/officeDocument/2006/relationships" ref="I32" location="page=9" display="file:///Users/ishan/Downloads/INDIAN%20REITS/Embassy/reit_consol_fs_and_ar_mar_2026.pdf#page=9" r:id="rId168"/>
    <hyperlink xmlns:r="http://schemas.openxmlformats.org/officeDocument/2006/relationships" ref="J32" location="page=9" display="file:///Users/ishan/Downloads/INDIAN%20REITS/Embassy/reit_consol_fs_and_ar_mar_2026.pdf#page=9" r:id="rId169"/>
    <hyperlink xmlns:r="http://schemas.openxmlformats.org/officeDocument/2006/relationships" ref="L32" display="file:///Users/ishan/Downloads/INDIAN%20REITS/Embassy/4q-fy2019-standalone-financial-statements.pdf" r:id="rId170"/>
    <hyperlink xmlns:r="http://schemas.openxmlformats.org/officeDocument/2006/relationships" ref="N32" display="file:///Users/ishan/Downloads/INDIAN%20REITS/Embassy/embassy_reit_ar_2021_web.pdf" r:id="rId171"/>
    <hyperlink xmlns:r="http://schemas.openxmlformats.org/officeDocument/2006/relationships" ref="O32" display="file:///Users/ishan/Downloads/INDIAN%20REITS/Embassy/2_reit_detailed_standalone_fy_22.pdf" r:id="rId172"/>
    <hyperlink xmlns:r="http://schemas.openxmlformats.org/officeDocument/2006/relationships" ref="P32" location="page=1" display="file:///Users/ishan/Downloads/INDIAN%20REITS/Embassy/3reit_standalone_condesned_mar23.pdf#page=1" r:id="rId173"/>
    <hyperlink xmlns:r="http://schemas.openxmlformats.org/officeDocument/2006/relationships" ref="Q32" location="page=4" display="file:///Users/ishan/Downloads/INDIAN%20REITS/Embassy/standalone_reit_fs_condensed_mar_24.pdf#page=4" r:id="rId174"/>
    <hyperlink xmlns:r="http://schemas.openxmlformats.org/officeDocument/2006/relationships" ref="R32" location="page=7" display="file:///Users/ishan/Downloads/INDIAN%20REITS/Embassy/reit_sa_fs_and_ar_mar_2026.pdf#page=7" r:id="rId175"/>
    <hyperlink xmlns:r="http://schemas.openxmlformats.org/officeDocument/2006/relationships" ref="S32" location="page=7" display="file:///Users/ishan/Downloads/INDIAN%20REITS/Embassy/reit_sa_fs_and_ar_mar_2026.pdf#page=7" r:id="rId176"/>
    <hyperlink xmlns:r="http://schemas.openxmlformats.org/officeDocument/2006/relationships" ref="C34" display="file:///Users/ishan/Downloads/INDIAN%20REITS/Embassy/4q-fy2019-earnings-presentation.pdf" r:id="rId177"/>
    <hyperlink xmlns:r="http://schemas.openxmlformats.org/officeDocument/2006/relationships" ref="D34" display="file:///Users/ishan/Downloads/INDIAN%20REITS/Embassy/4q-fy2020-condensed-consolidated-financial-statements.pdf" r:id="rId178"/>
    <hyperlink xmlns:r="http://schemas.openxmlformats.org/officeDocument/2006/relationships" ref="E34" display="file:///Users/ishan/Downloads/INDIAN%20REITS/Embassy/embassy_reit_ar_2021_web.pdf" r:id="rId179"/>
    <hyperlink xmlns:r="http://schemas.openxmlformats.org/officeDocument/2006/relationships" ref="F34" display="file:///Users/ishan/Downloads/INDIAN%20REITS/Embassy/4_reit_detailed_consol_fy_22.pdf" r:id="rId180"/>
    <hyperlink xmlns:r="http://schemas.openxmlformats.org/officeDocument/2006/relationships" ref="G34" location="page=131" display="file:///Users/ishan/Downloads/INDIAN%20REITS/Embassy/embassy_reit_-_annual_report_-_fy_2022-23.pdf#page=131" r:id="rId181"/>
    <hyperlink xmlns:r="http://schemas.openxmlformats.org/officeDocument/2006/relationships" ref="H34" location="page=11" display="file:///Users/ishan/Downloads/INDIAN%20REITS/Embassy/consol_reit_fs_condensed_mar_24.pdf#page=11" r:id="rId182"/>
    <hyperlink xmlns:r="http://schemas.openxmlformats.org/officeDocument/2006/relationships" ref="I34" location="page=17" display="file:///Users/ishan/Downloads/INDIAN%20REITS/Embassy/reit_consol_fs_and_ar_mar_2026.pdf#page=17" r:id="rId183"/>
    <hyperlink xmlns:r="http://schemas.openxmlformats.org/officeDocument/2006/relationships" ref="J34" location="page=17" display="file:///Users/ishan/Downloads/INDIAN%20REITS/Embassy/reit_consol_fs_and_ar_mar_2026.pdf#page=17" r:id="rId184"/>
    <hyperlink xmlns:r="http://schemas.openxmlformats.org/officeDocument/2006/relationships" ref="C36" display="file:///Users/ishan/Downloads/INDIAN%20REITS/Embassy/4q-fy2019-condensed-combined-financial-statements.pdf" r:id="rId185"/>
    <hyperlink xmlns:r="http://schemas.openxmlformats.org/officeDocument/2006/relationships" ref="D36" display="file:///Users/ishan/Downloads/INDIAN%20REITS/Embassy/4q-fy2020-condensed-consolidated-financial-statements.pdf" r:id="rId186"/>
    <hyperlink xmlns:r="http://schemas.openxmlformats.org/officeDocument/2006/relationships" ref="E36" display="file:///Users/ishan/Downloads/INDIAN%20REITS/Embassy/embassy_reit_ar_2021_web.pdf" r:id="rId187"/>
    <hyperlink xmlns:r="http://schemas.openxmlformats.org/officeDocument/2006/relationships" ref="F36" display="file:///Users/ishan/Downloads/INDIAN%20REITS/Embassy/4_reit_detailed_consol_fy_22.pdf" r:id="rId188"/>
    <hyperlink xmlns:r="http://schemas.openxmlformats.org/officeDocument/2006/relationships" ref="G36" location="page=25" display="file:///Users/ishan/Downloads/INDIAN%20REITS/Embassy/embassy_reit_-_annual_report_-_fy_2022-23.pdf#page=25" r:id="rId189"/>
    <hyperlink xmlns:r="http://schemas.openxmlformats.org/officeDocument/2006/relationships" ref="H36" location="page=10" display="file:///Users/ishan/Downloads/INDIAN%20REITS/Embassy/consol_reit_fs_condensed_mar_24.pdf#page=10" r:id="rId190"/>
    <hyperlink xmlns:r="http://schemas.openxmlformats.org/officeDocument/2006/relationships" ref="I36" location="page=17" display="file:///Users/ishan/Downloads/INDIAN%20REITS/Embassy/reit_consol_fs_and_ar_mar_2026.pdf#page=17" r:id="rId191"/>
    <hyperlink xmlns:r="http://schemas.openxmlformats.org/officeDocument/2006/relationships" ref="J36" location="page=17" display="file:///Users/ishan/Downloads/INDIAN%20REITS/Embassy/reit_consol_fs_and_ar_mar_2026.pdf#page=17" r:id="rId192"/>
    <hyperlink xmlns:r="http://schemas.openxmlformats.org/officeDocument/2006/relationships" ref="E37" display="file:///Users/ishan/Downloads/INDIAN%20REITS/Embassy/embassy_reit_ar_2021_web.pdf" r:id="rId193"/>
    <hyperlink xmlns:r="http://schemas.openxmlformats.org/officeDocument/2006/relationships" ref="F37" display="file:///Users/ishan/Downloads/INDIAN%20REITS/REIT_Tableau_Ready_1.xlsx" r:id="rId194"/>
    <hyperlink xmlns:r="http://schemas.openxmlformats.org/officeDocument/2006/relationships" ref="G37" display="file:///Users/ishan/Downloads/INDIAN%20REITS/REIT_Tableau_Ready_1.xlsx" r:id="rId195"/>
    <hyperlink xmlns:r="http://schemas.openxmlformats.org/officeDocument/2006/relationships" ref="H37" location="page=20" display="file:///Users/ishan/Downloads/INDIAN%20REITS/Embassy/embassy_reit_ar_2024_final.pdf#page=20" r:id="rId196"/>
    <hyperlink xmlns:r="http://schemas.openxmlformats.org/officeDocument/2006/relationships" ref="I37" location="page=31" display="file:///Users/ishan/Downloads/INDIAN%20REITS/Embassy/annual_report_2025.pdf#page=31" r:id="rId197"/>
    <hyperlink xmlns:r="http://schemas.openxmlformats.org/officeDocument/2006/relationships" ref="J37" location="page=4" display="file:///Users/ishan/Downloads/INDIAN%20REITS/Nexus/earnings_presentation_q4_fy26_v1.pdf#page=4" r:id="rId198"/>
    <hyperlink xmlns:r="http://schemas.openxmlformats.org/officeDocument/2006/relationships" ref="E40" display="file:///Users/ishan/Downloads/INDIAN%20REITS/Embassy/embassy_reit_ar_2021_web.pdf" r:id="rId199"/>
    <hyperlink xmlns:r="http://schemas.openxmlformats.org/officeDocument/2006/relationships" ref="F40" display="file:///Users/ishan/Downloads/INDIAN%20REITS/Embassy/final_annual_report.pdf" r:id="rId200"/>
    <hyperlink xmlns:r="http://schemas.openxmlformats.org/officeDocument/2006/relationships" ref="G40" location="page=11" display="file:///Users/ishan/Downloads/INDIAN%20REITS/Embassy/embassy_reit_-_annual_report_-_fy_2022-23.pdf#page=11" r:id="rId201"/>
    <hyperlink xmlns:r="http://schemas.openxmlformats.org/officeDocument/2006/relationships" ref="H40" location="page=13" display="file:///Users/ishan/Downloads/INDIAN%20REITS/Embassy/embassy_reit_ar_2024_final.pdf#page=13" r:id="rId202"/>
    <hyperlink xmlns:r="http://schemas.openxmlformats.org/officeDocument/2006/relationships" ref="I40" location="page=18" display="file:///Users/ishan/Downloads/INDIAN%20REITS/Embassy/annual_report_2025.pdf#page=18" r:id="rId203"/>
    <hyperlink xmlns:r="http://schemas.openxmlformats.org/officeDocument/2006/relationships" ref="J40" location="page=3" display="file:///Users/ishan/Downloads/INDIAN%20REITS/Nexus/earnings_presentation_q4_fy26_v1.pdf#page=3" r:id="rId204"/>
    <hyperlink xmlns:r="http://schemas.openxmlformats.org/officeDocument/2006/relationships" ref="C42" display="file:///Users/ishan/Downloads/INDIAN%20REITS/Embassy/4q-fy2019-earnings-presentation.pdf" r:id="rId205"/>
    <hyperlink xmlns:r="http://schemas.openxmlformats.org/officeDocument/2006/relationships" ref="D42" display="file:///Users/ishan/Downloads/INDIAN%20REITS/Embassy/4q-fy2020-earnings-materials.pdf" r:id="rId206"/>
    <hyperlink xmlns:r="http://schemas.openxmlformats.org/officeDocument/2006/relationships" ref="E42" display="file:///Users/ishan/Downloads/INDIAN%20REITS/Embassy/embassy_reit_ar_2021_web.pdf" r:id="rId207"/>
    <hyperlink xmlns:r="http://schemas.openxmlformats.org/officeDocument/2006/relationships" ref="F42" display="file:///Users/ishan/Downloads/INDIAN%20REITS/Embassy/final_annual_report.pdf" r:id="rId208"/>
    <hyperlink xmlns:r="http://schemas.openxmlformats.org/officeDocument/2006/relationships" ref="G42" location="page=26" display="file:///Users/ishan/Downloads/INDIAN%20REITS/Embassy/embassy_reit_-_annual_report_-_fy_2022-23.pdf#page=26" r:id="rId209"/>
    <hyperlink xmlns:r="http://schemas.openxmlformats.org/officeDocument/2006/relationships" ref="H42" location="page=4" display="file:///Users/ishan/Downloads/INDIAN%20REITS/Embassy/embassy_reit_ar_2024_final.pdf#page=4" r:id="rId210"/>
    <hyperlink xmlns:r="http://schemas.openxmlformats.org/officeDocument/2006/relationships" ref="I42" location="page=4" display="file:///Users/ishan/Downloads/INDIAN%20REITS/Embassy/annual_report_2025.pdf#page=4" r:id="rId211"/>
    <hyperlink xmlns:r="http://schemas.openxmlformats.org/officeDocument/2006/relationships" ref="J42" location="page=34" display="file:///Users/ishan/Downloads/INDIAN%20REITS/Embassy/eop_reit_valuation_report_march_2026.pdf#page=34" r:id="rId212"/>
    <hyperlink xmlns:r="http://schemas.openxmlformats.org/officeDocument/2006/relationships" ref="C43" display="file:///Users/ishan/Downloads/INDIAN%20REITS/Embassy/4q-fy2019-earnings-presentation.pdf" r:id="rId213"/>
    <hyperlink xmlns:r="http://schemas.openxmlformats.org/officeDocument/2006/relationships" ref="D43" display="file:///Users/ishan/Downloads/INDIAN%20REITS/Embassy/4q-fy2020-earnings-materials.pdf" r:id="rId214"/>
    <hyperlink xmlns:r="http://schemas.openxmlformats.org/officeDocument/2006/relationships" ref="E43" display="file:///Users/ishan/Downloads/INDIAN%20REITS/Embassy/embassy_reit_ar_2021_web.pdf" r:id="rId215"/>
    <hyperlink xmlns:r="http://schemas.openxmlformats.org/officeDocument/2006/relationships" ref="F43" display="file:///Users/ishan/Downloads/INDIAN%20REITS/Embassy/final_annual_report.pdf" r:id="rId216"/>
    <hyperlink xmlns:r="http://schemas.openxmlformats.org/officeDocument/2006/relationships" ref="G43" location="page=26" display="file:///Users/ishan/Downloads/INDIAN%20REITS/Embassy/embassy_reit_-_annual_report_-_fy_2022-23.pdf#page=26" r:id="rId217"/>
    <hyperlink xmlns:r="http://schemas.openxmlformats.org/officeDocument/2006/relationships" ref="H43" location="page=4" display="file:///Users/ishan/Downloads/INDIAN%20REITS/Embassy/embassy_reit_ar_2024_final.pdf#page=4" r:id="rId218"/>
    <hyperlink xmlns:r="http://schemas.openxmlformats.org/officeDocument/2006/relationships" ref="I43" location="page=21" display="file:///Users/ishan/Downloads/INDIAN%20REITS/Embassy/annual_report_2025.pdf#page=21" r:id="rId219"/>
    <hyperlink xmlns:r="http://schemas.openxmlformats.org/officeDocument/2006/relationships" ref="J43" location="page=34" display="file:///Users/ishan/Downloads/INDIAN%20REITS/Embassy/eop_reit_valuation_report_march_2026.pdf#page=34" r:id="rId220"/>
    <hyperlink xmlns:r="http://schemas.openxmlformats.org/officeDocument/2006/relationships" ref="C44" display="file:///Users/ishan/Downloads/INDIAN%20REITS/Embassy/4q-fy2019-earnings-presentation.pdf" r:id="rId221"/>
    <hyperlink xmlns:r="http://schemas.openxmlformats.org/officeDocument/2006/relationships" ref="D44" display="file:///Users/ishan/Downloads/INDIAN%20REITS/Embassy/4q-fy2020-earnings-materials.pdf" r:id="rId222"/>
    <hyperlink xmlns:r="http://schemas.openxmlformats.org/officeDocument/2006/relationships" ref="E44" display="file:///Users/ishan/Downloads/INDIAN%20REITS/Embassy/embassy_reit_ar_2021_web.pdf" r:id="rId223"/>
    <hyperlink xmlns:r="http://schemas.openxmlformats.org/officeDocument/2006/relationships" ref="F44" display="file:///Users/ishan/Downloads/INDIAN%20REITS/Embassy/final_annual_report.pdf" r:id="rId224"/>
    <hyperlink xmlns:r="http://schemas.openxmlformats.org/officeDocument/2006/relationships" ref="G44" location="page=26" display="file:///Users/ishan/Downloads/INDIAN%20REITS/Embassy/embassy_reit_-_annual_report_-_fy_2022-23.pdf#page=26" r:id="rId225"/>
    <hyperlink xmlns:r="http://schemas.openxmlformats.org/officeDocument/2006/relationships" ref="H44" location="page=14" display="file:///Users/ishan/Downloads/INDIAN%20REITS/Embassy/embassy_reit_ar_2024_final.pdf#page=14" r:id="rId226"/>
    <hyperlink xmlns:r="http://schemas.openxmlformats.org/officeDocument/2006/relationships" ref="I44" location="page=21" display="file:///Users/ishan/Downloads/INDIAN%20REITS/Embassy/annual_report_2025.pdf#page=21" r:id="rId227"/>
    <hyperlink xmlns:r="http://schemas.openxmlformats.org/officeDocument/2006/relationships" ref="J44" location="page=34" display="file:///Users/ishan/Downloads/INDIAN%20REITS/Embassy/eop_reit_valuation_report_march_2026.pdf#page=34" r:id="rId228"/>
    <hyperlink xmlns:r="http://schemas.openxmlformats.org/officeDocument/2006/relationships" ref="J45" location="page=2" display="file:///Users/ishan/Downloads/INDIAN%20REITS/Nexus/earnings_presentation_q4_fy26_v1.pdf#page=2" r:id="rId229"/>
    <hyperlink xmlns:r="http://schemas.openxmlformats.org/officeDocument/2006/relationships" ref="C46" display="file:///Users/ishan/Downloads/INDIAN%20REITS/Embassy/4q-fy2019-earnings-presentation.pdf" r:id="rId230"/>
    <hyperlink xmlns:r="http://schemas.openxmlformats.org/officeDocument/2006/relationships" ref="D46" display="file:///Users/ishan/Downloads/INDIAN%20REITS/Embassy/4q-fy2020-earnings-materials.pdf" r:id="rId231"/>
    <hyperlink xmlns:r="http://schemas.openxmlformats.org/officeDocument/2006/relationships" ref="E46" display="file:///Users/ishan/Downloads/INDIAN%20REITS/Embassy/embassy_reit_ar_2021_web.pdf" r:id="rId232"/>
    <hyperlink xmlns:r="http://schemas.openxmlformats.org/officeDocument/2006/relationships" ref="F46" display="file:///Users/ishan/Downloads/INDIAN%20REITS/Embassy/final_annual_report.pdf" r:id="rId233"/>
    <hyperlink xmlns:r="http://schemas.openxmlformats.org/officeDocument/2006/relationships" ref="G46" display="file:///Users/ishan/Downloads/INDIAN%20REITS/Embassy/embassy_reit_-_annual_report_-_fy_2022-23.pdf" r:id="rId234"/>
    <hyperlink xmlns:r="http://schemas.openxmlformats.org/officeDocument/2006/relationships" ref="H46" location="page=14" display="file:///Users/ishan/Downloads/INDIAN%20REITS/Embassy/embassy_reit_ar_2024_final.pdf#page=14" r:id="rId235"/>
    <hyperlink xmlns:r="http://schemas.openxmlformats.org/officeDocument/2006/relationships" ref="I46" location="page=21" display="file:///Users/ishan/Downloads/INDIAN%20REITS/Embassy/annual_report_2025.pdf#page=21" r:id="rId236"/>
    <hyperlink xmlns:r="http://schemas.openxmlformats.org/officeDocument/2006/relationships" ref="J46" location="page=34" display="file:///Users/ishan/Downloads/INDIAN%20REITS/Embassy/eop_reit_valuation_report_march_2026.pdf#page=34" r:id="rId237"/>
    <hyperlink xmlns:r="http://schemas.openxmlformats.org/officeDocument/2006/relationships" ref="C47" display="file:///Users/ishan/Downloads/INDIAN%20REITS/Embassy/4q-fy2019-earnings-presentation.pdf" r:id="rId238"/>
    <hyperlink xmlns:r="http://schemas.openxmlformats.org/officeDocument/2006/relationships" ref="D47" display="file:///Users/ishan/Downloads/INDIAN%20REITS/Embassy/4q-fy2020-earnings-materials.pdf" r:id="rId239"/>
    <hyperlink xmlns:r="http://schemas.openxmlformats.org/officeDocument/2006/relationships" ref="E47" display="file:///Users/ishan/Downloads/INDIAN%20REITS/Embassy/embassy_reit_ar_2021_web.pdf" r:id="rId240"/>
    <hyperlink xmlns:r="http://schemas.openxmlformats.org/officeDocument/2006/relationships" ref="F47" display="file:///Users/ishan/Downloads/INDIAN%20REITS/Embassy/final_annual_report.pdf" r:id="rId241"/>
    <hyperlink xmlns:r="http://schemas.openxmlformats.org/officeDocument/2006/relationships" ref="G47" location="page=26" display="file:///Users/ishan/Downloads/INDIAN%20REITS/Embassy/embassy_reit_-_annual_report_-_fy_2022-23.pdf#page=26" r:id="rId242"/>
    <hyperlink xmlns:r="http://schemas.openxmlformats.org/officeDocument/2006/relationships" ref="H47" location="page=14" display="file:///Users/ishan/Downloads/INDIAN%20REITS/Embassy/embassy_reit_ar_2024_final.pdf#page=14" r:id="rId243"/>
    <hyperlink xmlns:r="http://schemas.openxmlformats.org/officeDocument/2006/relationships" ref="I47" location="page=21" display="file:///Users/ishan/Downloads/INDIAN%20REITS/Embassy/annual_report_2025.pdf#page=21" r:id="rId244"/>
    <hyperlink xmlns:r="http://schemas.openxmlformats.org/officeDocument/2006/relationships" ref="J47" location="page=38" display="file:///Users/ishan/Downloads/INDIAN%20REITS/Embassy/embassy_half_yearly_report_2025_-_final_file.pdf#page=38" r:id="rId245"/>
    <hyperlink xmlns:r="http://schemas.openxmlformats.org/officeDocument/2006/relationships" ref="C48" display="file:///Users/ishan/Downloads/INDIAN%20REITS/Embassy/4q-fy2019-earnings-presentation.pdf" r:id="rId246"/>
    <hyperlink xmlns:r="http://schemas.openxmlformats.org/officeDocument/2006/relationships" ref="D48" display="file:///Users/ishan/Downloads/INDIAN%20REITS/Embassy/4q-fy2020-earnings-materials.pdf" r:id="rId247"/>
    <hyperlink xmlns:r="http://schemas.openxmlformats.org/officeDocument/2006/relationships" ref="E48" display="file:///Users/ishan/Downloads/INDIAN%20REITS/Embassy/embassy_reit_ar_2021_web.pdf" r:id="rId248"/>
    <hyperlink xmlns:r="http://schemas.openxmlformats.org/officeDocument/2006/relationships" ref="F48" display="file:///Users/ishan/Downloads/INDIAN%20REITS/Embassy/final_annual_report.pdf" r:id="rId249"/>
    <hyperlink xmlns:r="http://schemas.openxmlformats.org/officeDocument/2006/relationships" ref="G48" location="page=10" display="file:///Users/ishan/Downloads/INDIAN%20REITS/Embassy/embassy_reit_-_annual_report_-_fy_2022-23.pdf#page=10" r:id="rId250"/>
    <hyperlink xmlns:r="http://schemas.openxmlformats.org/officeDocument/2006/relationships" ref="H48" location="page=4" display="file:///Users/ishan/Downloads/INDIAN%20REITS/Embassy/embassy_reit_ar_2024_final.pdf#page=4" r:id="rId251"/>
    <hyperlink xmlns:r="http://schemas.openxmlformats.org/officeDocument/2006/relationships" ref="I48" location="page=4" display="file:///Users/ishan/Downloads/INDIAN%20REITS/Embassy/annual_report_2025.pdf#page=4" r:id="rId252"/>
    <hyperlink xmlns:r="http://schemas.openxmlformats.org/officeDocument/2006/relationships" ref="J48" location="page=4" display="file:///Users/ishan/Downloads/INDIAN%20REITS/Embassy/embassy_half_yearly_report_2025_-_final_file.pdf#page=4" r:id="rId253"/>
    <hyperlink xmlns:r="http://schemas.openxmlformats.org/officeDocument/2006/relationships" ref="C49" display="file:///Users/ishan/Downloads/INDIAN%20REITS/Embassy/4q-fy2019-earnings-presentation.pdf" r:id="rId254"/>
    <hyperlink xmlns:r="http://schemas.openxmlformats.org/officeDocument/2006/relationships" ref="D49" display="file:///Users/ishan/Downloads/INDIAN%20REITS/Embassy/4q-fy2020-earnings-materials.pdf" r:id="rId255"/>
    <hyperlink xmlns:r="http://schemas.openxmlformats.org/officeDocument/2006/relationships" ref="E49" display="file:///Users/ishan/Downloads/INDIAN%20REITS/Embassy/embassy_reit_ar_2021_web.pdf" r:id="rId256"/>
    <hyperlink xmlns:r="http://schemas.openxmlformats.org/officeDocument/2006/relationships" ref="F49" display="file:///Users/ishan/Downloads/INDIAN%20REITS/Embassy/final_annual_report.pdf" r:id="rId257"/>
    <hyperlink xmlns:r="http://schemas.openxmlformats.org/officeDocument/2006/relationships" ref="G49" location="page=26" display="file:///Users/ishan/Downloads/INDIAN%20REITS/Embassy/embassy_reit_-_annual_report_-_fy_2022-23.pdf#page=26" r:id="rId258"/>
    <hyperlink xmlns:r="http://schemas.openxmlformats.org/officeDocument/2006/relationships" ref="H49" location="page=14" display="file:///Users/ishan/Downloads/INDIAN%20REITS/Embassy/embassy_reit_ar_2024_final.pdf#page=14" r:id="rId259"/>
    <hyperlink xmlns:r="http://schemas.openxmlformats.org/officeDocument/2006/relationships" ref="I49" location="page=21" display="file:///Users/ishan/Downloads/INDIAN%20REITS/Embassy/annual_report_2025.pdf#page=21" r:id="rId260"/>
    <hyperlink xmlns:r="http://schemas.openxmlformats.org/officeDocument/2006/relationships" ref="J49" location="page=51" display="file:///Users/ishan/Downloads/INDIAN%20REITS/Nexus/earnings_presentation_q4_fy26_v1.pdf#page=51" r:id="rId261"/>
    <hyperlink xmlns:r="http://schemas.openxmlformats.org/officeDocument/2006/relationships" ref="J63" display="file:///Users/ishan/Downloads/INDIAN%20REITS/Embassy/consol_results_-_march_2026.pdf" r:id="rId262"/>
    <hyperlink xmlns:r="http://schemas.openxmlformats.org/officeDocument/2006/relationships" ref="J64" display="file:///Users/ishan/Downloads/INDIAN%20REITS/Embassy/consol_results_-_march_2026.pdf" r:id="rId263"/>
    <hyperlink xmlns:r="http://schemas.openxmlformats.org/officeDocument/2006/relationships" ref="J65" display="file:///Users/ishan/Downloads/INDIAN%20REITS/Embassy/consol_results_-_march_2026.pdf" r:id="rId264"/>
    <hyperlink xmlns:r="http://schemas.openxmlformats.org/officeDocument/2006/relationships" ref="H68" location="page=6" display="file:///Users/ishan/Downloads/INDIAN%20REITS/Embassy/consol_reit_fs_condensed_mar_24.pdf#page=6" r:id="rId265"/>
    <hyperlink xmlns:r="http://schemas.openxmlformats.org/officeDocument/2006/relationships" ref="I68" location="page=9" display="file:///Users/ishan/Downloads/INDIAN%20REITS/Embassy/reit_consol_fs_and_ar_mar_2026.pdf#page=9" r:id="rId266"/>
    <hyperlink xmlns:r="http://schemas.openxmlformats.org/officeDocument/2006/relationships" ref="J68" location="page=9" display="file:///Users/ishan/Downloads/INDIAN%20REITS/Embassy/reit_consol_fs_and_ar_mar_2026.pdf#page=9" r:id="rId267"/>
    <hyperlink xmlns:r="http://schemas.openxmlformats.org/officeDocument/2006/relationships" ref="G69" display="file:///Users/ishan/Downloads/INDIAN%20REITS/Embassy/standalone_reit_fs_condensed_mar_24.pdf" r:id="rId268"/>
    <hyperlink xmlns:r="http://schemas.openxmlformats.org/officeDocument/2006/relationships" ref="H69" display="file:///Users/ishan/Downloads/INDIAN%20REITS/Embassy/standalone_reit_fs_condensed_mar_24.pdf" r:id="rId269"/>
    <hyperlink xmlns:r="http://schemas.openxmlformats.org/officeDocument/2006/relationships" ref="I69" display="file:///Users/ishan/Downloads/INDIAN%20REITS/Embassy/sa_results_-_march_2026.pdf" r:id="rId270"/>
    <hyperlink xmlns:r="http://schemas.openxmlformats.org/officeDocument/2006/relationships" ref="J69" display="file:///Users/ishan/Downloads/INDIAN%20REITS/Embassy/sa_results_-_march_2026.pdf" r:id="rId271"/>
    <hyperlink xmlns:r="http://schemas.openxmlformats.org/officeDocument/2006/relationships" ref="H75" display="file:///Users/ishan/Downloads/INDIAN%20REITS/Embassy/earnings_presentation_q4_fy24.pdf" r:id="rId272"/>
    <hyperlink xmlns:r="http://schemas.openxmlformats.org/officeDocument/2006/relationships" ref="I75" display="file:///Users/ishan/Downloads/INDIAN%20REITS/Embassy/earnings_presentation_q4_fy25.pdf" r:id="rId273"/>
    <hyperlink xmlns:r="http://schemas.openxmlformats.org/officeDocument/2006/relationships" ref="H76" display="file:///Users/ishan/Downloads/INDIAN%20REITS/Embassy/earnings_presentation_q4_fy24.pdf" r:id="rId274"/>
    <hyperlink xmlns:r="http://schemas.openxmlformats.org/officeDocument/2006/relationships" ref="I76" display="file:///Users/ishan/Downloads/INDIAN%20REITS/Embassy/earnings_presentation_q4_fy25.pdf" r:id="rId275"/>
    <hyperlink xmlns:r="http://schemas.openxmlformats.org/officeDocument/2006/relationships" ref="H77" display="file:///Users/ishan/Downloads/INDIAN%20REITS/Embassy/earnings_presentation_q4_fy24.pdf" r:id="rId276"/>
    <hyperlink xmlns:r="http://schemas.openxmlformats.org/officeDocument/2006/relationships" ref="I77" display="file:///Users/ishan/Downloads/INDIAN%20REITS/Embassy/earnings_presentation_q4_fy25.pdf" r:id="rId277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278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Z80"/>
  <sheetViews>
    <sheetView showFormulas="0" showGridLines="0" showRowColHeaders="1" showZeros="1" rightToLeft="0" tabSelected="0" showOutlineSymbols="1" defaultGridColor="1" view="normal" topLeftCell="A1" colorId="64" zoomScale="65" zoomScaleNormal="65" zoomScalePageLayoutView="100" workbookViewId="0">
      <pane xSplit="2" ySplit="7" topLeftCell="C30" activePane="bottomRight" state="frozen"/>
      <selection pane="topLeft" activeCell="A1" activeCellId="0" sqref="A1"/>
      <selection pane="topRight" activeCell="C1" activeCellId="0" sqref="C1"/>
      <selection pane="bottomLeft" activeCell="A30" activeCellId="0" sqref="A30"/>
      <selection pane="bottomRight" activeCell="AG54" activeCellId="0" sqref="AG54"/>
    </sheetView>
  </sheetViews>
  <sheetFormatPr baseColWidth="8" defaultColWidth="8.43359375" defaultRowHeight="15" customHeight="0" zeroHeight="0" outlineLevelRow="0"/>
  <cols>
    <col width="34" customWidth="1" style="38" min="1" max="1"/>
    <col width="9" customWidth="1" style="38" min="2" max="2"/>
    <col width="9.52" customWidth="1" style="38" min="3" max="10"/>
    <col width="7" customWidth="1" style="38" min="11" max="11"/>
    <col width="9.52" customWidth="1" style="38" min="12" max="19"/>
    <col width="7" customWidth="1" style="38" min="20" max="20"/>
  </cols>
  <sheetData>
    <row r="1" ht="15" customHeight="1" s="39">
      <c r="A1" s="40" t="inlineStr">
        <is>
          <t>Mindspace REIT - Key Financials &amp; Operating Metrics</t>
        </is>
      </c>
    </row>
    <row r="2" ht="15" customHeight="1" s="39">
      <c r="A2" s="43" t="inlineStr">
        <is>
          <t>Sponsor: K Raheja Corp.  All INR figures in INR crore (cr) unless stated.  1 crore = 10 million.  FY ends 31 March.</t>
        </is>
      </c>
    </row>
    <row r="3" ht="15" customHeight="1" s="39">
      <c r="A3" s="43" t="inlineStr">
        <is>
          <t>Hover a cell for its Source (report + page + original figure).  Grey italic = auto-calculated.  YoY% = FY2026 vs FY2025.</t>
        </is>
      </c>
    </row>
    <row r="6" ht="15" customHeight="1" s="39">
      <c r="C6" s="52" t="inlineStr">
        <is>
          <t>CONSOLIDATED</t>
        </is>
      </c>
      <c r="L6" s="52" t="inlineStr">
        <is>
          <t>STANDALONE</t>
        </is>
      </c>
    </row>
    <row r="7" ht="15" customHeight="1" s="39">
      <c r="A7" s="44" t="inlineStr">
        <is>
          <t>Metric</t>
        </is>
      </c>
      <c r="B7" s="45" t="inlineStr">
        <is>
          <t>Unit</t>
        </is>
      </c>
      <c r="C7" s="45" t="inlineStr">
        <is>
          <t>FY2019</t>
        </is>
      </c>
      <c r="D7" s="45" t="inlineStr">
        <is>
          <t>FY2020</t>
        </is>
      </c>
      <c r="E7" s="45" t="inlineStr">
        <is>
          <t>FY2021</t>
        </is>
      </c>
      <c r="F7" s="45" t="inlineStr">
        <is>
          <t>FY2022</t>
        </is>
      </c>
      <c r="G7" s="45" t="inlineStr">
        <is>
          <t>FY2023</t>
        </is>
      </c>
      <c r="H7" s="45" t="inlineStr">
        <is>
          <t>FY2024</t>
        </is>
      </c>
      <c r="I7" s="45" t="inlineStr">
        <is>
          <t>FY2025</t>
        </is>
      </c>
      <c r="J7" s="45" t="inlineStr">
        <is>
          <t>FY2026</t>
        </is>
      </c>
      <c r="K7" s="45" t="inlineStr">
        <is>
          <t>YoY%</t>
        </is>
      </c>
      <c r="L7" s="45" t="inlineStr">
        <is>
          <t>FY2019</t>
        </is>
      </c>
      <c r="M7" s="45" t="inlineStr">
        <is>
          <t>FY2020</t>
        </is>
      </c>
      <c r="N7" s="45" t="inlineStr">
        <is>
          <t>FY2021</t>
        </is>
      </c>
      <c r="O7" s="45" t="inlineStr">
        <is>
          <t>FY2022</t>
        </is>
      </c>
      <c r="P7" s="45" t="inlineStr">
        <is>
          <t>FY2023</t>
        </is>
      </c>
      <c r="Q7" s="45" t="inlineStr">
        <is>
          <t>FY2024</t>
        </is>
      </c>
      <c r="R7" s="45" t="inlineStr">
        <is>
          <t>FY2025</t>
        </is>
      </c>
      <c r="S7" s="45" t="inlineStr">
        <is>
          <t>FY2026</t>
        </is>
      </c>
      <c r="T7" s="45" t="inlineStr">
        <is>
          <t>YoY%</t>
        </is>
      </c>
    </row>
    <row r="8" ht="15" customHeight="1" s="39">
      <c r="A8" s="53" t="inlineStr">
        <is>
          <t>INCOME STATEMENT</t>
        </is>
      </c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</row>
    <row r="9" ht="15" customHeight="1" s="39">
      <c r="A9" s="46" t="inlineStr">
        <is>
          <t>Revenue from Operations</t>
        </is>
      </c>
      <c r="B9" s="47" t="inlineStr">
        <is>
          <t>INR cr</t>
        </is>
      </c>
      <c r="C9" s="56" t="n"/>
      <c r="D9" s="56" t="n"/>
      <c r="E9" s="57" t="n">
        <v>1138.1</v>
      </c>
      <c r="F9" s="57" t="n">
        <v>1750.1</v>
      </c>
      <c r="G9" s="56" t="n"/>
      <c r="H9" s="57" t="n">
        <v>2429.2</v>
      </c>
      <c r="I9" s="57" t="n">
        <v>2596.109</v>
      </c>
      <c r="J9" s="57" t="n">
        <v>3216.346</v>
      </c>
      <c r="K9" s="49">
        <f>IFERROR((J9-I9)/I9,"")</f>
        <v/>
      </c>
      <c r="L9" s="56" t="n"/>
      <c r="M9" s="56" t="n"/>
      <c r="N9" s="56" t="n"/>
      <c r="O9" s="56" t="n"/>
      <c r="P9" s="56" t="n"/>
      <c r="Q9" s="56" t="n"/>
      <c r="R9" s="56" t="n"/>
      <c r="S9" s="56" t="n"/>
      <c r="T9" s="49">
        <f>IFERROR((S9-R9)/R9,"")</f>
        <v/>
      </c>
    </row>
    <row r="10" ht="15" customHeight="1" s="39">
      <c r="A10" s="46" t="inlineStr">
        <is>
          <t>Other Income</t>
        </is>
      </c>
      <c r="B10" s="47" t="inlineStr">
        <is>
          <t>INR cr</t>
        </is>
      </c>
      <c r="C10" s="56" t="n"/>
      <c r="D10" s="56" t="n"/>
      <c r="E10" s="57" t="n">
        <v>5.1</v>
      </c>
      <c r="F10" s="57" t="n">
        <v>8.800000000000001</v>
      </c>
      <c r="G10" s="56" t="n"/>
      <c r="H10" s="57" t="n">
        <v>14.501</v>
      </c>
      <c r="I10" s="57" t="n">
        <v>15.158</v>
      </c>
      <c r="J10" s="57" t="n">
        <v>76.741</v>
      </c>
      <c r="K10" s="49">
        <f>IFERROR((J10-I10)/I10,"")</f>
        <v/>
      </c>
      <c r="L10" s="56" t="n"/>
      <c r="M10" s="56" t="n"/>
      <c r="N10" s="57" t="n">
        <v>1.2</v>
      </c>
      <c r="O10" s="57" t="n">
        <v>1.1</v>
      </c>
      <c r="P10" s="56" t="n"/>
      <c r="Q10" s="57" t="n">
        <v>0.6899999999999999</v>
      </c>
      <c r="R10" s="57" t="n">
        <v>0.464</v>
      </c>
      <c r="S10" s="57" t="n">
        <v>5.335</v>
      </c>
      <c r="T10" s="49">
        <f>IFERROR((S10-R10)/R10,"")</f>
        <v/>
      </c>
    </row>
    <row r="11" ht="15" customHeight="1" s="39">
      <c r="A11" s="46" t="inlineStr">
        <is>
          <t>Total Income</t>
        </is>
      </c>
      <c r="B11" s="47" t="inlineStr">
        <is>
          <t>INR cr</t>
        </is>
      </c>
      <c r="C11" s="48">
        <f>IF(AND(C9="",C10=""),"",N(C9)+N(C10))</f>
        <v/>
      </c>
      <c r="D11" s="48">
        <f>IF(AND(D9="",D10=""),"",N(D9)+N(D10))</f>
        <v/>
      </c>
      <c r="E11" s="48">
        <f>IF(AND(E9="",E10=""),"",N(E9)+N(E10))</f>
        <v/>
      </c>
      <c r="F11" s="48">
        <f>IF(AND(F9="",F10=""),"",N(F9)+N(F10))</f>
        <v/>
      </c>
      <c r="G11" s="48">
        <f>IF(AND(G9="",G10=""),"",N(G9)+N(G10))</f>
        <v/>
      </c>
      <c r="H11" s="48">
        <f>IF(AND(H9="",H10=""),"",N(H9)+N(H10))</f>
        <v/>
      </c>
      <c r="I11" s="48">
        <f>IF(AND(I9="",I10=""),"",N(I9)+N(I10))</f>
        <v/>
      </c>
      <c r="J11" s="48">
        <f>IF(AND(J9="",J10=""),"",N(J9)+N(J10))</f>
        <v/>
      </c>
      <c r="K11" s="49">
        <f>IFERROR((J11-I11)/I11,"")</f>
        <v/>
      </c>
      <c r="L11" s="48">
        <f>IF(AND(L9="",L10=""),"",N(L9)+N(L10))</f>
        <v/>
      </c>
      <c r="M11" s="48">
        <f>IF(AND(M9="",M10=""),"",N(M9)+N(M10))</f>
        <v/>
      </c>
      <c r="N11" s="48">
        <f>IF(AND(N9="",N10=""),"",N(N9)+N(N10))</f>
        <v/>
      </c>
      <c r="O11" s="48">
        <f>IF(AND(O9="",O10=""),"",N(O9)+N(O10))</f>
        <v/>
      </c>
      <c r="P11" s="48">
        <f>IF(AND(P9="",P10=""),"",N(P9)+N(P10))</f>
        <v/>
      </c>
      <c r="Q11" s="48">
        <f>IF(AND(Q9="",Q10=""),"",N(Q9)+N(Q10))</f>
        <v/>
      </c>
      <c r="R11" s="48">
        <f>IF(AND(R9="",R10=""),"",N(R9)+N(R10))</f>
        <v/>
      </c>
      <c r="S11" s="48">
        <f>IF(AND(S9="",S10=""),"",N(S9)+N(S10))</f>
        <v/>
      </c>
      <c r="T11" s="49">
        <f>IFERROR((S11-R11)/R11,"")</f>
        <v/>
      </c>
    </row>
    <row r="12" ht="15" customHeight="1" s="39">
      <c r="A12" s="46" t="inlineStr">
        <is>
          <t>Property / Operating Expenses</t>
        </is>
      </c>
      <c r="B12" s="47" t="inlineStr">
        <is>
          <t>INR cr</t>
        </is>
      </c>
      <c r="C12" s="56" t="n"/>
      <c r="D12" s="56" t="n"/>
      <c r="E12" s="56" t="n"/>
      <c r="F12" s="56" t="n"/>
      <c r="G12" s="56" t="n"/>
      <c r="H12" s="56" t="n"/>
      <c r="I12" s="56" t="n"/>
      <c r="J12" s="56" t="n"/>
      <c r="K12" s="49">
        <f>IFERROR((J12-I12)/I12,"")</f>
        <v/>
      </c>
      <c r="L12" s="56" t="n"/>
      <c r="M12" s="56" t="n"/>
      <c r="N12" s="56" t="n"/>
      <c r="O12" s="56" t="n"/>
      <c r="P12" s="56" t="n"/>
      <c r="Q12" s="56" t="n"/>
      <c r="R12" s="56" t="n"/>
      <c r="S12" s="56" t="n"/>
      <c r="T12" s="49">
        <f>IFERROR((S12-R12)/R12,"")</f>
        <v/>
      </c>
    </row>
    <row r="13" ht="15" customHeight="1" s="39">
      <c r="A13" s="46" t="inlineStr">
        <is>
          <t>Net Operating Income (NOI)</t>
        </is>
      </c>
      <c r="B13" s="47" t="inlineStr">
        <is>
          <t>INR cr</t>
        </is>
      </c>
      <c r="C13" s="56" t="n"/>
      <c r="D13" s="56" t="n"/>
      <c r="E13" s="57" t="n">
        <v>1374.1</v>
      </c>
      <c r="F13" s="57" t="n">
        <v>1486.4</v>
      </c>
      <c r="G13" s="56" t="n"/>
      <c r="H13" s="57" t="n">
        <v>1895.9</v>
      </c>
      <c r="I13" s="57" t="n">
        <v>2061.6</v>
      </c>
      <c r="J13" s="57" t="n">
        <v>2663.6</v>
      </c>
      <c r="K13" s="49">
        <f>IFERROR((J13-I13)/I13,"")</f>
        <v/>
      </c>
      <c r="L13" s="56" t="n"/>
      <c r="M13" s="56" t="n"/>
      <c r="N13" s="56" t="n"/>
      <c r="O13" s="56" t="n"/>
      <c r="P13" s="56" t="n"/>
      <c r="Q13" s="56" t="n"/>
      <c r="R13" s="56" t="n"/>
      <c r="S13" s="56" t="n"/>
      <c r="T13" s="49">
        <f>IFERROR((S13-R13)/R13,"")</f>
        <v/>
      </c>
    </row>
    <row r="14" ht="15" customHeight="1" s="39">
      <c r="A14" s="46" t="inlineStr">
        <is>
          <t>NOI Margin</t>
        </is>
      </c>
      <c r="B14" s="47" t="inlineStr">
        <is>
          <t>%</t>
        </is>
      </c>
      <c r="C14" s="49">
        <f>IF(OR(C13="",C9="",N(C9)=0),"",C13/C9)</f>
        <v/>
      </c>
      <c r="D14" s="49">
        <f>IF(OR(D13="",D9="",N(D9)=0),"",D13/D9)</f>
        <v/>
      </c>
      <c r="E14" s="49">
        <f>IF(OR(E13="",E9="",N(E9)=0),"",E13/E9)</f>
        <v/>
      </c>
      <c r="F14" s="49">
        <f>IF(OR(F13="",F9="",N(F9)=0),"",F13/F9)</f>
        <v/>
      </c>
      <c r="G14" s="49">
        <f>IF(OR(G13="",G9="",N(G9)=0),"",G13/G9)</f>
        <v/>
      </c>
      <c r="H14" s="49">
        <f>IF(OR(H13="",H9="",N(H9)=0),"",H13/H9)</f>
        <v/>
      </c>
      <c r="I14" s="49">
        <f>IF(OR(I13="",I9="",N(I9)=0),"",I13/I9)</f>
        <v/>
      </c>
      <c r="J14" s="49">
        <f>IF(OR(J13="",J9="",N(J9)=0),"",J13/J9)</f>
        <v/>
      </c>
      <c r="L14" s="49">
        <f>IF(OR(L13="",L9="",N(L9)=0),"",L13/L9)</f>
        <v/>
      </c>
      <c r="M14" s="49">
        <f>IF(OR(M13="",M9="",N(M9)=0),"",M13/M9)</f>
        <v/>
      </c>
      <c r="N14" s="49">
        <f>IF(OR(N13="",N9="",N(N9)=0),"",N13/N9)</f>
        <v/>
      </c>
      <c r="O14" s="49">
        <f>IF(OR(O13="",O9="",N(O9)=0),"",O13/O9)</f>
        <v/>
      </c>
      <c r="P14" s="49">
        <f>IF(OR(P13="",P9="",N(P9)=0),"",P13/P9)</f>
        <v/>
      </c>
      <c r="Q14" s="49">
        <f>IF(OR(Q13="",Q9="",N(Q9)=0),"",Q13/Q9)</f>
        <v/>
      </c>
      <c r="R14" s="49">
        <f>IF(OR(R13="",R9="",N(R9)=0),"",R13/R9)</f>
        <v/>
      </c>
      <c r="S14" s="49">
        <f>IF(OR(S13="",S9="",N(S9)=0),"",S13/S9)</f>
        <v/>
      </c>
    </row>
    <row r="15" ht="15" customHeight="1" s="39">
      <c r="A15" s="46" t="inlineStr">
        <is>
          <t>EBITDA</t>
        </is>
      </c>
      <c r="B15" s="47" t="inlineStr">
        <is>
          <t>INR cr</t>
        </is>
      </c>
      <c r="C15" s="56" t="n"/>
      <c r="D15" s="56" t="n"/>
      <c r="E15" s="57" t="n">
        <v>846.6</v>
      </c>
      <c r="F15" s="57" t="n">
        <v>1384.3</v>
      </c>
      <c r="G15" s="56" t="n"/>
      <c r="H15" s="57" t="n">
        <v>1798.821</v>
      </c>
      <c r="I15" s="57" t="n">
        <v>1968.161</v>
      </c>
      <c r="J15" s="57" t="n">
        <v>2514.56</v>
      </c>
      <c r="K15" s="49">
        <f>IFERROR((J15-I15)/I15,"")</f>
        <v/>
      </c>
      <c r="L15" s="56" t="n"/>
      <c r="M15" s="56" t="n"/>
      <c r="N15" s="57" t="n">
        <v>606.9</v>
      </c>
      <c r="O15" s="57" t="n">
        <v>1190.3</v>
      </c>
      <c r="P15" s="56" t="n"/>
      <c r="Q15" s="56" t="n"/>
      <c r="R15" s="56" t="n"/>
      <c r="S15" s="56" t="n"/>
      <c r="T15" s="49">
        <f>IFERROR((S15-R15)/R15,"")</f>
        <v/>
      </c>
    </row>
    <row r="16" ht="15" customHeight="1" s="39">
      <c r="A16" s="46" t="inlineStr">
        <is>
          <t>EBITDA Margin</t>
        </is>
      </c>
      <c r="B16" s="47" t="inlineStr">
        <is>
          <t>%</t>
        </is>
      </c>
      <c r="C16" s="49">
        <f>IF(OR(C15="",C9="",N(C9)=0),"",C15/C9)</f>
        <v/>
      </c>
      <c r="D16" s="49">
        <f>IF(OR(D15="",D9="",N(D9)=0),"",D15/D9)</f>
        <v/>
      </c>
      <c r="E16" s="49">
        <f>IF(OR(E15="",E9="",N(E9)=0),"",E15/E9)</f>
        <v/>
      </c>
      <c r="F16" s="49">
        <f>IF(OR(F15="",F9="",N(F9)=0),"",F15/F9)</f>
        <v/>
      </c>
      <c r="G16" s="49">
        <f>IF(OR(G15="",G9="",N(G9)=0),"",G15/G9)</f>
        <v/>
      </c>
      <c r="H16" s="49">
        <f>IF(OR(H15="",H9="",N(H9)=0),"",H15/H9)</f>
        <v/>
      </c>
      <c r="I16" s="49">
        <f>IF(OR(I15="",I9="",N(I9)=0),"",I15/I9)</f>
        <v/>
      </c>
      <c r="J16" s="49">
        <f>IF(OR(J15="",J9="",N(J9)=0),"",J15/J9)</f>
        <v/>
      </c>
      <c r="L16" s="49">
        <f>IF(OR(L15="",L9="",N(L9)=0),"",L15/L9)</f>
        <v/>
      </c>
      <c r="M16" s="49">
        <f>IF(OR(M15="",M9="",N(M9)=0),"",M15/M9)</f>
        <v/>
      </c>
      <c r="N16" s="49">
        <f>IF(OR(N15="",N9="",N(N9)=0),"",N15/N9)</f>
        <v/>
      </c>
      <c r="O16" s="49">
        <f>IF(OR(O15="",O9="",N(O9)=0),"",O15/O9)</f>
        <v/>
      </c>
      <c r="P16" s="49">
        <f>IF(OR(P15="",P9="",N(P9)=0),"",P15/P9)</f>
        <v/>
      </c>
      <c r="Q16" s="49">
        <f>IF(OR(Q15="",Q9="",N(Q9)=0),"",Q15/Q9)</f>
        <v/>
      </c>
      <c r="R16" s="49">
        <f>IF(OR(R15="",R9="",N(R9)=0),"",R15/R9)</f>
        <v/>
      </c>
      <c r="S16" s="49">
        <f>IF(OR(S15="",S9="",N(S9)=0),"",S15/S9)</f>
        <v/>
      </c>
    </row>
    <row r="17" ht="15" customHeight="1" s="39">
      <c r="A17" s="46" t="inlineStr">
        <is>
          <t>Finance Costs</t>
        </is>
      </c>
      <c r="B17" s="47" t="inlineStr">
        <is>
          <t>INR cr</t>
        </is>
      </c>
      <c r="C17" s="56" t="n"/>
      <c r="D17" s="56" t="n"/>
      <c r="E17" s="57" t="n">
        <v>170.7</v>
      </c>
      <c r="F17" s="57" t="n">
        <v>264.4</v>
      </c>
      <c r="G17" s="56" t="n"/>
      <c r="H17" s="57" t="n">
        <v>456.632</v>
      </c>
      <c r="I17" s="57" t="n">
        <v>557.273</v>
      </c>
      <c r="J17" s="57" t="n">
        <v>836.401</v>
      </c>
      <c r="K17" s="49">
        <f>IFERROR((J17-I17)/I17,"")</f>
        <v/>
      </c>
      <c r="L17" s="56" t="n"/>
      <c r="M17" s="56" t="n"/>
      <c r="N17" s="57" t="n">
        <v>23</v>
      </c>
      <c r="O17" s="57" t="n">
        <v>86.7</v>
      </c>
      <c r="P17" s="56" t="n"/>
      <c r="Q17" s="57" t="n">
        <v>222.151</v>
      </c>
      <c r="R17" s="57" t="n">
        <v>348.033</v>
      </c>
      <c r="S17" s="57" t="n">
        <v>529.302</v>
      </c>
      <c r="T17" s="49">
        <f>IFERROR((S17-R17)/R17,"")</f>
        <v/>
      </c>
    </row>
    <row r="18" ht="15" customHeight="1" s="39">
      <c r="A18" s="46" t="inlineStr">
        <is>
          <t>Depreciation &amp; Amortisation</t>
        </is>
      </c>
      <c r="B18" s="47" t="inlineStr">
        <is>
          <t>INR cr</t>
        </is>
      </c>
      <c r="C18" s="56" t="n"/>
      <c r="D18" s="56" t="n"/>
      <c r="E18" s="57" t="n">
        <v>196.4</v>
      </c>
      <c r="F18" s="57" t="n">
        <v>328.9</v>
      </c>
      <c r="G18" s="56" t="n"/>
      <c r="H18" s="57" t="n">
        <v>382.654</v>
      </c>
      <c r="I18" s="57" t="n">
        <v>405.984</v>
      </c>
      <c r="J18" s="57" t="n">
        <v>478.98</v>
      </c>
      <c r="K18" s="49">
        <f>IFERROR((J18-I18)/I18,"")</f>
        <v/>
      </c>
      <c r="L18" s="56" t="n"/>
      <c r="M18" s="56" t="n"/>
      <c r="N18" s="57" t="n">
        <v>0</v>
      </c>
      <c r="O18" s="57" t="n">
        <v>0</v>
      </c>
      <c r="P18" s="56" t="n"/>
      <c r="Q18" s="56" t="n"/>
      <c r="R18" s="56" t="n"/>
      <c r="S18" s="56" t="n"/>
      <c r="T18" s="49">
        <f>IFERROR((S18-R18)/R18,"")</f>
        <v/>
      </c>
    </row>
    <row r="19" ht="15" customHeight="1" s="39">
      <c r="A19" s="46" t="inlineStr">
        <is>
          <t>Profit Before Tax (PBT)</t>
        </is>
      </c>
      <c r="B19" s="47" t="inlineStr">
        <is>
          <t>INR cr</t>
        </is>
      </c>
      <c r="C19" s="56" t="n"/>
      <c r="D19" s="56" t="n"/>
      <c r="E19" s="57" t="n">
        <v>479.4</v>
      </c>
      <c r="F19" s="57" t="n">
        <v>714.3</v>
      </c>
      <c r="G19" s="56" t="n"/>
      <c r="H19" s="57" t="n">
        <v>910.611</v>
      </c>
      <c r="I19" s="57" t="n">
        <v>968.153</v>
      </c>
      <c r="J19" s="57" t="n">
        <v>1172.334</v>
      </c>
      <c r="K19" s="49">
        <f>IFERROR((J19-I19)/I19,"")</f>
        <v/>
      </c>
      <c r="L19" s="56" t="n"/>
      <c r="M19" s="56" t="n"/>
      <c r="N19" s="57" t="n">
        <v>583.9</v>
      </c>
      <c r="O19" s="57" t="n">
        <v>1103.6</v>
      </c>
      <c r="P19" s="56" t="n"/>
      <c r="Q19" s="57" t="n">
        <v>1162.037</v>
      </c>
      <c r="R19" s="57" t="n">
        <v>596.847</v>
      </c>
      <c r="S19" s="57" t="n">
        <v>729.319</v>
      </c>
      <c r="T19" s="49">
        <f>IFERROR((S19-R19)/R19,"")</f>
        <v/>
      </c>
    </row>
    <row r="20" ht="15" customHeight="1" s="39">
      <c r="A20" s="46" t="inlineStr">
        <is>
          <t>Profit After Tax (PAT)</t>
        </is>
      </c>
      <c r="B20" s="47" t="inlineStr">
        <is>
          <t>INR cr</t>
        </is>
      </c>
      <c r="C20" s="56" t="n"/>
      <c r="D20" s="56" t="n"/>
      <c r="E20" s="57" t="n">
        <v>334.9</v>
      </c>
      <c r="F20" s="57" t="n">
        <v>447.3</v>
      </c>
      <c r="G20" s="56" t="n"/>
      <c r="H20" s="57" t="n">
        <v>561.2380000000001</v>
      </c>
      <c r="I20" s="57" t="n">
        <v>513.746</v>
      </c>
      <c r="J20" s="57" t="n">
        <v>694.258</v>
      </c>
      <c r="K20" s="49">
        <f>IFERROR((J20-I20)/I20,"")</f>
        <v/>
      </c>
      <c r="L20" s="56" t="n"/>
      <c r="M20" s="56" t="n"/>
      <c r="N20" s="57" t="n">
        <v>583.4</v>
      </c>
      <c r="O20" s="57" t="n">
        <v>1103</v>
      </c>
      <c r="P20" s="56" t="n"/>
      <c r="Q20" s="57" t="n">
        <v>1161.198</v>
      </c>
      <c r="R20" s="57" t="n">
        <v>591.586</v>
      </c>
      <c r="S20" s="57" t="n">
        <v>724.6</v>
      </c>
      <c r="T20" s="49">
        <f>IFERROR((S20-R20)/R20,"")</f>
        <v/>
      </c>
    </row>
    <row r="21" ht="15" customHeight="1" s="39">
      <c r="A21" s="46" t="inlineStr">
        <is>
          <t>PAT Margin</t>
        </is>
      </c>
      <c r="B21" s="47" t="inlineStr">
        <is>
          <t>%</t>
        </is>
      </c>
      <c r="C21" s="49">
        <f>IF(OR(C20="",C9="",N(C9)=0),"",C20/C9)</f>
        <v/>
      </c>
      <c r="D21" s="49">
        <f>IF(OR(D20="",D9="",N(D9)=0),"",D20/D9)</f>
        <v/>
      </c>
      <c r="E21" s="49">
        <f>IF(OR(E20="",E9="",N(E9)=0),"",E20/E9)</f>
        <v/>
      </c>
      <c r="F21" s="49">
        <f>IF(OR(F20="",F9="",N(F9)=0),"",F20/F9)</f>
        <v/>
      </c>
      <c r="G21" s="49">
        <f>IF(OR(G20="",G9="",N(G9)=0),"",G20/G9)</f>
        <v/>
      </c>
      <c r="H21" s="49">
        <f>IF(OR(H20="",H9="",N(H9)=0),"",H20/H9)</f>
        <v/>
      </c>
      <c r="I21" s="49">
        <f>IF(OR(I20="",I9="",N(I9)=0),"",I20/I9)</f>
        <v/>
      </c>
      <c r="J21" s="49">
        <f>IF(OR(J20="",J9="",N(J9)=0),"",J20/J9)</f>
        <v/>
      </c>
      <c r="L21" s="49">
        <f>IF(OR(L20="",L9="",N(L9)=0),"",L20/L9)</f>
        <v/>
      </c>
      <c r="M21" s="49">
        <f>IF(OR(M20="",M9="",N(M9)=0),"",M20/M9)</f>
        <v/>
      </c>
      <c r="N21" s="49">
        <f>IF(OR(N20="",N9="",N(N9)=0),"",N20/N9)</f>
        <v/>
      </c>
      <c r="O21" s="49">
        <f>IF(OR(O20="",O9="",N(O9)=0),"",O20/O9)</f>
        <v/>
      </c>
      <c r="P21" s="49">
        <f>IF(OR(P20="",P9="",N(P9)=0),"",P20/P9)</f>
        <v/>
      </c>
      <c r="Q21" s="49">
        <f>IF(OR(Q20="",Q9="",N(Q9)=0),"",Q20/Q9)</f>
        <v/>
      </c>
      <c r="R21" s="49">
        <f>IF(OR(R20="",R9="",N(R9)=0),"",R20/R9)</f>
        <v/>
      </c>
      <c r="S21" s="49">
        <f>IF(OR(S20="",S9="",N(S9)=0),"",S20/S9)</f>
        <v/>
      </c>
    </row>
    <row r="22" ht="15" customHeight="1" s="39">
      <c r="A22" s="53" t="inlineStr">
        <is>
          <t>DISTRIBUTIONS &amp; CASH FLOW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</row>
    <row r="23" ht="15" customHeight="1" s="39">
      <c r="A23" s="46" t="inlineStr">
        <is>
          <t>Net Distributable Cash Flow (NDCF)</t>
        </is>
      </c>
      <c r="B23" s="47" t="inlineStr">
        <is>
          <t>INR cr</t>
        </is>
      </c>
      <c r="C23" s="56" t="n"/>
      <c r="D23" s="56" t="n"/>
      <c r="E23" s="57" t="n">
        <v>570.6</v>
      </c>
      <c r="F23" s="57" t="n">
        <v>1098.4</v>
      </c>
      <c r="G23" s="56" t="n"/>
      <c r="H23" s="57" t="n">
        <v>1143</v>
      </c>
      <c r="I23" s="57" t="n">
        <v>1321.435</v>
      </c>
      <c r="J23" s="57" t="n">
        <v>1528.778</v>
      </c>
      <c r="K23" s="49">
        <f>IFERROR((J23-I23)/I23,"")</f>
        <v/>
      </c>
      <c r="L23" s="58" t="inlineStr">
        <is>
          <t>n/a</t>
        </is>
      </c>
      <c r="M23" s="58" t="inlineStr">
        <is>
          <t>n/a</t>
        </is>
      </c>
      <c r="N23" s="58" t="inlineStr">
        <is>
          <t>n/a</t>
        </is>
      </c>
      <c r="O23" s="58" t="inlineStr">
        <is>
          <t>n/a</t>
        </is>
      </c>
      <c r="P23" s="58" t="inlineStr">
        <is>
          <t>n/a</t>
        </is>
      </c>
      <c r="Q23" s="58" t="inlineStr">
        <is>
          <t>n/a</t>
        </is>
      </c>
      <c r="R23" s="58" t="inlineStr">
        <is>
          <t>n/a</t>
        </is>
      </c>
      <c r="S23" s="58" t="inlineStr">
        <is>
          <t>n/a</t>
        </is>
      </c>
      <c r="T23" s="58" t="inlineStr">
        <is>
          <t>n/a</t>
        </is>
      </c>
    </row>
    <row r="24" ht="15" customHeight="1" s="39">
      <c r="A24" s="46" t="inlineStr">
        <is>
          <t>Total Distribution</t>
        </is>
      </c>
      <c r="B24" s="47" t="inlineStr">
        <is>
          <t>INR cr</t>
        </is>
      </c>
      <c r="C24" s="56" t="n"/>
      <c r="D24" s="56" t="n"/>
      <c r="E24" s="57" t="n">
        <v>568.7</v>
      </c>
      <c r="F24" s="57" t="n">
        <v>1094.1</v>
      </c>
      <c r="G24" s="56" t="n"/>
      <c r="H24" s="57" t="n">
        <v>1136.2</v>
      </c>
      <c r="I24" s="57" t="n">
        <v>1312.1</v>
      </c>
      <c r="J24" s="57" t="n">
        <v>1516.356</v>
      </c>
      <c r="K24" s="49">
        <f>IFERROR((J24-I24)/I24,"")</f>
        <v/>
      </c>
      <c r="L24" s="58" t="inlineStr">
        <is>
          <t>n/a</t>
        </is>
      </c>
      <c r="M24" s="58" t="inlineStr">
        <is>
          <t>n/a</t>
        </is>
      </c>
      <c r="N24" s="58" t="inlineStr">
        <is>
          <t>n/a</t>
        </is>
      </c>
      <c r="O24" s="58" t="inlineStr">
        <is>
          <t>n/a</t>
        </is>
      </c>
      <c r="P24" s="58" t="inlineStr">
        <is>
          <t>n/a</t>
        </is>
      </c>
      <c r="Q24" s="58" t="inlineStr">
        <is>
          <t>n/a</t>
        </is>
      </c>
      <c r="R24" s="58" t="inlineStr">
        <is>
          <t>n/a</t>
        </is>
      </c>
      <c r="S24" s="58" t="inlineStr">
        <is>
          <t>n/a</t>
        </is>
      </c>
      <c r="T24" s="58" t="inlineStr">
        <is>
          <t>n/a</t>
        </is>
      </c>
    </row>
    <row r="25" ht="15" customHeight="1" s="39">
      <c r="A25" s="46" t="inlineStr">
        <is>
          <t>Distribution per Unit (DPU)</t>
        </is>
      </c>
      <c r="B25" s="47" t="inlineStr">
        <is>
          <t>INR/unit</t>
        </is>
      </c>
      <c r="C25" s="59" t="n"/>
      <c r="D25" s="59" t="n"/>
      <c r="E25" s="60" t="n">
        <v>9.59</v>
      </c>
      <c r="F25" s="60" t="n">
        <v>18.45</v>
      </c>
      <c r="G25" s="59" t="n"/>
      <c r="H25" s="60" t="n">
        <v>19.16</v>
      </c>
      <c r="I25" s="60" t="n">
        <v>21.95</v>
      </c>
      <c r="J25" s="60" t="n">
        <v>24.09</v>
      </c>
      <c r="K25" s="49">
        <f>IFERROR((J25-I25)/I25,"")</f>
        <v/>
      </c>
      <c r="L25" s="58" t="inlineStr">
        <is>
          <t>n/a</t>
        </is>
      </c>
      <c r="M25" s="58" t="inlineStr">
        <is>
          <t>n/a</t>
        </is>
      </c>
      <c r="N25" s="58" t="inlineStr">
        <is>
          <t>n/a</t>
        </is>
      </c>
      <c r="O25" s="58" t="inlineStr">
        <is>
          <t>n/a</t>
        </is>
      </c>
      <c r="P25" s="58" t="inlineStr">
        <is>
          <t>n/a</t>
        </is>
      </c>
      <c r="Q25" s="58" t="inlineStr">
        <is>
          <t>n/a</t>
        </is>
      </c>
      <c r="R25" s="58" t="inlineStr">
        <is>
          <t>n/a</t>
        </is>
      </c>
      <c r="S25" s="58" t="inlineStr">
        <is>
          <t>n/a</t>
        </is>
      </c>
      <c r="T25" s="58" t="inlineStr">
        <is>
          <t>n/a</t>
        </is>
      </c>
    </row>
    <row r="26" ht="15" customHeight="1" s="39">
      <c r="A26" s="46" t="inlineStr">
        <is>
          <t>NDCF Payout Ratio</t>
        </is>
      </c>
      <c r="B26" s="47" t="inlineStr">
        <is>
          <t>%</t>
        </is>
      </c>
      <c r="C26" s="49">
        <f>IF(OR(C24="",C23="",N(C23)=0),"",C24/C23)</f>
        <v/>
      </c>
      <c r="D26" s="49">
        <f>IF(OR(D24="",D23="",N(D23)=0),"",D24/D23)</f>
        <v/>
      </c>
      <c r="E26" s="49">
        <f>IF(OR(E24="",E23="",N(E23)=0),"",E24/E23)</f>
        <v/>
      </c>
      <c r="F26" s="49">
        <f>IF(OR(F24="",F23="",N(F23)=0),"",F24/F23)</f>
        <v/>
      </c>
      <c r="G26" s="49">
        <f>IF(OR(G24="",G23="",N(G23)=0),"",G24/G23)</f>
        <v/>
      </c>
      <c r="H26" s="49">
        <f>IF(OR(H24="",H23="",N(H23)=0),"",H24/H23)</f>
        <v/>
      </c>
      <c r="I26" s="49">
        <f>IF(OR(I24="",I23="",N(I23)=0),"",I24/I23)</f>
        <v/>
      </c>
      <c r="J26" s="49">
        <f>IF(OR(J24="",J23="",N(J23)=0),"",J24/J23)</f>
        <v/>
      </c>
      <c r="L26" s="58" t="inlineStr">
        <is>
          <t>n/a</t>
        </is>
      </c>
      <c r="M26" s="58" t="inlineStr">
        <is>
          <t>n/a</t>
        </is>
      </c>
      <c r="N26" s="58" t="inlineStr">
        <is>
          <t>n/a</t>
        </is>
      </c>
      <c r="O26" s="58" t="inlineStr">
        <is>
          <t>n/a</t>
        </is>
      </c>
      <c r="P26" s="58" t="inlineStr">
        <is>
          <t>n/a</t>
        </is>
      </c>
      <c r="Q26" s="58" t="inlineStr">
        <is>
          <t>n/a</t>
        </is>
      </c>
      <c r="R26" s="58" t="inlineStr">
        <is>
          <t>n/a</t>
        </is>
      </c>
      <c r="S26" s="58" t="inlineStr">
        <is>
          <t>n/a</t>
        </is>
      </c>
      <c r="T26" s="58" t="inlineStr">
        <is>
          <t>n/a</t>
        </is>
      </c>
    </row>
    <row r="27" ht="15" customHeight="1" s="39">
      <c r="A27" s="53" t="inlineStr">
        <is>
          <t>BALANCE SHEET &amp; LEVERAGE</t>
        </is>
      </c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</row>
    <row r="28" ht="15" customHeight="1" s="39">
      <c r="A28" s="46" t="inlineStr">
        <is>
          <t>Gross Asset Value (GAV) / AUM</t>
        </is>
      </c>
      <c r="B28" s="47" t="inlineStr">
        <is>
          <t>INR cr</t>
        </is>
      </c>
      <c r="C28" s="56" t="n"/>
      <c r="D28" s="56" t="n"/>
      <c r="E28" s="57" t="n">
        <v>24616.7</v>
      </c>
      <c r="F28" s="57" t="n">
        <v>26399.6</v>
      </c>
      <c r="G28" s="56" t="n">
        <v>28026.5</v>
      </c>
      <c r="H28" s="57" t="n">
        <v>29900</v>
      </c>
      <c r="I28" s="57" t="n">
        <v>36600</v>
      </c>
      <c r="J28" s="57" t="n">
        <v>49711.61</v>
      </c>
      <c r="K28" s="49">
        <f>IFERROR((J28-I28)/I28,"")</f>
        <v/>
      </c>
      <c r="L28" s="58" t="inlineStr">
        <is>
          <t>n/a</t>
        </is>
      </c>
      <c r="M28" s="58" t="inlineStr">
        <is>
          <t>n/a</t>
        </is>
      </c>
      <c r="N28" s="58" t="inlineStr">
        <is>
          <t>n/a</t>
        </is>
      </c>
      <c r="O28" s="58" t="inlineStr">
        <is>
          <t>n/a</t>
        </is>
      </c>
      <c r="P28" s="58" t="inlineStr">
        <is>
          <t>n/a</t>
        </is>
      </c>
      <c r="Q28" s="58" t="inlineStr">
        <is>
          <t>n/a</t>
        </is>
      </c>
      <c r="R28" s="58" t="inlineStr">
        <is>
          <t>n/a</t>
        </is>
      </c>
      <c r="S28" s="58" t="inlineStr">
        <is>
          <t>n/a</t>
        </is>
      </c>
      <c r="T28" s="58" t="inlineStr">
        <is>
          <t>n/a</t>
        </is>
      </c>
    </row>
    <row r="29" ht="15" customHeight="1" s="39">
      <c r="A29" s="46" t="inlineStr">
        <is>
          <t>Gross Debt</t>
        </is>
      </c>
      <c r="B29" s="47" t="inlineStr">
        <is>
          <t>INR cr</t>
        </is>
      </c>
      <c r="C29" s="56" t="n"/>
      <c r="D29" s="56" t="n"/>
      <c r="E29" s="57" t="n">
        <v>3606.3</v>
      </c>
      <c r="F29" s="57" t="n">
        <v>4448</v>
      </c>
      <c r="G29" s="56" t="n">
        <v>5453.5</v>
      </c>
      <c r="H29" s="57" t="n">
        <v>6972.811</v>
      </c>
      <c r="I29" s="57" t="n">
        <v>10109.782</v>
      </c>
      <c r="J29" s="57" t="n">
        <v>12976.165</v>
      </c>
      <c r="K29" s="49">
        <f>IFERROR((J29-I29)/I29,"")</f>
        <v/>
      </c>
      <c r="L29" s="56" t="n"/>
      <c r="M29" s="56" t="n"/>
      <c r="N29" s="57" t="n">
        <v>1142.5</v>
      </c>
      <c r="O29" s="57" t="n">
        <v>1641.9</v>
      </c>
      <c r="P29" s="56" t="n"/>
      <c r="Q29" s="57" t="n">
        <v>3473.601</v>
      </c>
      <c r="R29" s="57" t="n">
        <v>4615.561</v>
      </c>
      <c r="S29" s="57" t="n">
        <v>8753.529</v>
      </c>
      <c r="T29" s="49">
        <f>IFERROR((S29-R29)/R29,"")</f>
        <v/>
      </c>
    </row>
    <row r="30" ht="15" customHeight="1" s="39">
      <c r="A30" s="46" t="inlineStr">
        <is>
          <t>Cash &amp; Cash Equivalents</t>
        </is>
      </c>
      <c r="B30" s="47" t="inlineStr">
        <is>
          <t>INR cr</t>
        </is>
      </c>
      <c r="C30" s="56" t="n"/>
      <c r="D30" s="56" t="n"/>
      <c r="E30" s="57" t="n">
        <v>353.9</v>
      </c>
      <c r="F30" s="57" t="n">
        <v>347.8</v>
      </c>
      <c r="G30" s="56" t="n">
        <v>406.2</v>
      </c>
      <c r="H30" s="57" t="n">
        <v>324.996</v>
      </c>
      <c r="I30" s="57" t="n">
        <v>637.931</v>
      </c>
      <c r="J30" s="57" t="n">
        <v>1217.59</v>
      </c>
      <c r="K30" s="49">
        <f>IFERROR((J30-I30)/I30,"")</f>
        <v/>
      </c>
      <c r="L30" s="56" t="n"/>
      <c r="M30" s="56" t="n"/>
      <c r="N30" s="57" t="n">
        <v>293.8</v>
      </c>
      <c r="O30" s="57" t="n">
        <v>281.4</v>
      </c>
      <c r="P30" s="56" t="n"/>
      <c r="Q30" s="57" t="n">
        <v>303.781</v>
      </c>
      <c r="R30" s="57" t="n">
        <v>28.175</v>
      </c>
      <c r="S30" s="57" t="n">
        <v>122.489</v>
      </c>
      <c r="T30" s="49">
        <f>IFERROR((S30-R30)/R30,"")</f>
        <v/>
      </c>
    </row>
    <row r="31" ht="15" customHeight="1" s="39">
      <c r="A31" s="46" t="inlineStr">
        <is>
          <t>Net Debt</t>
        </is>
      </c>
      <c r="B31" s="47" t="inlineStr">
        <is>
          <t>INR cr</t>
        </is>
      </c>
      <c r="C31" s="48">
        <f>IF(C29="","",C29-N(C30))</f>
        <v/>
      </c>
      <c r="D31" s="48">
        <f>IF(D29="","",D29-N(D30))</f>
        <v/>
      </c>
      <c r="E31" s="48">
        <f>IF(E29="","",E29-N(E30))</f>
        <v/>
      </c>
      <c r="F31" s="48">
        <f>IF(F29="","",F29-N(F30))</f>
        <v/>
      </c>
      <c r="G31" s="48">
        <f>IF(G29="","",G29-N(G30))</f>
        <v/>
      </c>
      <c r="H31" s="48">
        <f>IF(H29="","",H29-N(H30))</f>
        <v/>
      </c>
      <c r="I31" s="48">
        <f>IF(I29="","",I29-N(I30))</f>
        <v/>
      </c>
      <c r="J31" s="48">
        <f>IF(J29="","",J29-N(J30))</f>
        <v/>
      </c>
      <c r="K31" s="49">
        <f>IFERROR((J31-I31)/I31,"")</f>
        <v/>
      </c>
      <c r="L31" s="48">
        <f>IF(L29="","",L29-N(L30))</f>
        <v/>
      </c>
      <c r="M31" s="48">
        <f>IF(M29="","",M29-N(M30))</f>
        <v/>
      </c>
      <c r="N31" s="48">
        <f>IF(N29="","",N29-N(N30))</f>
        <v/>
      </c>
      <c r="O31" s="48">
        <f>IF(O29="","",O29-N(O30))</f>
        <v/>
      </c>
      <c r="P31" s="48">
        <f>IF(P29="","",P29-N(P30))</f>
        <v/>
      </c>
      <c r="Q31" s="48">
        <f>IF(Q29="","",Q29-N(Q30))</f>
        <v/>
      </c>
      <c r="R31" s="48">
        <f>IF(R29="","",R29-N(R30))</f>
        <v/>
      </c>
      <c r="S31" s="48">
        <f>IF(S29="","",S29-N(S30))</f>
        <v/>
      </c>
      <c r="T31" s="49">
        <f>IFERROR((S31-R31)/R31,"")</f>
        <v/>
      </c>
    </row>
    <row r="32" ht="15" customHeight="1" s="39">
      <c r="A32" s="46" t="inlineStr">
        <is>
          <t>Net Worth / Unitholders Equity</t>
        </is>
      </c>
      <c r="B32" s="47" t="inlineStr">
        <is>
          <t>INR cr</t>
        </is>
      </c>
      <c r="C32" s="56" t="n"/>
      <c r="D32" s="56" t="n"/>
      <c r="E32" s="57" t="n">
        <v>16303</v>
      </c>
      <c r="F32" s="57" t="n">
        <v>15620.5</v>
      </c>
      <c r="G32" s="56" t="n"/>
      <c r="H32" s="57" t="n">
        <v>14928.541</v>
      </c>
      <c r="I32" s="57" t="n">
        <v>14810.55</v>
      </c>
      <c r="J32" s="57" t="n">
        <v>15796.831</v>
      </c>
      <c r="K32" s="49">
        <f>IFERROR((J32-I32)/I32,"")</f>
        <v/>
      </c>
      <c r="L32" s="56" t="n"/>
      <c r="M32" s="56" t="n"/>
      <c r="N32" s="57" t="n">
        <v>16578.9</v>
      </c>
      <c r="O32" s="57" t="n">
        <v>16575.8</v>
      </c>
      <c r="P32" s="56" t="n"/>
      <c r="Q32" s="57" t="n">
        <v>16626.754</v>
      </c>
      <c r="R32" s="57" t="n">
        <v>16628.221</v>
      </c>
      <c r="S32" s="57" t="n">
        <v>17693.675</v>
      </c>
      <c r="T32" s="49">
        <f>IFERROR((S32-R32)/R32,"")</f>
        <v/>
      </c>
    </row>
    <row r="33" ht="15" customHeight="1" s="39">
      <c r="A33" s="46" t="inlineStr">
        <is>
          <t>Loan-to-Value (LTV)</t>
        </is>
      </c>
      <c r="B33" s="47" t="inlineStr">
        <is>
          <t>%</t>
        </is>
      </c>
      <c r="C33" s="49">
        <f>IF(OR(C31="",C28="",N(C28)=0),"",C31/C28)</f>
        <v/>
      </c>
      <c r="D33" s="49">
        <f>IF(OR(D31="",D28="",N(D28)=0),"",D31/D28)</f>
        <v/>
      </c>
      <c r="E33" s="49">
        <f>IF(OR(E31="",E28="",N(E28)=0),"",E31/E28)</f>
        <v/>
      </c>
      <c r="F33" s="49">
        <f>IF(OR(F31="",F28="",N(F28)=0),"",F31/F28)</f>
        <v/>
      </c>
      <c r="G33" s="49">
        <f>IF(OR(G31="",G28="",N(G28)=0),"",G31/G28)</f>
        <v/>
      </c>
      <c r="H33" s="49">
        <f>IF(OR(H31="",H28="",N(H28)=0),"",H31/H28)</f>
        <v/>
      </c>
      <c r="I33" s="49">
        <f>IF(OR(I31="",I28="",N(I28)=0),"",I31/I28)</f>
        <v/>
      </c>
      <c r="J33" s="49">
        <f>IF(OR(J31="",J28="",N(J28)=0),"",J31/J28)</f>
        <v/>
      </c>
      <c r="L33" s="49">
        <f>IF(OR(L31="",L28="",N(L28)=0),"",L31/L28)</f>
        <v/>
      </c>
      <c r="M33" s="49">
        <f>IF(OR(M31="",M28="",N(M28)=0),"",M31/M28)</f>
        <v/>
      </c>
      <c r="N33" s="49">
        <f>IF(OR(N31="",N28="",N(N28)=0),"",N31/N28)</f>
        <v/>
      </c>
      <c r="O33" s="49">
        <f>IF(OR(O31="",O28="",N(O28)=0),"",O31/O28)</f>
        <v/>
      </c>
      <c r="P33" s="49">
        <f>IF(OR(P31="",P28="",N(P28)=0),"",P31/P28)</f>
        <v/>
      </c>
      <c r="Q33" s="49">
        <f>IF(OR(Q31="",Q28="",N(Q28)=0),"",Q31/Q28)</f>
        <v/>
      </c>
      <c r="R33" s="49">
        <f>IF(OR(R31="",R28="",N(R28)=0),"",R31/R28)</f>
        <v/>
      </c>
      <c r="S33" s="49">
        <f>IF(OR(S31="",S28="",N(S28)=0),"",S31/S28)</f>
        <v/>
      </c>
    </row>
    <row r="34" ht="15" customHeight="1" s="39">
      <c r="A34" s="46" t="inlineStr">
        <is>
          <t>NAV per Unit</t>
        </is>
      </c>
      <c r="B34" s="47" t="inlineStr">
        <is>
          <t>INR/unit</t>
        </is>
      </c>
      <c r="C34" s="59" t="n"/>
      <c r="D34" s="59" t="n"/>
      <c r="E34" s="60" t="n">
        <v>345.2</v>
      </c>
      <c r="F34" s="60" t="n">
        <v>364.9</v>
      </c>
      <c r="G34" s="59" t="n"/>
      <c r="H34" s="60" t="n">
        <v>380.5</v>
      </c>
      <c r="I34" s="60" t="n">
        <v>431.7</v>
      </c>
      <c r="J34" s="60" t="n">
        <v>527.01</v>
      </c>
      <c r="K34" s="49">
        <f>IFERROR((J34-I34)/I34,"")</f>
        <v/>
      </c>
      <c r="L34" s="58" t="inlineStr">
        <is>
          <t>n/a</t>
        </is>
      </c>
      <c r="M34" s="58" t="inlineStr">
        <is>
          <t>n/a</t>
        </is>
      </c>
      <c r="N34" s="58" t="inlineStr">
        <is>
          <t>n/a</t>
        </is>
      </c>
      <c r="O34" s="58" t="inlineStr">
        <is>
          <t>n/a</t>
        </is>
      </c>
      <c r="P34" s="58" t="inlineStr">
        <is>
          <t>n/a</t>
        </is>
      </c>
      <c r="Q34" s="58" t="inlineStr">
        <is>
          <t>n/a</t>
        </is>
      </c>
      <c r="R34" s="58" t="inlineStr">
        <is>
          <t>n/a</t>
        </is>
      </c>
      <c r="S34" s="58" t="inlineStr">
        <is>
          <t>n/a</t>
        </is>
      </c>
      <c r="T34" s="58" t="inlineStr">
        <is>
          <t>n/a</t>
        </is>
      </c>
    </row>
    <row r="35" ht="15" customHeight="1" s="39">
      <c r="A35" s="53" t="inlineStr">
        <is>
          <t>MARKET DATA</t>
        </is>
      </c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</row>
    <row r="36" ht="15" customHeight="1" s="39">
      <c r="A36" s="46" t="inlineStr">
        <is>
          <t>Units Outstanding</t>
        </is>
      </c>
      <c r="B36" s="47" t="inlineStr">
        <is>
          <t>mn units</t>
        </is>
      </c>
      <c r="C36" s="59" t="n"/>
      <c r="D36" s="59" t="n"/>
      <c r="E36" s="60" t="n">
        <v>593.02</v>
      </c>
      <c r="F36" s="60" t="n">
        <v>593.02</v>
      </c>
      <c r="G36" s="59" t="n"/>
      <c r="H36" s="60" t="n">
        <v>593.02</v>
      </c>
      <c r="I36" s="60" t="n">
        <v>609.1799999999999</v>
      </c>
      <c r="J36" s="60" t="n">
        <v>648.34</v>
      </c>
      <c r="K36" s="49">
        <f>IFERROR((J36-I36)/I36,"")</f>
        <v/>
      </c>
      <c r="L36" s="58" t="inlineStr">
        <is>
          <t>n/a</t>
        </is>
      </c>
      <c r="M36" s="58" t="inlineStr">
        <is>
          <t>n/a</t>
        </is>
      </c>
      <c r="N36" s="58" t="inlineStr">
        <is>
          <t>n/a</t>
        </is>
      </c>
      <c r="O36" s="58" t="inlineStr">
        <is>
          <t>n/a</t>
        </is>
      </c>
      <c r="P36" s="58" t="inlineStr">
        <is>
          <t>n/a</t>
        </is>
      </c>
      <c r="Q36" s="58" t="inlineStr">
        <is>
          <t>n/a</t>
        </is>
      </c>
      <c r="R36" s="58" t="inlineStr">
        <is>
          <t>n/a</t>
        </is>
      </c>
      <c r="S36" s="58" t="inlineStr">
        <is>
          <t>n/a</t>
        </is>
      </c>
      <c r="T36" s="58" t="inlineStr">
        <is>
          <t>n/a</t>
        </is>
      </c>
    </row>
    <row r="37" ht="15" customHeight="1" s="39">
      <c r="A37" s="46" t="inlineStr">
        <is>
          <t>Unit Price (period-end)</t>
        </is>
      </c>
      <c r="B37" s="47" t="inlineStr">
        <is>
          <t>INR/unit</t>
        </is>
      </c>
      <c r="C37" s="59" t="n"/>
      <c r="D37" s="59" t="n"/>
      <c r="E37" s="59" t="n"/>
      <c r="F37" s="60" t="n">
        <v>346.02</v>
      </c>
      <c r="G37" s="60" t="n">
        <v>325.1</v>
      </c>
      <c r="H37" s="60" t="n">
        <v>344.99</v>
      </c>
      <c r="I37" s="60" t="n">
        <v>376.99</v>
      </c>
      <c r="J37" s="60" t="n">
        <v>449</v>
      </c>
      <c r="K37" s="49">
        <f>IFERROR((J37-I37)/I37,"")</f>
        <v/>
      </c>
      <c r="L37" s="58" t="inlineStr">
        <is>
          <t>n/a</t>
        </is>
      </c>
      <c r="M37" s="58" t="inlineStr">
        <is>
          <t>n/a</t>
        </is>
      </c>
      <c r="N37" s="58" t="inlineStr">
        <is>
          <t>n/a</t>
        </is>
      </c>
      <c r="O37" s="58" t="inlineStr">
        <is>
          <t>n/a</t>
        </is>
      </c>
      <c r="P37" s="58" t="inlineStr">
        <is>
          <t>n/a</t>
        </is>
      </c>
      <c r="Q37" s="58" t="inlineStr">
        <is>
          <t>n/a</t>
        </is>
      </c>
      <c r="R37" s="58" t="inlineStr">
        <is>
          <t>n/a</t>
        </is>
      </c>
      <c r="S37" s="58" t="inlineStr">
        <is>
          <t>n/a</t>
        </is>
      </c>
      <c r="T37" s="58" t="inlineStr">
        <is>
          <t>n/a</t>
        </is>
      </c>
    </row>
    <row r="38" ht="15" customHeight="1" s="39">
      <c r="A38" s="46" t="inlineStr">
        <is>
          <t>Market Capitalisation</t>
        </is>
      </c>
      <c r="B38" s="47" t="inlineStr">
        <is>
          <t>INR cr</t>
        </is>
      </c>
      <c r="C38" s="48">
        <f>IF(OR(C36="",C37=""),"",C36*C37/10)</f>
        <v/>
      </c>
      <c r="D38" s="48">
        <f>IF(OR(D36="",D37=""),"",D36*D37/10)</f>
        <v/>
      </c>
      <c r="E38" s="48">
        <f>IF(OR(E36="",E37=""),"",E36*E37/10)</f>
        <v/>
      </c>
      <c r="F38" s="48">
        <f>IF(OR(F36="",F37=""),"",F36*F37/10)</f>
        <v/>
      </c>
      <c r="G38" s="48">
        <f>IF(OR(G36="",G37=""),"",G36*G37/10)</f>
        <v/>
      </c>
      <c r="H38" s="48">
        <f>IF(OR(H36="",H37=""),"",H36*H37/10)</f>
        <v/>
      </c>
      <c r="I38" s="48">
        <f>IF(OR(I36="",I37=""),"",I36*I37/10)</f>
        <v/>
      </c>
      <c r="J38" s="48">
        <f>IF(OR(J36="",J37=""),"",J36*J37/10)</f>
        <v/>
      </c>
      <c r="K38" s="49">
        <f>IFERROR((J38-I38)/I38,"")</f>
        <v/>
      </c>
      <c r="L38" s="58" t="inlineStr">
        <is>
          <t>n/a</t>
        </is>
      </c>
      <c r="M38" s="58" t="inlineStr">
        <is>
          <t>n/a</t>
        </is>
      </c>
      <c r="N38" s="58" t="inlineStr">
        <is>
          <t>n/a</t>
        </is>
      </c>
      <c r="O38" s="58" t="inlineStr">
        <is>
          <t>n/a</t>
        </is>
      </c>
      <c r="P38" s="58" t="inlineStr">
        <is>
          <t>n/a</t>
        </is>
      </c>
      <c r="Q38" s="58" t="inlineStr">
        <is>
          <t>n/a</t>
        </is>
      </c>
      <c r="R38" s="58" t="inlineStr">
        <is>
          <t>n/a</t>
        </is>
      </c>
      <c r="S38" s="58" t="inlineStr">
        <is>
          <t>n/a</t>
        </is>
      </c>
      <c r="T38" s="58" t="inlineStr">
        <is>
          <t>n/a</t>
        </is>
      </c>
    </row>
    <row r="39" ht="15" customHeight="1" s="39">
      <c r="A39" s="46" t="inlineStr">
        <is>
          <t>Annual Distribution Yield</t>
        </is>
      </c>
      <c r="B39" s="47" t="inlineStr">
        <is>
          <t>%</t>
        </is>
      </c>
      <c r="C39" s="49">
        <f>IF(OR(C25="",C37="",N(C37)=0),"",C25/C37)</f>
        <v/>
      </c>
      <c r="D39" s="49">
        <f>IF(OR(D25="",D37="",N(D37)=0),"",D25/D37)</f>
        <v/>
      </c>
      <c r="E39" s="49">
        <f>IF(OR(E25="",E37="",N(E37)=0),"",E25/E37)</f>
        <v/>
      </c>
      <c r="F39" s="49">
        <f>IF(OR(F25="",F37="",N(F37)=0),"",F25/F37)</f>
        <v/>
      </c>
      <c r="G39" s="49">
        <f>IF(OR(G25="",G37="",N(G37)=0),"",G25/G37)</f>
        <v/>
      </c>
      <c r="H39" s="49">
        <f>IF(OR(H25="",H37="",N(H37)=0),"",H25/H37)</f>
        <v/>
      </c>
      <c r="I39" s="49">
        <f>IF(OR(I25="",I37="",N(I37)=0),"",I25/I37)</f>
        <v/>
      </c>
      <c r="J39" s="49">
        <f>IF(OR(J25="",J37="",N(J37)=0),"",J25/J37)</f>
        <v/>
      </c>
      <c r="L39" s="58" t="inlineStr">
        <is>
          <t>n/a</t>
        </is>
      </c>
      <c r="M39" s="58" t="inlineStr">
        <is>
          <t>n/a</t>
        </is>
      </c>
      <c r="N39" s="58" t="inlineStr">
        <is>
          <t>n/a</t>
        </is>
      </c>
      <c r="O39" s="58" t="inlineStr">
        <is>
          <t>n/a</t>
        </is>
      </c>
      <c r="P39" s="58" t="inlineStr">
        <is>
          <t>n/a</t>
        </is>
      </c>
      <c r="Q39" s="58" t="inlineStr">
        <is>
          <t>n/a</t>
        </is>
      </c>
      <c r="R39" s="58" t="inlineStr">
        <is>
          <t>n/a</t>
        </is>
      </c>
      <c r="S39" s="58" t="inlineStr">
        <is>
          <t>n/a</t>
        </is>
      </c>
      <c r="T39" s="58" t="inlineStr">
        <is>
          <t>n/a</t>
        </is>
      </c>
    </row>
    <row r="40" ht="15" customHeight="1" s="39">
      <c r="A40" s="46" t="inlineStr">
        <is>
          <t>Cost of Debt</t>
        </is>
      </c>
      <c r="B40" s="47" t="inlineStr">
        <is>
          <t>%</t>
        </is>
      </c>
      <c r="C40" s="61" t="n"/>
      <c r="D40" s="61" t="n"/>
      <c r="E40" s="62" t="n">
        <v>0.07099999999999999</v>
      </c>
      <c r="F40" s="62" t="n">
        <v>0.066</v>
      </c>
      <c r="G40" s="61" t="n">
        <v>0.076</v>
      </c>
      <c r="H40" s="62" t="n">
        <v>0.078</v>
      </c>
      <c r="I40" s="62" t="n">
        <v>0.0815</v>
      </c>
      <c r="J40" s="62" t="n">
        <v>0.0741</v>
      </c>
      <c r="L40" s="58" t="inlineStr">
        <is>
          <t>n/a</t>
        </is>
      </c>
      <c r="M40" s="58" t="inlineStr">
        <is>
          <t>n/a</t>
        </is>
      </c>
      <c r="N40" s="58" t="inlineStr">
        <is>
          <t>n/a</t>
        </is>
      </c>
      <c r="O40" s="58" t="inlineStr">
        <is>
          <t>n/a</t>
        </is>
      </c>
      <c r="P40" s="58" t="inlineStr">
        <is>
          <t>n/a</t>
        </is>
      </c>
      <c r="Q40" s="58" t="inlineStr">
        <is>
          <t>n/a</t>
        </is>
      </c>
      <c r="R40" s="58" t="inlineStr">
        <is>
          <t>n/a</t>
        </is>
      </c>
      <c r="S40" s="58" t="inlineStr">
        <is>
          <t>n/a</t>
        </is>
      </c>
      <c r="T40" s="58" t="inlineStr">
        <is>
          <t>n/a</t>
        </is>
      </c>
    </row>
    <row r="41" ht="15" customHeight="1" s="39">
      <c r="A41" s="53" t="inlineStr">
        <is>
          <t>PORTFOLIO &amp; OPERATING METRICS  (consolidated)</t>
        </is>
      </c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</row>
    <row r="42" ht="15" customHeight="1" s="39">
      <c r="A42" s="46" t="inlineStr">
        <is>
          <t>Total Leasable Area (GLA)</t>
        </is>
      </c>
      <c r="B42" s="47" t="inlineStr">
        <is>
          <t>Msf</t>
        </is>
      </c>
      <c r="C42" s="70" t="n"/>
      <c r="D42" s="70" t="n"/>
      <c r="E42" s="63" t="n">
        <v>30.2</v>
      </c>
      <c r="F42" s="63" t="n">
        <v>31.8</v>
      </c>
      <c r="G42" s="70" t="n">
        <v>32</v>
      </c>
      <c r="H42" s="63" t="n">
        <v>33.2</v>
      </c>
      <c r="I42" s="63" t="n">
        <v>37.1</v>
      </c>
      <c r="J42" s="63" t="n">
        <v>38.2</v>
      </c>
      <c r="K42" s="49">
        <f>IFERROR((J42-I42)/I42,"")</f>
        <v/>
      </c>
      <c r="L42" s="58" t="inlineStr">
        <is>
          <t>n/a</t>
        </is>
      </c>
      <c r="M42" s="58" t="inlineStr">
        <is>
          <t>n/a</t>
        </is>
      </c>
      <c r="N42" s="58" t="inlineStr">
        <is>
          <t>n/a</t>
        </is>
      </c>
      <c r="O42" s="58" t="inlineStr">
        <is>
          <t>n/a</t>
        </is>
      </c>
      <c r="P42" s="58" t="inlineStr">
        <is>
          <t>n/a</t>
        </is>
      </c>
      <c r="Q42" s="58" t="inlineStr">
        <is>
          <t>n/a</t>
        </is>
      </c>
      <c r="R42" s="58" t="inlineStr">
        <is>
          <t>n/a</t>
        </is>
      </c>
      <c r="S42" s="58" t="inlineStr">
        <is>
          <t>n/a</t>
        </is>
      </c>
      <c r="T42" s="58" t="inlineStr">
        <is>
          <t>n/a</t>
        </is>
      </c>
    </row>
    <row r="43" ht="15" customHeight="1" s="39">
      <c r="A43" s="46" t="inlineStr">
        <is>
          <t>Operational Area</t>
        </is>
      </c>
      <c r="B43" s="47" t="inlineStr">
        <is>
          <t>Msf</t>
        </is>
      </c>
      <c r="C43" s="70" t="n"/>
      <c r="D43" s="70" t="n"/>
      <c r="E43" s="63" t="n">
        <v>23.9</v>
      </c>
      <c r="F43" s="63" t="n">
        <v>24.2</v>
      </c>
      <c r="G43" s="70" t="n">
        <v>25.8</v>
      </c>
      <c r="H43" s="63" t="n">
        <v>26.3</v>
      </c>
      <c r="I43" s="63" t="n">
        <v>30</v>
      </c>
      <c r="J43" s="63" t="n">
        <v>31</v>
      </c>
      <c r="K43" s="49">
        <f>IFERROR((J43-I43)/I43,"")</f>
        <v/>
      </c>
      <c r="L43" s="58" t="inlineStr">
        <is>
          <t>n/a</t>
        </is>
      </c>
      <c r="M43" s="58" t="inlineStr">
        <is>
          <t>n/a</t>
        </is>
      </c>
      <c r="N43" s="58" t="inlineStr">
        <is>
          <t>n/a</t>
        </is>
      </c>
      <c r="O43" s="58" t="inlineStr">
        <is>
          <t>n/a</t>
        </is>
      </c>
      <c r="P43" s="58" t="inlineStr">
        <is>
          <t>n/a</t>
        </is>
      </c>
      <c r="Q43" s="58" t="inlineStr">
        <is>
          <t>n/a</t>
        </is>
      </c>
      <c r="R43" s="58" t="inlineStr">
        <is>
          <t>n/a</t>
        </is>
      </c>
      <c r="S43" s="58" t="inlineStr">
        <is>
          <t>n/a</t>
        </is>
      </c>
      <c r="T43" s="58" t="inlineStr">
        <is>
          <t>n/a</t>
        </is>
      </c>
    </row>
    <row r="44" ht="15" customHeight="1" s="39">
      <c r="A44" s="46" t="inlineStr">
        <is>
          <t>Under Construction + Future Development</t>
        </is>
      </c>
      <c r="B44" s="47" t="inlineStr">
        <is>
          <t>Msf</t>
        </is>
      </c>
      <c r="C44" s="70" t="n"/>
      <c r="D44" s="70" t="n"/>
      <c r="E44" s="63" t="n">
        <v>6.4</v>
      </c>
      <c r="F44" s="63" t="n">
        <v>7.6</v>
      </c>
      <c r="G44" s="70" t="n">
        <v>6.2</v>
      </c>
      <c r="H44" s="63" t="n">
        <v>7</v>
      </c>
      <c r="I44" s="63" t="n">
        <v>7.1</v>
      </c>
      <c r="J44" s="63" t="n">
        <v>7.2</v>
      </c>
      <c r="K44" s="49">
        <f>IFERROR((J44-I44)/I44,"")</f>
        <v/>
      </c>
      <c r="L44" s="58" t="inlineStr">
        <is>
          <t>n/a</t>
        </is>
      </c>
      <c r="M44" s="58" t="inlineStr">
        <is>
          <t>n/a</t>
        </is>
      </c>
      <c r="N44" s="58" t="inlineStr">
        <is>
          <t>n/a</t>
        </is>
      </c>
      <c r="O44" s="58" t="inlineStr">
        <is>
          <t>n/a</t>
        </is>
      </c>
      <c r="P44" s="58" t="inlineStr">
        <is>
          <t>n/a</t>
        </is>
      </c>
      <c r="Q44" s="58" t="inlineStr">
        <is>
          <t>n/a</t>
        </is>
      </c>
      <c r="R44" s="58" t="inlineStr">
        <is>
          <t>n/a</t>
        </is>
      </c>
      <c r="S44" s="58" t="inlineStr">
        <is>
          <t>n/a</t>
        </is>
      </c>
      <c r="T44" s="58" t="inlineStr">
        <is>
          <t>n/a</t>
        </is>
      </c>
    </row>
    <row r="45" ht="15" customHeight="1" s="39">
      <c r="A45" s="46" t="inlineStr">
        <is>
          <t>Committed Occupancy</t>
        </is>
      </c>
      <c r="B45" s="47" t="inlineStr">
        <is>
          <t>%</t>
        </is>
      </c>
      <c r="C45" s="61" t="n"/>
      <c r="D45" s="61" t="n"/>
      <c r="E45" s="62" t="n">
        <v>0.84</v>
      </c>
      <c r="F45" s="62" t="n">
        <v>0.84</v>
      </c>
      <c r="G45" s="61" t="n"/>
      <c r="H45" s="62" t="n">
        <v>0.906</v>
      </c>
      <c r="I45" s="62" t="n">
        <v>0.93</v>
      </c>
      <c r="J45" s="62" t="n">
        <v>0.9399999999999999</v>
      </c>
      <c r="L45" s="58" t="inlineStr">
        <is>
          <t>n/a</t>
        </is>
      </c>
      <c r="M45" s="58" t="inlineStr">
        <is>
          <t>n/a</t>
        </is>
      </c>
      <c r="N45" s="58" t="inlineStr">
        <is>
          <t>n/a</t>
        </is>
      </c>
      <c r="O45" s="58" t="inlineStr">
        <is>
          <t>n/a</t>
        </is>
      </c>
      <c r="P45" s="58" t="inlineStr">
        <is>
          <t>n/a</t>
        </is>
      </c>
      <c r="Q45" s="58" t="inlineStr">
        <is>
          <t>n/a</t>
        </is>
      </c>
      <c r="R45" s="58" t="inlineStr">
        <is>
          <t>n/a</t>
        </is>
      </c>
      <c r="S45" s="58" t="inlineStr">
        <is>
          <t>n/a</t>
        </is>
      </c>
      <c r="T45" s="58" t="inlineStr">
        <is>
          <t>n/a</t>
        </is>
      </c>
    </row>
    <row r="46" ht="15" customHeight="1" s="39">
      <c r="A46" s="46" t="inlineStr">
        <is>
          <t>In-place / Physical Occupancy</t>
        </is>
      </c>
      <c r="B46" s="47" t="inlineStr">
        <is>
          <t>%</t>
        </is>
      </c>
      <c r="C46" s="61" t="n"/>
      <c r="D46" s="61" t="n"/>
      <c r="E46" s="61" t="n"/>
      <c r="F46" s="61" t="n"/>
      <c r="G46" s="61" t="n"/>
      <c r="H46" s="62" t="n">
        <v>0.838</v>
      </c>
      <c r="I46" s="62" t="n">
        <v>0.84</v>
      </c>
      <c r="J46" s="62" t="n">
        <v>0.91</v>
      </c>
      <c r="L46" s="58" t="inlineStr">
        <is>
          <t>n/a</t>
        </is>
      </c>
      <c r="M46" s="58" t="inlineStr">
        <is>
          <t>n/a</t>
        </is>
      </c>
      <c r="N46" s="58" t="inlineStr">
        <is>
          <t>n/a</t>
        </is>
      </c>
      <c r="O46" s="58" t="inlineStr">
        <is>
          <t>n/a</t>
        </is>
      </c>
      <c r="P46" s="58" t="inlineStr">
        <is>
          <t>n/a</t>
        </is>
      </c>
      <c r="Q46" s="58" t="inlineStr">
        <is>
          <t>n/a</t>
        </is>
      </c>
      <c r="R46" s="58" t="inlineStr">
        <is>
          <t>n/a</t>
        </is>
      </c>
      <c r="S46" s="58" t="inlineStr">
        <is>
          <t>n/a</t>
        </is>
      </c>
      <c r="T46" s="58" t="inlineStr">
        <is>
          <t>n/a</t>
        </is>
      </c>
    </row>
    <row r="47" ht="15" customHeight="1" s="39">
      <c r="A47" s="46" t="inlineStr">
        <is>
          <t>WALE</t>
        </is>
      </c>
      <c r="B47" s="47" t="inlineStr">
        <is>
          <t>years</t>
        </is>
      </c>
      <c r="C47" s="70" t="n"/>
      <c r="D47" s="70" t="n"/>
      <c r="E47" s="63" t="n">
        <v>6</v>
      </c>
      <c r="F47" s="63" t="n">
        <v>6.9</v>
      </c>
      <c r="G47" s="70" t="n"/>
      <c r="H47" s="63" t="n">
        <v>6.8</v>
      </c>
      <c r="I47" s="63" t="n">
        <v>7.4</v>
      </c>
      <c r="J47" s="63" t="n">
        <v>7.1</v>
      </c>
      <c r="K47" s="49">
        <f>IFERROR((J47-I47)/I47,"")</f>
        <v/>
      </c>
      <c r="L47" s="58" t="inlineStr">
        <is>
          <t>n/a</t>
        </is>
      </c>
      <c r="M47" s="58" t="inlineStr">
        <is>
          <t>n/a</t>
        </is>
      </c>
      <c r="N47" s="58" t="inlineStr">
        <is>
          <t>n/a</t>
        </is>
      </c>
      <c r="O47" s="58" t="inlineStr">
        <is>
          <t>n/a</t>
        </is>
      </c>
      <c r="P47" s="58" t="inlineStr">
        <is>
          <t>n/a</t>
        </is>
      </c>
      <c r="Q47" s="58" t="inlineStr">
        <is>
          <t>n/a</t>
        </is>
      </c>
      <c r="R47" s="58" t="inlineStr">
        <is>
          <t>n/a</t>
        </is>
      </c>
      <c r="S47" s="58" t="inlineStr">
        <is>
          <t>n/a</t>
        </is>
      </c>
      <c r="T47" s="58" t="inlineStr">
        <is>
          <t>n/a</t>
        </is>
      </c>
    </row>
    <row r="48" ht="15" customHeight="1" s="39">
      <c r="A48" s="46" t="inlineStr">
        <is>
          <t>Number of Tenants</t>
        </is>
      </c>
      <c r="B48" s="47" t="inlineStr">
        <is>
          <t>count</t>
        </is>
      </c>
      <c r="C48" s="72" t="n"/>
      <c r="D48" s="72" t="n"/>
      <c r="E48" s="64" t="n">
        <v>160</v>
      </c>
      <c r="F48" s="64" t="n">
        <v>716</v>
      </c>
      <c r="G48" s="72" t="n"/>
      <c r="H48" s="64" t="n">
        <v>220</v>
      </c>
      <c r="I48" s="64" t="n">
        <v>225</v>
      </c>
      <c r="J48" s="64" t="n">
        <v>270</v>
      </c>
      <c r="K48" s="49">
        <f>IFERROR((J48-I48)/I48,"")</f>
        <v/>
      </c>
      <c r="L48" s="58" t="inlineStr">
        <is>
          <t>n/a</t>
        </is>
      </c>
      <c r="M48" s="58" t="inlineStr">
        <is>
          <t>n/a</t>
        </is>
      </c>
      <c r="N48" s="58" t="inlineStr">
        <is>
          <t>n/a</t>
        </is>
      </c>
      <c r="O48" s="58" t="inlineStr">
        <is>
          <t>n/a</t>
        </is>
      </c>
      <c r="P48" s="58" t="inlineStr">
        <is>
          <t>n/a</t>
        </is>
      </c>
      <c r="Q48" s="58" t="inlineStr">
        <is>
          <t>n/a</t>
        </is>
      </c>
      <c r="R48" s="58" t="inlineStr">
        <is>
          <t>n/a</t>
        </is>
      </c>
      <c r="S48" s="58" t="inlineStr">
        <is>
          <t>n/a</t>
        </is>
      </c>
      <c r="T48" s="58" t="inlineStr">
        <is>
          <t>n/a</t>
        </is>
      </c>
    </row>
    <row r="49" ht="15" customHeight="1" s="39">
      <c r="A49" s="46" t="inlineStr">
        <is>
          <t>In-place Rent</t>
        </is>
      </c>
      <c r="B49" s="47" t="inlineStr">
        <is>
          <t>INR psf/mo</t>
        </is>
      </c>
      <c r="C49" s="70" t="n"/>
      <c r="D49" s="70" t="n"/>
      <c r="E49" s="63" t="n">
        <v>55.9</v>
      </c>
      <c r="F49" s="63" t="n">
        <v>61.7</v>
      </c>
      <c r="G49" s="70" t="n"/>
      <c r="H49" s="63" t="n">
        <v>69</v>
      </c>
      <c r="I49" s="63" t="n">
        <v>71</v>
      </c>
      <c r="J49" s="63" t="n">
        <v>80.40000000000001</v>
      </c>
      <c r="K49" s="49">
        <f>IFERROR((J49-I49)/I49,"")</f>
        <v/>
      </c>
      <c r="L49" s="58" t="inlineStr">
        <is>
          <t>n/a</t>
        </is>
      </c>
      <c r="M49" s="58" t="inlineStr">
        <is>
          <t>n/a</t>
        </is>
      </c>
      <c r="N49" s="58" t="inlineStr">
        <is>
          <t>n/a</t>
        </is>
      </c>
      <c r="O49" s="58" t="inlineStr">
        <is>
          <t>n/a</t>
        </is>
      </c>
      <c r="P49" s="58" t="inlineStr">
        <is>
          <t>n/a</t>
        </is>
      </c>
      <c r="Q49" s="58" t="inlineStr">
        <is>
          <t>n/a</t>
        </is>
      </c>
      <c r="R49" s="58" t="inlineStr">
        <is>
          <t>n/a</t>
        </is>
      </c>
      <c r="S49" s="58" t="inlineStr">
        <is>
          <t>n/a</t>
        </is>
      </c>
      <c r="T49" s="58" t="inlineStr">
        <is>
          <t>n/a</t>
        </is>
      </c>
    </row>
    <row r="52" ht="15" customHeight="1" s="39">
      <c r="A52" s="65" t="inlineStr">
        <is>
          <t>DEBT &amp; NDCF / DISTRIBUTION DETAIL   (consolidated; INR cr unless noted)</t>
        </is>
      </c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</row>
    <row r="53" ht="15" customHeight="1" s="39">
      <c r="A53" s="67" t="inlineStr">
        <is>
          <t>Metric</t>
        </is>
      </c>
      <c r="B53" s="68" t="inlineStr">
        <is>
          <t>Unit</t>
        </is>
      </c>
      <c r="C53" s="68" t="inlineStr">
        <is>
          <t>FY2019</t>
        </is>
      </c>
      <c r="D53" s="68" t="inlineStr">
        <is>
          <t>FY2020</t>
        </is>
      </c>
      <c r="E53" s="68" t="inlineStr">
        <is>
          <t>FY2021</t>
        </is>
      </c>
      <c r="F53" s="68" t="inlineStr">
        <is>
          <t>FY2022</t>
        </is>
      </c>
      <c r="G53" s="68" t="inlineStr">
        <is>
          <t>FY2023</t>
        </is>
      </c>
      <c r="H53" s="68" t="inlineStr">
        <is>
          <t>FY2024</t>
        </is>
      </c>
      <c r="I53" s="68" t="inlineStr">
        <is>
          <t>FY2025</t>
        </is>
      </c>
      <c r="J53" s="68" t="inlineStr">
        <is>
          <t>FY2026</t>
        </is>
      </c>
    </row>
    <row r="54" ht="15" customHeight="1" s="39">
      <c r="A54" s="69" t="inlineStr">
        <is>
          <t>Distribution composition (NDCF -&gt; unitholders)</t>
        </is>
      </c>
    </row>
    <row r="55" ht="15" customHeight="1" s="39">
      <c r="A55" s="46" t="inlineStr">
        <is>
          <t>Net Distributable Cash Flow (NDCF)</t>
        </is>
      </c>
      <c r="B55" s="47" t="inlineStr">
        <is>
          <t>INR cr</t>
        </is>
      </c>
      <c r="C55" s="48">
        <f>IF(N(C23)=0,IF(C23="","",C23),C23)</f>
        <v/>
      </c>
      <c r="D55" s="48">
        <f>IF(N(D23)=0,IF(D23="","",D23),D23)</f>
        <v/>
      </c>
      <c r="E55" s="48">
        <f>IF(N(E23)=0,IF(E23="","",E23),E23)</f>
        <v/>
      </c>
      <c r="F55" s="48">
        <f>IF(N(F23)=0,IF(F23="","",F23),F23)</f>
        <v/>
      </c>
      <c r="G55" s="48">
        <f>IF(N(G23)=0,IF(G23="","",G23),G23)</f>
        <v/>
      </c>
      <c r="H55" s="48">
        <f>IF(N(H23)=0,IF(H23="","",H23),H23)</f>
        <v/>
      </c>
      <c r="I55" s="48">
        <f>IF(N(I23)=0,IF(I23="","",I23),I23)</f>
        <v/>
      </c>
      <c r="J55" s="48">
        <f>IF(N(J23)=0,IF(J23="","",J23),J23)</f>
        <v/>
      </c>
    </row>
    <row r="56" ht="15" customHeight="1" s="39">
      <c r="A56" s="46" t="inlineStr">
        <is>
          <t>Total Distribution</t>
        </is>
      </c>
      <c r="B56" s="47" t="inlineStr">
        <is>
          <t>INR cr</t>
        </is>
      </c>
      <c r="C56" s="48">
        <f>IF(N(C24)=0,IF(C24="","",C24),C24)</f>
        <v/>
      </c>
      <c r="D56" s="48">
        <f>IF(N(D24)=0,IF(D24="","",D24),D24)</f>
        <v/>
      </c>
      <c r="E56" s="48">
        <f>IF(N(E24)=0,IF(E24="","",E24),E24)</f>
        <v/>
      </c>
      <c r="F56" s="48">
        <f>IF(N(F24)=0,IF(F24="","",F24),F24)</f>
        <v/>
      </c>
      <c r="G56" s="48">
        <f>IF(N(G24)=0,IF(G24="","",G24),G24)</f>
        <v/>
      </c>
      <c r="H56" s="48">
        <f>IF(N(H24)=0,IF(H24="","",H24),H24)</f>
        <v/>
      </c>
      <c r="I56" s="48">
        <f>IF(N(I24)=0,IF(I24="","",I24),I24)</f>
        <v/>
      </c>
      <c r="J56" s="48">
        <f>IF(N(J24)=0,IF(J24="","",J24),J24)</f>
        <v/>
      </c>
      <c r="S56" s="44">
        <f>A7</f>
        <v/>
      </c>
      <c r="T56" s="44">
        <f>B7</f>
        <v/>
      </c>
      <c r="U56" s="44">
        <f>E7</f>
        <v/>
      </c>
      <c r="V56" s="44">
        <f>F7</f>
        <v/>
      </c>
      <c r="W56" s="44">
        <f>G7</f>
        <v/>
      </c>
      <c r="X56" s="44">
        <f>H7</f>
        <v/>
      </c>
      <c r="Y56" s="44">
        <f>I7</f>
        <v/>
      </c>
      <c r="Z56" s="44">
        <f>J7</f>
        <v/>
      </c>
    </row>
    <row r="57" ht="15" customHeight="1" s="39">
      <c r="A57" s="46" t="inlineStr">
        <is>
          <t xml:space="preserve">  of which: Interest</t>
        </is>
      </c>
      <c r="B57" s="47" t="inlineStr">
        <is>
          <t>INR cr</t>
        </is>
      </c>
      <c r="C57" s="56" t="n"/>
      <c r="D57" s="56" t="n"/>
      <c r="E57" s="56" t="n"/>
      <c r="F57" s="56" t="n"/>
      <c r="G57" s="56" t="n"/>
      <c r="H57" s="57" t="n">
        <v>113.2</v>
      </c>
      <c r="I57" s="56" t="n"/>
      <c r="J57" s="56" t="n"/>
      <c r="S57" s="46">
        <f>A46</f>
        <v/>
      </c>
      <c r="T57" s="46">
        <f>B46</f>
        <v/>
      </c>
      <c r="U57" s="61" t="n">
        <v>8.4</v>
      </c>
      <c r="V57" s="73" t="n">
        <v>8.220000000000001</v>
      </c>
      <c r="W57" s="61">
        <f>904.833%</f>
        <v/>
      </c>
      <c r="X57" s="61">
        <f>H46*10</f>
        <v/>
      </c>
      <c r="Y57" s="61">
        <f>I46*10</f>
        <v/>
      </c>
      <c r="Z57" s="61">
        <f>J46*10</f>
        <v/>
      </c>
    </row>
    <row r="58" ht="15" customHeight="1" s="39">
      <c r="A58" s="46" t="inlineStr">
        <is>
          <t xml:space="preserve">  of which: Dividend</t>
        </is>
      </c>
      <c r="B58" s="47" t="inlineStr">
        <is>
          <t>INR cr</t>
        </is>
      </c>
      <c r="C58" s="56" t="n"/>
      <c r="D58" s="56" t="n"/>
      <c r="E58" s="56" t="n"/>
      <c r="F58" s="56" t="n"/>
      <c r="G58" s="56" t="n"/>
      <c r="H58" s="57" t="n">
        <v>1021.8</v>
      </c>
      <c r="I58" s="56" t="n"/>
      <c r="J58" s="56" t="n"/>
      <c r="S58" s="46">
        <f>A47</f>
        <v/>
      </c>
      <c r="T58" s="46">
        <f>B47</f>
        <v/>
      </c>
      <c r="U58" s="70">
        <f>E47</f>
        <v/>
      </c>
      <c r="V58" s="70">
        <f>F47</f>
        <v/>
      </c>
      <c r="W58" s="70" t="n">
        <v>6.7</v>
      </c>
      <c r="X58" s="70">
        <f>H47</f>
        <v/>
      </c>
      <c r="Y58" s="70">
        <f>I47</f>
        <v/>
      </c>
      <c r="Z58" s="70">
        <f>J47</f>
        <v/>
      </c>
    </row>
    <row r="59" ht="15" customHeight="1" s="39">
      <c r="A59" s="46" t="inlineStr">
        <is>
          <t xml:space="preserve">  of which: Return of capital (SPV/shareholder-loan repayment)</t>
        </is>
      </c>
      <c r="B59" s="47" t="inlineStr">
        <is>
          <t>INR cr</t>
        </is>
      </c>
      <c r="C59" s="56" t="n"/>
      <c r="D59" s="56" t="n"/>
      <c r="E59" s="56" t="n"/>
      <c r="F59" s="56" t="n"/>
      <c r="G59" s="56" t="n"/>
      <c r="H59" s="57" t="n">
        <v>0</v>
      </c>
      <c r="I59" s="56" t="n"/>
      <c r="J59" s="56" t="n"/>
    </row>
    <row r="60" ht="15" customHeight="1" s="39">
      <c r="A60" s="46" t="inlineStr">
        <is>
          <t xml:space="preserve">  of which: Other</t>
        </is>
      </c>
      <c r="B60" s="47" t="inlineStr">
        <is>
          <t>INR cr</t>
        </is>
      </c>
      <c r="C60" s="56" t="n"/>
      <c r="D60" s="56" t="n"/>
      <c r="E60" s="56" t="n"/>
      <c r="F60" s="56" t="n"/>
      <c r="G60" s="56" t="n"/>
      <c r="H60" s="57" t="n">
        <v>1.2</v>
      </c>
      <c r="I60" s="56" t="n"/>
      <c r="J60" s="56" t="n"/>
    </row>
    <row r="61" ht="15" customHeight="1" s="39">
      <c r="A61" s="46" t="inlineStr">
        <is>
          <t>Return-of-capital % of distribution</t>
        </is>
      </c>
      <c r="B61" s="47" t="inlineStr">
        <is>
          <t>%</t>
        </is>
      </c>
      <c r="C61" s="49">
        <f>IF(OR(C59="",C56="",N(C56)=0),"",C59/C56)</f>
        <v/>
      </c>
      <c r="D61" s="49">
        <f>IF(OR(D59="",D56="",N(D56)=0),"",D59/D56)</f>
        <v/>
      </c>
      <c r="E61" s="49">
        <f>IF(OR(E59="",E56="",N(E56)=0),"",E59/E56)</f>
        <v/>
      </c>
      <c r="F61" s="49">
        <f>IF(OR(F59="",F56="",N(F56)=0),"",F59/F56)</f>
        <v/>
      </c>
      <c r="G61" s="49">
        <f>IF(OR(G59="",G56="",N(G56)=0),"",G59/G56)</f>
        <v/>
      </c>
      <c r="H61" s="49">
        <f>IF(OR(H59="",H56="",N(H56)=0),"",H59/H56)</f>
        <v/>
      </c>
      <c r="I61" s="49">
        <f>IF(OR(I59="",I56="",N(I56)=0),"",I59/I56)</f>
        <v/>
      </c>
      <c r="J61" s="49">
        <f>IF(OR(J59="",J56="",N(J56)=0),"",J59/J56)</f>
        <v/>
      </c>
    </row>
    <row r="62" ht="15" customHeight="1" s="39">
      <c r="A62" s="46" t="inlineStr">
        <is>
          <t>Distribution per Unit (DPU)</t>
        </is>
      </c>
      <c r="B62" s="47" t="inlineStr">
        <is>
          <t>INR/unit</t>
        </is>
      </c>
      <c r="C62" s="50">
        <f>IF(N(C25)=0,IF(C25="","",C25),C25)</f>
        <v/>
      </c>
      <c r="D62" s="50">
        <f>IF(N(D25)=0,IF(D25="","",D25),D25)</f>
        <v/>
      </c>
      <c r="E62" s="50">
        <f>IF(N(E25)=0,IF(E25="","",E25),E25)</f>
        <v/>
      </c>
      <c r="F62" s="50">
        <f>IF(N(F25)=0,IF(F25="","",F25),F25)</f>
        <v/>
      </c>
      <c r="G62" s="50">
        <f>IF(N(G25)=0,IF(G25="","",G25),G25)</f>
        <v/>
      </c>
      <c r="H62" s="50">
        <f>IF(N(H25)=0,IF(H25="","",H25),H25)</f>
        <v/>
      </c>
      <c r="I62" s="50">
        <f>IF(N(I25)=0,IF(I25="","",I25),I25)</f>
        <v/>
      </c>
      <c r="J62" s="50">
        <f>IF(N(J25)=0,IF(J25="","",J25),J25)</f>
        <v/>
      </c>
    </row>
    <row r="63" ht="15" customHeight="1" s="39">
      <c r="A63" s="46" t="inlineStr">
        <is>
          <t xml:space="preserve">  DPU: Interest</t>
        </is>
      </c>
      <c r="B63" s="47" t="inlineStr">
        <is>
          <t>INR/unit</t>
        </is>
      </c>
      <c r="C63" s="59" t="n"/>
      <c r="D63" s="59" t="n"/>
      <c r="E63" s="59" t="n"/>
      <c r="F63" s="59" t="n"/>
      <c r="G63" s="59" t="n"/>
      <c r="H63" s="59" t="n"/>
      <c r="I63" s="60" t="n">
        <v>0.97</v>
      </c>
      <c r="J63" s="60" t="n">
        <v>0.2</v>
      </c>
    </row>
    <row r="64" ht="15" customHeight="1" s="39">
      <c r="A64" s="46" t="inlineStr">
        <is>
          <t xml:space="preserve">  DPU: Dividend</t>
        </is>
      </c>
      <c r="B64" s="47" t="inlineStr">
        <is>
          <t>INR/unit</t>
        </is>
      </c>
      <c r="C64" s="59" t="n"/>
      <c r="D64" s="59" t="n"/>
      <c r="E64" s="59" t="n"/>
      <c r="F64" s="59" t="n"/>
      <c r="G64" s="59" t="n"/>
      <c r="H64" s="59" t="n"/>
      <c r="I64" s="60" t="n">
        <v>12.1</v>
      </c>
      <c r="J64" s="60" t="n">
        <v>12.68</v>
      </c>
      <c r="S64" s="74" t="inlineStr">
        <is>
          <t xml:space="preserve">Occupancy (%) </t>
        </is>
      </c>
    </row>
    <row r="65" ht="15" customHeight="1" s="39">
      <c r="A65" s="46" t="inlineStr">
        <is>
          <t xml:space="preserve">  DPU: Return of capital</t>
        </is>
      </c>
      <c r="B65" s="47" t="inlineStr">
        <is>
          <t>INR/unit</t>
        </is>
      </c>
      <c r="C65" s="59" t="n"/>
      <c r="D65" s="59" t="n"/>
      <c r="E65" s="59" t="n"/>
      <c r="F65" s="59" t="n"/>
      <c r="G65" s="59" t="n"/>
      <c r="H65" s="59" t="n"/>
      <c r="I65" s="60" t="n">
        <v>8.779999999999999</v>
      </c>
      <c r="J65" s="60" t="n">
        <v>11.16</v>
      </c>
      <c r="S65" s="74" t="inlineStr">
        <is>
          <t>Committed Occupancy (%) 88.3% 70.7% 97.9% 100.0% 100.0% 100.0%</t>
        </is>
      </c>
    </row>
    <row r="66" ht="15" customHeight="1" s="39">
      <c r="A66" s="46" t="inlineStr">
        <is>
          <t xml:space="preserve">  DPU: Other</t>
        </is>
      </c>
      <c r="B66" s="47" t="inlineStr">
        <is>
          <t>INR/unit</t>
        </is>
      </c>
      <c r="C66" s="59" t="n"/>
      <c r="D66" s="59" t="n"/>
      <c r="E66" s="59" t="n"/>
      <c r="F66" s="59" t="n"/>
      <c r="G66" s="59" t="n"/>
      <c r="H66" s="59" t="n"/>
      <c r="I66" s="60" t="n">
        <v>0.1</v>
      </c>
      <c r="J66" s="60" t="n">
        <v>0.05</v>
      </c>
    </row>
    <row r="67" ht="15" customHeight="1" s="39">
      <c r="A67" s="69" t="inlineStr">
        <is>
          <t>Debt &amp; leverage profile</t>
        </is>
      </c>
    </row>
    <row r="68" ht="15" customHeight="1" s="39">
      <c r="A68" s="46" t="inlineStr">
        <is>
          <t>Gross Debt - external (banks/NCDs/LRD)</t>
        </is>
      </c>
      <c r="B68" s="47" t="inlineStr">
        <is>
          <t>INR cr</t>
        </is>
      </c>
      <c r="C68" s="48">
        <f>IF(C29="","",C29)</f>
        <v/>
      </c>
      <c r="D68" s="48">
        <f>IF(D29="","",D29)</f>
        <v/>
      </c>
      <c r="E68" s="48">
        <f>IF(E29="","",E29)</f>
        <v/>
      </c>
      <c r="F68" s="48">
        <f>IF(F29="","",F29)</f>
        <v/>
      </c>
      <c r="G68" s="48">
        <f>IF(G29="","",G29)</f>
        <v/>
      </c>
      <c r="H68" s="57" t="n">
        <v>6972.811</v>
      </c>
      <c r="I68" s="57" t="n">
        <v>10109.782</v>
      </c>
      <c r="J68" s="57" t="n">
        <v>12976.165</v>
      </c>
      <c r="S68" s="74">
        <f>(4.6+9.7+3.2+8.7+9.4+4.6)/6</f>
        <v/>
      </c>
    </row>
    <row r="69" ht="15" customHeight="1" s="39">
      <c r="A69" s="46" t="inlineStr">
        <is>
          <t>Shareholder / unitholder loans (Trust -&gt; SPVs)</t>
        </is>
      </c>
      <c r="B69" s="47" t="inlineStr">
        <is>
          <t>INR cr</t>
        </is>
      </c>
      <c r="C69" s="56" t="n"/>
      <c r="D69" s="56" t="n"/>
      <c r="E69" s="56" t="n"/>
      <c r="F69" s="56" t="n"/>
      <c r="G69" s="56" t="n"/>
      <c r="H69" s="56" t="n"/>
      <c r="I69" s="57" t="n">
        <v>4915.657</v>
      </c>
      <c r="J69" s="57" t="n">
        <v>8279.404</v>
      </c>
    </row>
    <row r="70" ht="15" customHeight="1" s="39">
      <c r="A70" s="46" t="inlineStr">
        <is>
          <t>Cash &amp; Cash Equivalents</t>
        </is>
      </c>
      <c r="B70" s="47" t="inlineStr">
        <is>
          <t>INR cr</t>
        </is>
      </c>
      <c r="C70" s="48">
        <f>IF(N(C30)=0,IF(C30="","",C30),C30)</f>
        <v/>
      </c>
      <c r="D70" s="48">
        <f>IF(N(D30)=0,IF(D30="","",D30),D30)</f>
        <v/>
      </c>
      <c r="E70" s="48">
        <f>IF(N(E30)=0,IF(E30="","",E30),E30)</f>
        <v/>
      </c>
      <c r="F70" s="48">
        <f>IF(N(F30)=0,IF(F30="","",F30),F30)</f>
        <v/>
      </c>
      <c r="G70" s="48">
        <f>IF(N(G30)=0,IF(G30="","",G30),G30)</f>
        <v/>
      </c>
      <c r="H70" s="48">
        <f>IF(N(H30)=0,IF(H30="","",H30),H30)</f>
        <v/>
      </c>
      <c r="I70" s="48">
        <f>IF(N(I30)=0,IF(I30="","",I30),I30)</f>
        <v/>
      </c>
      <c r="J70" s="48">
        <f>IF(N(J30)=0,IF(J30="","",J30),J30)</f>
        <v/>
      </c>
    </row>
    <row r="71" ht="15" customHeight="1" s="39">
      <c r="A71" s="46" t="inlineStr">
        <is>
          <t>Net Debt</t>
        </is>
      </c>
      <c r="B71" s="47" t="inlineStr">
        <is>
          <t>INR cr</t>
        </is>
      </c>
      <c r="C71" s="48">
        <f>IF(N(C31)=0,IF(C31="","",C31),C31)</f>
        <v/>
      </c>
      <c r="D71" s="48">
        <f>IF(N(D31)=0,IF(D31="","",D31),D31)</f>
        <v/>
      </c>
      <c r="E71" s="48">
        <f>IF(N(E31)=0,IF(E31="","",E31),E31)</f>
        <v/>
      </c>
      <c r="F71" s="48">
        <f>IF(N(F31)=0,IF(F31="","",F31),F31)</f>
        <v/>
      </c>
      <c r="G71" s="48">
        <f>IF(N(G31)=0,IF(G31="","",G31),G31)</f>
        <v/>
      </c>
      <c r="H71" s="48">
        <f>IF(N(H31)=0,IF(H31="","",H31),H31)</f>
        <v/>
      </c>
      <c r="I71" s="48">
        <f>IF(N(I31)=0,IF(I31="","",I31),I31)</f>
        <v/>
      </c>
      <c r="J71" s="48">
        <f>IF(N(J31)=0,IF(J31="","",J31),J31)</f>
        <v/>
      </c>
      <c r="W71" s="75">
        <f>88.3%+70%+97.9%+100%+86.7%+100%</f>
        <v/>
      </c>
      <c r="X71" s="38">
        <f>W71/6</f>
        <v/>
      </c>
    </row>
    <row r="72" ht="15" customHeight="1" s="39">
      <c r="A72" s="46" t="inlineStr">
        <is>
          <t>Gross Asset Value (GAV)</t>
        </is>
      </c>
      <c r="B72" s="47" t="inlineStr">
        <is>
          <t>INR cr</t>
        </is>
      </c>
      <c r="C72" s="48">
        <f>IF(N(C28)=0,IF(C28="","",C28),C28)</f>
        <v/>
      </c>
      <c r="D72" s="48">
        <f>IF(N(D28)=0,IF(D28="","",D28),D28)</f>
        <v/>
      </c>
      <c r="E72" s="48">
        <f>IF(N(E28)=0,IF(E28="","",E28),E28)</f>
        <v/>
      </c>
      <c r="F72" s="48">
        <f>IF(N(F28)=0,IF(F28="","",F28),F28)</f>
        <v/>
      </c>
      <c r="G72" s="48">
        <f>IF(N(G28)=0,IF(G28="","",G28),G28)</f>
        <v/>
      </c>
      <c r="H72" s="48">
        <f>IF(N(H28)=0,IF(H28="","",H28),H28)</f>
        <v/>
      </c>
      <c r="I72" s="48">
        <f>IF(N(I28)=0,IF(I28="","",I28),I28)</f>
        <v/>
      </c>
      <c r="J72" s="48">
        <f>IF(N(J28)=0,IF(J28="","",J28),J28)</f>
        <v/>
      </c>
    </row>
    <row r="73" ht="15" customHeight="1" s="39">
      <c r="A73" s="46" t="inlineStr">
        <is>
          <t>Loan-to-Value (LTV)</t>
        </is>
      </c>
      <c r="B73" s="47" t="inlineStr">
        <is>
          <t>%</t>
        </is>
      </c>
      <c r="C73" s="49">
        <f>IF(N(C33)=0,IF(C33="","",C33),C33)</f>
        <v/>
      </c>
      <c r="D73" s="49">
        <f>IF(N(D33)=0,IF(D33="","",D33),D33)</f>
        <v/>
      </c>
      <c r="E73" s="49">
        <f>IF(N(E33)=0,IF(E33="","",E33),E33)</f>
        <v/>
      </c>
      <c r="F73" s="49">
        <f>IF(N(F33)=0,IF(F33="","",F33),F33)</f>
        <v/>
      </c>
      <c r="G73" s="49">
        <f>IF(N(G33)=0,IF(G33="","",G33),G33)</f>
        <v/>
      </c>
      <c r="H73" s="49">
        <f>IF(N(H33)=0,IF(H33="","",H33),H33)</f>
        <v/>
      </c>
      <c r="I73" s="49">
        <f>IF(N(I33)=0,IF(I33="","",I33),I33)</f>
        <v/>
      </c>
      <c r="J73" s="49">
        <f>IF(N(J33)=0,IF(J33="","",J33),J33)</f>
        <v/>
      </c>
    </row>
    <row r="74" ht="15" customHeight="1" s="39">
      <c r="A74" s="46" t="inlineStr">
        <is>
          <t>Cost of Debt (wtd avg)</t>
        </is>
      </c>
      <c r="B74" s="47" t="inlineStr">
        <is>
          <t>%</t>
        </is>
      </c>
      <c r="C74" s="49">
        <f>IF(N(C40)=0,IF(C40="","",C40),C40)</f>
        <v/>
      </c>
      <c r="D74" s="49">
        <f>IF(N(D40)=0,IF(D40="","",D40),D40)</f>
        <v/>
      </c>
      <c r="E74" s="49">
        <f>IF(N(E40)=0,IF(E40="","",E40),E40)</f>
        <v/>
      </c>
      <c r="F74" s="49">
        <f>IF(N(F40)=0,IF(F40="","",F40),F40)</f>
        <v/>
      </c>
      <c r="G74" s="49">
        <f>IF(N(G40)=0,IF(G40="","",G40),G40)</f>
        <v/>
      </c>
      <c r="H74" s="49">
        <f>IF(N(H40)=0,IF(H40="","",H40),H40)</f>
        <v/>
      </c>
      <c r="I74" s="49">
        <f>IF(N(I40)=0,IF(I40="","",I40),I40)</f>
        <v/>
      </c>
      <c r="J74" s="49">
        <f>IF(N(J40)=0,IF(J40="","",J40),J40)</f>
        <v/>
      </c>
    </row>
    <row r="75" ht="15" customHeight="1" s="39">
      <c r="A75" s="46" t="inlineStr">
        <is>
          <t>% Floating rate</t>
        </is>
      </c>
      <c r="B75" s="47" t="inlineStr">
        <is>
          <t>%</t>
        </is>
      </c>
      <c r="C75" s="61" t="n"/>
      <c r="D75" s="61" t="n"/>
      <c r="E75" s="61" t="n"/>
      <c r="F75" s="61" t="n"/>
      <c r="G75" s="61" t="n"/>
      <c r="H75" s="62" t="n">
        <v>0.444</v>
      </c>
      <c r="I75" s="62" t="n">
        <v>0.54</v>
      </c>
      <c r="J75" s="62" t="n">
        <v>0.325</v>
      </c>
    </row>
    <row r="76" ht="15" customHeight="1" s="39">
      <c r="A76" s="46" t="inlineStr">
        <is>
          <t>Wtd-avg debt maturity</t>
        </is>
      </c>
      <c r="B76" s="47" t="inlineStr">
        <is>
          <t>years</t>
        </is>
      </c>
      <c r="C76" s="70" t="n"/>
      <c r="D76" s="70" t="n"/>
      <c r="E76" s="70" t="n"/>
      <c r="F76" s="70" t="n"/>
      <c r="G76" s="70" t="n"/>
      <c r="H76" s="63" t="n">
        <v>5.2</v>
      </c>
      <c r="I76" s="63" t="n">
        <v>7</v>
      </c>
      <c r="J76" s="63" t="n">
        <v>5.2</v>
      </c>
    </row>
    <row r="77" ht="15" customHeight="1" s="39">
      <c r="A77" s="46" t="inlineStr">
        <is>
          <t>Undrawn debt headroom</t>
        </is>
      </c>
      <c r="B77" s="47" t="inlineStr">
        <is>
          <t>INR cr</t>
        </is>
      </c>
      <c r="C77" s="56" t="n"/>
      <c r="D77" s="56" t="n"/>
      <c r="E77" s="56" t="n"/>
      <c r="F77" s="56" t="n"/>
      <c r="G77" s="56" t="n"/>
      <c r="H77" s="57" t="n">
        <v>915.5</v>
      </c>
      <c r="I77" s="57" t="n">
        <v>487</v>
      </c>
      <c r="J77" s="57" t="n">
        <v>595.2</v>
      </c>
    </row>
    <row r="78" ht="15" customHeight="1" s="39">
      <c r="A78" s="46" t="inlineStr">
        <is>
          <t>Interest cover (NOI / Finance cost)</t>
        </is>
      </c>
      <c r="B78" s="47" t="inlineStr">
        <is>
          <t>x</t>
        </is>
      </c>
      <c r="C78" s="71">
        <f>IF(OR(C13="",N(C17)=0),"",C13/C17)</f>
        <v/>
      </c>
      <c r="D78" s="71">
        <f>IF(OR(D13="",N(D17)=0),"",D13/D17)</f>
        <v/>
      </c>
      <c r="E78" s="71">
        <f>IF(OR(E13="",N(E17)=0),"",E13/E17)</f>
        <v/>
      </c>
      <c r="F78" s="71">
        <f>IF(OR(F13="",N(F17)=0),"",F13/F17)</f>
        <v/>
      </c>
      <c r="G78" s="71">
        <f>IF(OR(G13="",N(G17)=0),"",G13/G17)</f>
        <v/>
      </c>
      <c r="H78" s="71">
        <f>IF(OR(H13="",N(H17)=0),"",H13/H17)</f>
        <v/>
      </c>
      <c r="I78" s="71">
        <f>IF(OR(I13="",N(I17)=0),"",I13/I17)</f>
        <v/>
      </c>
      <c r="J78" s="71">
        <f>IF(OR(J13="",N(J17)=0),"",J13/J17)</f>
        <v/>
      </c>
    </row>
    <row r="80" ht="15" customHeight="1" s="39">
      <c r="A80" s="43" t="inlineStr">
        <is>
          <t>Distribution-component split is shown where the issuer disclosed it (often per-unit for Q4 only in older years); blanks = not separately disclosed.</t>
        </is>
      </c>
    </row>
  </sheetData>
  <hyperlinks>
    <hyperlink xmlns:r="http://schemas.openxmlformats.org/officeDocument/2006/relationships" ref="E9" location="page=195" display="file:///Users/ishan/Downloads/INDIAN%20REITS/MindSpace/1st-Annual-Report-2020-21-of-Mindspace-REIT.pdf#page=195" r:id="rId1"/>
    <hyperlink xmlns:r="http://schemas.openxmlformats.org/officeDocument/2006/relationships" ref="F9" location="page=223" display="file:///Users/ishan/Downloads/INDIAN%20REITS/MindSpace/Mindspace-REIT-Annual-Report-FY22.pdf#page=223" r:id="rId2"/>
    <hyperlink xmlns:r="http://schemas.openxmlformats.org/officeDocument/2006/relationships" ref="H9" location="page=377" display="file:///Users/ishan/Downloads/INDIAN%20REITS/MindSpace/Mindspace-Business-Parks-REIT-Annual-Report-2024-25.pdf#page=377" r:id="rId3"/>
    <hyperlink xmlns:r="http://schemas.openxmlformats.org/officeDocument/2006/relationships" ref="I9" location="page=377" display="file:///Users/ishan/Downloads/INDIAN%20REITS/MindSpace/Mindspace-Business-Parks-REIT-Annual-Report-2024-25.pdf#page=377" r:id="rId4"/>
    <hyperlink xmlns:r="http://schemas.openxmlformats.org/officeDocument/2006/relationships" ref="J9" location="page=5" display="file:///Users/ishan/Downloads/INDIAN%20REITS/MindSpace/MREIT-Console-Result-Q4.pdf#page=5" r:id="rId5"/>
    <hyperlink xmlns:r="http://schemas.openxmlformats.org/officeDocument/2006/relationships" ref="E10" location="page=195" display="file:///Users/ishan/Downloads/INDIAN%20REITS/MindSpace/1st-Annual-Report-2020-21-of-Mindspace-REIT.pdf#page=195" r:id="rId6"/>
    <hyperlink xmlns:r="http://schemas.openxmlformats.org/officeDocument/2006/relationships" ref="F10" location="page=223" display="file:///Users/ishan/Downloads/INDIAN%20REITS/MindSpace/Mindspace-REIT-Annual-Report-FY22.pdf#page=223" r:id="rId7"/>
    <hyperlink xmlns:r="http://schemas.openxmlformats.org/officeDocument/2006/relationships" ref="H10" location="page=377" display="file:///Users/ishan/Downloads/INDIAN%20REITS/MindSpace/Mindspace-Business-Parks-REIT-Annual-Report-2024-25.pdf#page=377" r:id="rId8"/>
    <hyperlink xmlns:r="http://schemas.openxmlformats.org/officeDocument/2006/relationships" ref="I10" location="page=377" display="file:///Users/ishan/Downloads/INDIAN%20REITS/MindSpace/Mindspace-Business-Parks-REIT-Annual-Report-2024-25.pdf#page=377" r:id="rId9"/>
    <hyperlink xmlns:r="http://schemas.openxmlformats.org/officeDocument/2006/relationships" ref="J10" location="page=5" display="file:///Users/ishan/Downloads/INDIAN%20REITS/MindSpace/MREIT-Console-Result-Q4.pdf#page=5" r:id="rId10"/>
    <hyperlink xmlns:r="http://schemas.openxmlformats.org/officeDocument/2006/relationships" ref="N10" location="page=153" display="file:///Users/ishan/Downloads/INDIAN%20REITS/MindSpace/1st-Annual-Report-2020-21-of-Mindspace-REIT.pdf#page=153" r:id="rId11"/>
    <hyperlink xmlns:r="http://schemas.openxmlformats.org/officeDocument/2006/relationships" ref="O10" location="page=173" display="file:///Users/ishan/Downloads/INDIAN%20REITS/MindSpace/Mindspace-REIT-Annual-Report-FY22.pdf#page=173" r:id="rId12"/>
    <hyperlink xmlns:r="http://schemas.openxmlformats.org/officeDocument/2006/relationships" ref="Q10" location="page=319" display="file:///Users/ishan/Downloads/INDIAN%20REITS/MindSpace/Mindspace-Business-Parks-REIT-Annual-Report-2024-25.pdf#page=319" r:id="rId13"/>
    <hyperlink xmlns:r="http://schemas.openxmlformats.org/officeDocument/2006/relationships" ref="R10" location="page=319" display="file:///Users/ishan/Downloads/INDIAN%20REITS/MindSpace/Mindspace-Business-Parks-REIT-Annual-Report-2024-25.pdf#page=319" r:id="rId14"/>
    <hyperlink xmlns:r="http://schemas.openxmlformats.org/officeDocument/2006/relationships" ref="S10" location="page=5" display="file:///Users/ishan/Downloads/INDIAN%20REITS/MindSpace/Standalone-Financials-Q4-FY26.pdf#page=5" r:id="rId15"/>
    <hyperlink xmlns:r="http://schemas.openxmlformats.org/officeDocument/2006/relationships" ref="E13" location="page=2" display="file:///Users/ishan/Downloads/INDIAN%20REITS/MindSpace/1st-Annual-Report-2020-21-of-Mindspace-REIT.pdf#page=2" r:id="rId16"/>
    <hyperlink xmlns:r="http://schemas.openxmlformats.org/officeDocument/2006/relationships" ref="F13" display="file:///Users/ishan/Downloads/INDIAN%20REITS/MindSpace/Mindspace-REIT-Annual-Report-FY22.pdf" r:id="rId17"/>
    <hyperlink xmlns:r="http://schemas.openxmlformats.org/officeDocument/2006/relationships" ref="H13" display="file:///Users/ishan/Downloads/INDIAN%20REITS/MindSpace/Mindspace-Business-Parks-REIT-Annual-Report-2024-25.pdf" r:id="rId18"/>
    <hyperlink xmlns:r="http://schemas.openxmlformats.org/officeDocument/2006/relationships" ref="I13" display="file:///Users/ishan/Downloads/INDIAN%20REITS/MindSpace/Mindspace-Business-Parks-REIT-Annual-Report-2024-25.pdf" r:id="rId19"/>
    <hyperlink xmlns:r="http://schemas.openxmlformats.org/officeDocument/2006/relationships" ref="J13" location="page=6" display="file:///Users/ishan/Downloads/INDIAN%20REITS/MindSpace/Investor-Presentation_Q4-FY26.pdf#page=6" r:id="rId20"/>
    <hyperlink xmlns:r="http://schemas.openxmlformats.org/officeDocument/2006/relationships" ref="E15" location="page=195" display="file:///Users/ishan/Downloads/INDIAN%20REITS/MindSpace/1st-Annual-Report-2020-21-of-Mindspace-REIT.pdf#page=195" r:id="rId21"/>
    <hyperlink xmlns:r="http://schemas.openxmlformats.org/officeDocument/2006/relationships" ref="F15" location="page=223" display="file:///Users/ishan/Downloads/INDIAN%20REITS/MindSpace/Mindspace-REIT-Annual-Report-FY22.pdf#page=223" r:id="rId22"/>
    <hyperlink xmlns:r="http://schemas.openxmlformats.org/officeDocument/2006/relationships" ref="H15" location="page=377" display="file:///Users/ishan/Downloads/INDIAN%20REITS/MindSpace/Mindspace-Business-Parks-REIT-Annual-Report-2024-25.pdf#page=377" r:id="rId23"/>
    <hyperlink xmlns:r="http://schemas.openxmlformats.org/officeDocument/2006/relationships" ref="I15" location="page=377" display="file:///Users/ishan/Downloads/INDIAN%20REITS/MindSpace/Mindspace-Business-Parks-REIT-Annual-Report-2024-25.pdf#page=377" r:id="rId24"/>
    <hyperlink xmlns:r="http://schemas.openxmlformats.org/officeDocument/2006/relationships" ref="J15" location="page=5" display="file:///Users/ishan/Downloads/INDIAN%20REITS/MindSpace/MREIT-Console-Result-Q4.pdf#page=5" r:id="rId25"/>
    <hyperlink xmlns:r="http://schemas.openxmlformats.org/officeDocument/2006/relationships" ref="N15" location="page=153" display="file:///Users/ishan/Downloads/INDIAN%20REITS/MindSpace/1st-Annual-Report-2020-21-of-Mindspace-REIT.pdf#page=153" r:id="rId26"/>
    <hyperlink xmlns:r="http://schemas.openxmlformats.org/officeDocument/2006/relationships" ref="O15" location="page=173" display="file:///Users/ishan/Downloads/INDIAN%20REITS/MindSpace/Mindspace-REIT-Annual-Report-FY22.pdf#page=173" r:id="rId27"/>
    <hyperlink xmlns:r="http://schemas.openxmlformats.org/officeDocument/2006/relationships" ref="E17" location="page=195" display="file:///Users/ishan/Downloads/INDIAN%20REITS/MindSpace/1st-Annual-Report-2020-21-of-Mindspace-REIT.pdf#page=195" r:id="rId28"/>
    <hyperlink xmlns:r="http://schemas.openxmlformats.org/officeDocument/2006/relationships" ref="F17" location="page=223" display="file:///Users/ishan/Downloads/INDIAN%20REITS/MindSpace/Mindspace-REIT-Annual-Report-FY22.pdf#page=223" r:id="rId29"/>
    <hyperlink xmlns:r="http://schemas.openxmlformats.org/officeDocument/2006/relationships" ref="H17" location="page=377" display="file:///Users/ishan/Downloads/INDIAN%20REITS/MindSpace/Mindspace-Business-Parks-REIT-Annual-Report-2024-25.pdf#page=377" r:id="rId30"/>
    <hyperlink xmlns:r="http://schemas.openxmlformats.org/officeDocument/2006/relationships" ref="I17" location="page=377" display="file:///Users/ishan/Downloads/INDIAN%20REITS/MindSpace/Mindspace-Business-Parks-REIT-Annual-Report-2024-25.pdf#page=377" r:id="rId31"/>
    <hyperlink xmlns:r="http://schemas.openxmlformats.org/officeDocument/2006/relationships" ref="J17" location="page=5" display="file:///Users/ishan/Downloads/INDIAN%20REITS/MindSpace/MREIT-Console-Result-Q4.pdf#page=5" r:id="rId32"/>
    <hyperlink xmlns:r="http://schemas.openxmlformats.org/officeDocument/2006/relationships" ref="N17" location="page=153" display="file:///Users/ishan/Downloads/INDIAN%20REITS/MindSpace/1st-Annual-Report-2020-21-of-Mindspace-REIT.pdf#page=153" r:id="rId33"/>
    <hyperlink xmlns:r="http://schemas.openxmlformats.org/officeDocument/2006/relationships" ref="O17" location="page=173" display="file:///Users/ishan/Downloads/INDIAN%20REITS/MindSpace/Mindspace-REIT-Annual-Report-FY22.pdf#page=173" r:id="rId34"/>
    <hyperlink xmlns:r="http://schemas.openxmlformats.org/officeDocument/2006/relationships" ref="Q17" location="page=319" display="file:///Users/ishan/Downloads/INDIAN%20REITS/MindSpace/Mindspace-Business-Parks-REIT-Annual-Report-2024-25.pdf#page=319" r:id="rId35"/>
    <hyperlink xmlns:r="http://schemas.openxmlformats.org/officeDocument/2006/relationships" ref="R17" location="page=319" display="file:///Users/ishan/Downloads/INDIAN%20REITS/MindSpace/Mindspace-Business-Parks-REIT-Annual-Report-2024-25.pdf#page=319" r:id="rId36"/>
    <hyperlink xmlns:r="http://schemas.openxmlformats.org/officeDocument/2006/relationships" ref="S17" location="page=5" display="file:///Users/ishan/Downloads/INDIAN%20REITS/MindSpace/Standalone-Financials-Q4-FY26.pdf#page=5" r:id="rId37"/>
    <hyperlink xmlns:r="http://schemas.openxmlformats.org/officeDocument/2006/relationships" ref="E18" location="page=195" display="file:///Users/ishan/Downloads/INDIAN%20REITS/MindSpace/1st-Annual-Report-2020-21-of-Mindspace-REIT.pdf#page=195" r:id="rId38"/>
    <hyperlink xmlns:r="http://schemas.openxmlformats.org/officeDocument/2006/relationships" ref="F18" location="page=223" display="file:///Users/ishan/Downloads/INDIAN%20REITS/MindSpace/Mindspace-REIT-Annual-Report-FY22.pdf#page=223" r:id="rId39"/>
    <hyperlink xmlns:r="http://schemas.openxmlformats.org/officeDocument/2006/relationships" ref="H18" location="page=377" display="file:///Users/ishan/Downloads/INDIAN%20REITS/MindSpace/Mindspace-Business-Parks-REIT-Annual-Report-2024-25.pdf#page=377" r:id="rId40"/>
    <hyperlink xmlns:r="http://schemas.openxmlformats.org/officeDocument/2006/relationships" ref="I18" location="page=377" display="file:///Users/ishan/Downloads/INDIAN%20REITS/MindSpace/Mindspace-Business-Parks-REIT-Annual-Report-2024-25.pdf#page=377" r:id="rId41"/>
    <hyperlink xmlns:r="http://schemas.openxmlformats.org/officeDocument/2006/relationships" ref="J18" location="page=5" display="file:///Users/ishan/Downloads/INDIAN%20REITS/MindSpace/MREIT-Console-Result-Q4.pdf#page=5" r:id="rId42"/>
    <hyperlink xmlns:r="http://schemas.openxmlformats.org/officeDocument/2006/relationships" ref="N18" location="page=153" display="file:///Users/ishan/Downloads/INDIAN%20REITS/MindSpace/1st-Annual-Report-2020-21-of-Mindspace-REIT.pdf#page=153" r:id="rId43"/>
    <hyperlink xmlns:r="http://schemas.openxmlformats.org/officeDocument/2006/relationships" ref="O18" location="page=173" display="file:///Users/ishan/Downloads/INDIAN%20REITS/MindSpace/Mindspace-REIT-Annual-Report-FY22.pdf#page=173" r:id="rId44"/>
    <hyperlink xmlns:r="http://schemas.openxmlformats.org/officeDocument/2006/relationships" ref="E19" location="page=195" display="file:///Users/ishan/Downloads/INDIAN%20REITS/MindSpace/1st-Annual-Report-2020-21-of-Mindspace-REIT.pdf#page=195" r:id="rId45"/>
    <hyperlink xmlns:r="http://schemas.openxmlformats.org/officeDocument/2006/relationships" ref="F19" location="page=223" display="file:///Users/ishan/Downloads/INDIAN%20REITS/MindSpace/Mindspace-REIT-Annual-Report-FY22.pdf#page=223" r:id="rId46"/>
    <hyperlink xmlns:r="http://schemas.openxmlformats.org/officeDocument/2006/relationships" ref="H19" location="page=377" display="file:///Users/ishan/Downloads/INDIAN%20REITS/MindSpace/Mindspace-Business-Parks-REIT-Annual-Report-2024-25.pdf#page=377" r:id="rId47"/>
    <hyperlink xmlns:r="http://schemas.openxmlformats.org/officeDocument/2006/relationships" ref="I19" location="page=377" display="file:///Users/ishan/Downloads/INDIAN%20REITS/MindSpace/Mindspace-Business-Parks-REIT-Annual-Report-2024-25.pdf#page=377" r:id="rId48"/>
    <hyperlink xmlns:r="http://schemas.openxmlformats.org/officeDocument/2006/relationships" ref="J19" location="page=5" display="file:///Users/ishan/Downloads/INDIAN%20REITS/MindSpace/MREIT-Console-Result-Q4.pdf#page=5" r:id="rId49"/>
    <hyperlink xmlns:r="http://schemas.openxmlformats.org/officeDocument/2006/relationships" ref="N19" location="page=153" display="file:///Users/ishan/Downloads/INDIAN%20REITS/MindSpace/1st-Annual-Report-2020-21-of-Mindspace-REIT.pdf#page=153" r:id="rId50"/>
    <hyperlink xmlns:r="http://schemas.openxmlformats.org/officeDocument/2006/relationships" ref="O19" location="page=173" display="file:///Users/ishan/Downloads/INDIAN%20REITS/MindSpace/Mindspace-REIT-Annual-Report-FY22.pdf#page=173" r:id="rId51"/>
    <hyperlink xmlns:r="http://schemas.openxmlformats.org/officeDocument/2006/relationships" ref="Q19" location="page=319" display="file:///Users/ishan/Downloads/INDIAN%20REITS/MindSpace/Mindspace-Business-Parks-REIT-Annual-Report-2024-25.pdf#page=319" r:id="rId52"/>
    <hyperlink xmlns:r="http://schemas.openxmlformats.org/officeDocument/2006/relationships" ref="R19" location="page=319" display="file:///Users/ishan/Downloads/INDIAN%20REITS/MindSpace/Mindspace-Business-Parks-REIT-Annual-Report-2024-25.pdf#page=319" r:id="rId53"/>
    <hyperlink xmlns:r="http://schemas.openxmlformats.org/officeDocument/2006/relationships" ref="S19" location="page=5" display="file:///Users/ishan/Downloads/INDIAN%20REITS/MindSpace/Standalone-Financials-Q4-FY26.pdf#page=5" r:id="rId54"/>
    <hyperlink xmlns:r="http://schemas.openxmlformats.org/officeDocument/2006/relationships" ref="E20" location="page=195" display="file:///Users/ishan/Downloads/INDIAN%20REITS/MindSpace/1st-Annual-Report-2020-21-of-Mindspace-REIT.pdf#page=195" r:id="rId55"/>
    <hyperlink xmlns:r="http://schemas.openxmlformats.org/officeDocument/2006/relationships" ref="F20" location="page=223" display="file:///Users/ishan/Downloads/INDIAN%20REITS/MindSpace/Mindspace-REIT-Annual-Report-FY22.pdf#page=223" r:id="rId56"/>
    <hyperlink xmlns:r="http://schemas.openxmlformats.org/officeDocument/2006/relationships" ref="H20" location="page=377" display="file:///Users/ishan/Downloads/INDIAN%20REITS/MindSpace/Mindspace-Business-Parks-REIT-Annual-Report-2024-25.pdf#page=377" r:id="rId57"/>
    <hyperlink xmlns:r="http://schemas.openxmlformats.org/officeDocument/2006/relationships" ref="I20" location="page=377" display="file:///Users/ishan/Downloads/INDIAN%20REITS/MindSpace/Mindspace-Business-Parks-REIT-Annual-Report-2024-25.pdf#page=377" r:id="rId58"/>
    <hyperlink xmlns:r="http://schemas.openxmlformats.org/officeDocument/2006/relationships" ref="J20" location="page=5" display="file:///Users/ishan/Downloads/INDIAN%20REITS/MindSpace/MREIT-Console-Result-Q4.pdf#page=5" r:id="rId59"/>
    <hyperlink xmlns:r="http://schemas.openxmlformats.org/officeDocument/2006/relationships" ref="N20" location="page=153" display="file:///Users/ishan/Downloads/INDIAN%20REITS/MindSpace/1st-Annual-Report-2020-21-of-Mindspace-REIT.pdf#page=153" r:id="rId60"/>
    <hyperlink xmlns:r="http://schemas.openxmlformats.org/officeDocument/2006/relationships" ref="O20" location="page=173" display="file:///Users/ishan/Downloads/INDIAN%20REITS/MindSpace/Mindspace-REIT-Annual-Report-FY22.pdf#page=173" r:id="rId61"/>
    <hyperlink xmlns:r="http://schemas.openxmlformats.org/officeDocument/2006/relationships" ref="Q20" location="page=319" display="file:///Users/ishan/Downloads/INDIAN%20REITS/MindSpace/Mindspace-Business-Parks-REIT-Annual-Report-2024-25.pdf#page=319" r:id="rId62"/>
    <hyperlink xmlns:r="http://schemas.openxmlformats.org/officeDocument/2006/relationships" ref="R20" location="page=319" display="file:///Users/ishan/Downloads/INDIAN%20REITS/MindSpace/Mindspace-Business-Parks-REIT-Annual-Report-2024-25.pdf#page=319" r:id="rId63"/>
    <hyperlink xmlns:r="http://schemas.openxmlformats.org/officeDocument/2006/relationships" ref="S20" location="page=5" display="file:///Users/ishan/Downloads/INDIAN%20REITS/MindSpace/Standalone-Financials-Q4-FY26.pdf#page=5" r:id="rId64"/>
    <hyperlink xmlns:r="http://schemas.openxmlformats.org/officeDocument/2006/relationships" ref="E23" display="file:///Users/ishan/Downloads/INDIAN%20REITS/MindSpace/1st-Annual-Report-2020-21-of-Mindspace-REIT.pdf" r:id="rId65"/>
    <hyperlink xmlns:r="http://schemas.openxmlformats.org/officeDocument/2006/relationships" ref="F23" location="page=5" display="file:///Users/ishan/Downloads/INDIAN%20REITS/MindSpace/Mindspace-REIT-Annual-Report-FY22.pdf#page=5" r:id="rId66"/>
    <hyperlink xmlns:r="http://schemas.openxmlformats.org/officeDocument/2006/relationships" ref="H23" display="file:///Users/ishan/Downloads/INDIAN%20REITS/MindSpace/Mindspace-Business-Parks-REIT-Annual-Report-2023-24.pdf" r:id="rId67"/>
    <hyperlink xmlns:r="http://schemas.openxmlformats.org/officeDocument/2006/relationships" ref="I23" location="page=324" display="file:///Users/ishan/Downloads/INDIAN%20REITS/MindSpace/Mindspace-Business-Parks-REIT-Annual-Report-2024-25.pdf#page=324" r:id="rId68"/>
    <hyperlink xmlns:r="http://schemas.openxmlformats.org/officeDocument/2006/relationships" ref="J23" location="page=17" display="file:///Users/ishan/Downloads/INDIAN%20REITS/MindSpace/MREIT-Console-Result-Q4.pdf#page=17" r:id="rId69"/>
    <hyperlink xmlns:r="http://schemas.openxmlformats.org/officeDocument/2006/relationships" ref="E24" location="page=2" display="file:///Users/ishan/Downloads/INDIAN%20REITS/MindSpace/Investor-Presentation_Q4-FY21-FY21-1.pdf#page=2" r:id="rId70"/>
    <hyperlink xmlns:r="http://schemas.openxmlformats.org/officeDocument/2006/relationships" ref="F24" location="page=2" display="file:///Users/ishan/Downloads/INDIAN%20REITS/MindSpace/Investor-Presentation_Q4-FY2022-final-1305.pdf#page=2" r:id="rId71"/>
    <hyperlink xmlns:r="http://schemas.openxmlformats.org/officeDocument/2006/relationships" ref="H24" display="file:///Users/ishan/Downloads/INDIAN%20REITS/MindSpace/Mindspace-HYR-2025-26-1.pdf" r:id="rId72"/>
    <hyperlink xmlns:r="http://schemas.openxmlformats.org/officeDocument/2006/relationships" ref="I24" display="file:///Users/ishan/Downloads/INDIAN%20REITS/MindSpace/Mindspace-Business-Parks-REIT-Annual-Report-2024-25.pdf" r:id="rId73"/>
    <hyperlink xmlns:r="http://schemas.openxmlformats.org/officeDocument/2006/relationships" ref="J24" location="page=17" display="file:///Users/ishan/Downloads/INDIAN%20REITS/MindSpace/MREIT-Console-Result-Q4.pdf#page=17" r:id="rId74"/>
    <hyperlink xmlns:r="http://schemas.openxmlformats.org/officeDocument/2006/relationships" ref="E25" display="file:///Users/ishan/Downloads/INDIAN%20REITS/MindSpace/1st-Annual-Report-2020-21-of-Mindspace-REIT.pdf" r:id="rId75"/>
    <hyperlink xmlns:r="http://schemas.openxmlformats.org/officeDocument/2006/relationships" ref="F25" display="file:///Users/ishan/Downloads/INDIAN%20REITS/MindSpace/Mindspace-REIT-Annual-Report-FY22.pdf" r:id="rId76"/>
    <hyperlink xmlns:r="http://schemas.openxmlformats.org/officeDocument/2006/relationships" ref="H25" display="file:///Users/ishan/Downloads/INDIAN%20REITS/MindSpace/Mindspace-Business-Parks-REIT-Annual-Report-2023-24.pdf" r:id="rId77"/>
    <hyperlink xmlns:r="http://schemas.openxmlformats.org/officeDocument/2006/relationships" ref="I25" location="page=325" display="file:///Users/ishan/Downloads/INDIAN%20REITS/MindSpace/Mindspace-Business-Parks-REIT-Annual-Report-2024-25.pdf#page=325" r:id="rId78"/>
    <hyperlink xmlns:r="http://schemas.openxmlformats.org/officeDocument/2006/relationships" ref="J25" location="page=17" display="file:///Users/ishan/Downloads/INDIAN%20REITS/MindSpace/MREIT-Console-Result-Q4.pdf#page=17" r:id="rId79"/>
    <hyperlink xmlns:r="http://schemas.openxmlformats.org/officeDocument/2006/relationships" ref="E28" display="file:///Users/ishan/Downloads/INDIAN%20REITS/MindSpace/1st-Annual-Report-2020-21-of-Mindspace-REIT.pdf" r:id="rId80"/>
    <hyperlink xmlns:r="http://schemas.openxmlformats.org/officeDocument/2006/relationships" ref="F28" location="page=103" display="file:///Users/ishan/Downloads/INDIAN%20REITS/MindSpace/Mindspace-REIT-Annual-Report-FY22.pdf#page=103" r:id="rId81"/>
    <hyperlink xmlns:r="http://schemas.openxmlformats.org/officeDocument/2006/relationships" ref="H28" display="file:///Users/ishan/Downloads/INDIAN%20REITS/MindSpace/Mindspace-Business-Parks-REIT-Annual-Report-2023-24.pdf" r:id="rId82"/>
    <hyperlink xmlns:r="http://schemas.openxmlformats.org/officeDocument/2006/relationships" ref="I28" display="file:///Users/ishan/Downloads/INDIAN%20REITS/MindSpace/Mindspace-Business-Parks-REIT-Annual-Report-2024-25.pdf" r:id="rId83"/>
    <hyperlink xmlns:r="http://schemas.openxmlformats.org/officeDocument/2006/relationships" ref="J28" location="page=14" display="file:///Users/ishan/Downloads/INDIAN%20REITS/MindSpace/MREIT-Console-Result-Q4.pdf#page=14" r:id="rId84"/>
    <hyperlink xmlns:r="http://schemas.openxmlformats.org/officeDocument/2006/relationships" ref="E29" location="page=194" display="file:///Users/ishan/Downloads/INDIAN%20REITS/MindSpace/1st-Annual-Report-2020-21-of-Mindspace-REIT.pdf#page=194" r:id="rId85"/>
    <hyperlink xmlns:r="http://schemas.openxmlformats.org/officeDocument/2006/relationships" ref="F29" location="page=222" display="file:///Users/ishan/Downloads/INDIAN%20REITS/MindSpace/Mindspace-REIT-Annual-Report-FY22.pdf#page=222" r:id="rId86"/>
    <hyperlink xmlns:r="http://schemas.openxmlformats.org/officeDocument/2006/relationships" ref="H29" location="page=376" display="file:///Users/ishan/Downloads/INDIAN%20REITS/MindSpace/Mindspace-Business-Parks-REIT-Annual-Report-2024-25.pdf#page=376" r:id="rId87"/>
    <hyperlink xmlns:r="http://schemas.openxmlformats.org/officeDocument/2006/relationships" ref="I29" location="page=376" display="file:///Users/ishan/Downloads/INDIAN%20REITS/MindSpace/Mindspace-Business-Parks-REIT-Annual-Report-2024-25.pdf#page=376" r:id="rId88"/>
    <hyperlink xmlns:r="http://schemas.openxmlformats.org/officeDocument/2006/relationships" ref="J29" location="page=8" display="file:///Users/ishan/Downloads/INDIAN%20REITS/MindSpace/MREIT-Console-Result-Q4.pdf#page=8" r:id="rId89"/>
    <hyperlink xmlns:r="http://schemas.openxmlformats.org/officeDocument/2006/relationships" ref="N29" location="page=152" display="file:///Users/ishan/Downloads/INDIAN%20REITS/MindSpace/1st-Annual-Report-2020-21-of-Mindspace-REIT.pdf#page=152" r:id="rId90"/>
    <hyperlink xmlns:r="http://schemas.openxmlformats.org/officeDocument/2006/relationships" ref="O29" location="page=172" display="file:///Users/ishan/Downloads/INDIAN%20REITS/MindSpace/Mindspace-REIT-Annual-Report-FY22.pdf#page=172" r:id="rId91"/>
    <hyperlink xmlns:r="http://schemas.openxmlformats.org/officeDocument/2006/relationships" ref="Q29" location="page=318" display="file:///Users/ishan/Downloads/INDIAN%20REITS/MindSpace/Mindspace-Business-Parks-REIT-Annual-Report-2024-25.pdf#page=318" r:id="rId92"/>
    <hyperlink xmlns:r="http://schemas.openxmlformats.org/officeDocument/2006/relationships" ref="R29" location="page=318" display="file:///Users/ishan/Downloads/INDIAN%20REITS/MindSpace/Mindspace-Business-Parks-REIT-Annual-Report-2024-25.pdf#page=318" r:id="rId93"/>
    <hyperlink xmlns:r="http://schemas.openxmlformats.org/officeDocument/2006/relationships" ref="S29" location="page=6" display="file:///Users/ishan/Downloads/INDIAN%20REITS/MindSpace/Standalone-Financials-Q4-FY26.pdf#page=6" r:id="rId94"/>
    <hyperlink xmlns:r="http://schemas.openxmlformats.org/officeDocument/2006/relationships" ref="E30" location="page=194" display="file:///Users/ishan/Downloads/INDIAN%20REITS/MindSpace/1st-Annual-Report-2020-21-of-Mindspace-REIT.pdf#page=194" r:id="rId95"/>
    <hyperlink xmlns:r="http://schemas.openxmlformats.org/officeDocument/2006/relationships" ref="F30" location="page=222" display="file:///Users/ishan/Downloads/INDIAN%20REITS/MindSpace/Mindspace-REIT-Annual-Report-FY22.pdf#page=222" r:id="rId96"/>
    <hyperlink xmlns:r="http://schemas.openxmlformats.org/officeDocument/2006/relationships" ref="H30" location="page=376" display="file:///Users/ishan/Downloads/INDIAN%20REITS/MindSpace/Mindspace-Business-Parks-REIT-Annual-Report-2024-25.pdf#page=376" r:id="rId97"/>
    <hyperlink xmlns:r="http://schemas.openxmlformats.org/officeDocument/2006/relationships" ref="I30" location="page=376" display="file:///Users/ishan/Downloads/INDIAN%20REITS/MindSpace/Mindspace-Business-Parks-REIT-Annual-Report-2024-25.pdf#page=376" r:id="rId98"/>
    <hyperlink xmlns:r="http://schemas.openxmlformats.org/officeDocument/2006/relationships" ref="J30" location="page=12" display="file:///Users/ishan/Downloads/INDIAN%20REITS/MindSpace/MREIT-Console-Result-Q4.pdf#page=12" r:id="rId99"/>
    <hyperlink xmlns:r="http://schemas.openxmlformats.org/officeDocument/2006/relationships" ref="N30" location="page=152" display="file:///Users/ishan/Downloads/INDIAN%20REITS/MindSpace/1st-Annual-Report-2020-21-of-Mindspace-REIT.pdf#page=152" r:id="rId100"/>
    <hyperlink xmlns:r="http://schemas.openxmlformats.org/officeDocument/2006/relationships" ref="O30" location="page=172" display="file:///Users/ishan/Downloads/INDIAN%20REITS/MindSpace/Mindspace-REIT-Annual-Report-FY22.pdf#page=172" r:id="rId101"/>
    <hyperlink xmlns:r="http://schemas.openxmlformats.org/officeDocument/2006/relationships" ref="Q30" location="page=318" display="file:///Users/ishan/Downloads/INDIAN%20REITS/MindSpace/Mindspace-Business-Parks-REIT-Annual-Report-2024-25.pdf#page=318" r:id="rId102"/>
    <hyperlink xmlns:r="http://schemas.openxmlformats.org/officeDocument/2006/relationships" ref="R30" location="page=318" display="file:///Users/ishan/Downloads/INDIAN%20REITS/MindSpace/Mindspace-Business-Parks-REIT-Annual-Report-2024-25.pdf#page=318" r:id="rId103"/>
    <hyperlink xmlns:r="http://schemas.openxmlformats.org/officeDocument/2006/relationships" ref="S30" location="page=6" display="file:///Users/ishan/Downloads/INDIAN%20REITS/MindSpace/Standalone-Financials-Q4-FY26.pdf#page=6" r:id="rId104"/>
    <hyperlink xmlns:r="http://schemas.openxmlformats.org/officeDocument/2006/relationships" ref="E32" location="page=194" display="file:///Users/ishan/Downloads/INDIAN%20REITS/MindSpace/1st-Annual-Report-2020-21-of-Mindspace-REIT.pdf#page=194" r:id="rId105"/>
    <hyperlink xmlns:r="http://schemas.openxmlformats.org/officeDocument/2006/relationships" ref="F32" location="page=222" display="file:///Users/ishan/Downloads/INDIAN%20REITS/MindSpace/Mindspace-REIT-Annual-Report-FY22.pdf#page=222" r:id="rId106"/>
    <hyperlink xmlns:r="http://schemas.openxmlformats.org/officeDocument/2006/relationships" ref="H32" location="page=376" display="file:///Users/ishan/Downloads/INDIAN%20REITS/MindSpace/Mindspace-Business-Parks-REIT-Annual-Report-2024-25.pdf#page=376" r:id="rId107"/>
    <hyperlink xmlns:r="http://schemas.openxmlformats.org/officeDocument/2006/relationships" ref="I32" location="page=376" display="file:///Users/ishan/Downloads/INDIAN%20REITS/MindSpace/Mindspace-Business-Parks-REIT-Annual-Report-2024-25.pdf#page=376" r:id="rId108"/>
    <hyperlink xmlns:r="http://schemas.openxmlformats.org/officeDocument/2006/relationships" ref="J32" location="page=8" display="file:///Users/ishan/Downloads/INDIAN%20REITS/MindSpace/MREIT-Console-Result-Q4.pdf#page=8" r:id="rId109"/>
    <hyperlink xmlns:r="http://schemas.openxmlformats.org/officeDocument/2006/relationships" ref="N32" location="page=152" display="file:///Users/ishan/Downloads/INDIAN%20REITS/MindSpace/1st-Annual-Report-2020-21-of-Mindspace-REIT.pdf#page=152" r:id="rId110"/>
    <hyperlink xmlns:r="http://schemas.openxmlformats.org/officeDocument/2006/relationships" ref="O32" location="page=172" display="file:///Users/ishan/Downloads/INDIAN%20REITS/MindSpace/Mindspace-REIT-Annual-Report-FY22.pdf#page=172" r:id="rId111"/>
    <hyperlink xmlns:r="http://schemas.openxmlformats.org/officeDocument/2006/relationships" ref="Q32" location="page=318" display="file:///Users/ishan/Downloads/INDIAN%20REITS/MindSpace/Mindspace-Business-Parks-REIT-Annual-Report-2024-25.pdf#page=318" r:id="rId112"/>
    <hyperlink xmlns:r="http://schemas.openxmlformats.org/officeDocument/2006/relationships" ref="R32" location="page=318" display="file:///Users/ishan/Downloads/INDIAN%20REITS/MindSpace/Mindspace-Business-Parks-REIT-Annual-Report-2024-25.pdf#page=318" r:id="rId113"/>
    <hyperlink xmlns:r="http://schemas.openxmlformats.org/officeDocument/2006/relationships" ref="S32" location="page=6" display="file:///Users/ishan/Downloads/INDIAN%20REITS/MindSpace/Standalone-Financials-Q4-FY26.pdf#page=6" r:id="rId114"/>
    <hyperlink xmlns:r="http://schemas.openxmlformats.org/officeDocument/2006/relationships" ref="E34" display="file:///Users/ishan/Downloads/INDIAN%20REITS/MindSpace/1st-Annual-Report-2020-21-of-Mindspace-REIT.pdf" r:id="rId115"/>
    <hyperlink xmlns:r="http://schemas.openxmlformats.org/officeDocument/2006/relationships" ref="F34" location="page=103" display="file:///Users/ishan/Downloads/INDIAN%20REITS/MindSpace/Mindspace-REIT-Annual-Report-FY22.pdf#page=103" r:id="rId116"/>
    <hyperlink xmlns:r="http://schemas.openxmlformats.org/officeDocument/2006/relationships" ref="H34" display="file:///Users/ishan/Downloads/INDIAN%20REITS/MindSpace/Mindspace-Business-Parks-REIT-Annual-Report-2024-25.pdf" r:id="rId117"/>
    <hyperlink xmlns:r="http://schemas.openxmlformats.org/officeDocument/2006/relationships" ref="I34" location="page=14" display="file:///Users/ishan/Downloads/INDIAN%20REITS/MindSpace/Mindspace-Business-Parks-REIT-Annual-Report-2024-25.pdf#page=14" r:id="rId118"/>
    <hyperlink xmlns:r="http://schemas.openxmlformats.org/officeDocument/2006/relationships" ref="J34" location="page=14" display="file:///Users/ishan/Downloads/INDIAN%20REITS/MindSpace/MREIT-Console-Result-Q4.pdf#page=14" r:id="rId119"/>
    <hyperlink xmlns:r="http://schemas.openxmlformats.org/officeDocument/2006/relationships" ref="E36" display="file:///Users/ishan/Downloads/INDIAN%20REITS/MindSpace/1st-Annual-Report-2020-21-of-Mindspace-REIT.pdf" r:id="rId120"/>
    <hyperlink xmlns:r="http://schemas.openxmlformats.org/officeDocument/2006/relationships" ref="F36" location="page=103" display="file:///Users/ishan/Downloads/INDIAN%20REITS/MindSpace/Mindspace-REIT-Annual-Report-FY22.pdf#page=103" r:id="rId121"/>
    <hyperlink xmlns:r="http://schemas.openxmlformats.org/officeDocument/2006/relationships" ref="H36" display="file:///Users/ishan/Downloads/INDIAN%20REITS/MindSpace/Mindspace-Business-Parks-REIT-Annual-Report-2023-24.pdf" r:id="rId122"/>
    <hyperlink xmlns:r="http://schemas.openxmlformats.org/officeDocument/2006/relationships" ref="I36" location="page=14" display="file:///Users/ishan/Downloads/INDIAN%20REITS/MindSpace/MREIT-Console-Result-Q4.pdf#page=14" r:id="rId123"/>
    <hyperlink xmlns:r="http://schemas.openxmlformats.org/officeDocument/2006/relationships" ref="J36" location="page=14" display="file:///Users/ishan/Downloads/INDIAN%20REITS/MindSpace/MREIT-Console-Result-Q4.pdf#page=14" r:id="rId124"/>
    <hyperlink xmlns:r="http://schemas.openxmlformats.org/officeDocument/2006/relationships" ref="F37" display="file:///Users/ishan/Downloads/INDIAN%20REITS/REIT_Tableau_Ready_1.xlsx" r:id="rId125"/>
    <hyperlink xmlns:r="http://schemas.openxmlformats.org/officeDocument/2006/relationships" ref="G37" display="file:///Users/ishan/Downloads/INDIAN%20REITS/REIT_Tableau_Ready_1.xlsx" r:id="rId126"/>
    <hyperlink xmlns:r="http://schemas.openxmlformats.org/officeDocument/2006/relationships" ref="H37" display="file:///Users/ishan/Downloads/INDIAN%20REITS/REIT_Tableau_Ready_1.xlsx" r:id="rId127"/>
    <hyperlink xmlns:r="http://schemas.openxmlformats.org/officeDocument/2006/relationships" ref="I37" display="file:///Users/ishan/Downloads/INDIAN%20REITS/REIT_Tableau_Ready_1.xlsx" r:id="rId128"/>
    <hyperlink xmlns:r="http://schemas.openxmlformats.org/officeDocument/2006/relationships" ref="J37" display="file:///Users/ishan/Downloads/INDIAN%20REITS/REIT_Tableau_Ready_1.xlsx" r:id="rId129"/>
    <hyperlink xmlns:r="http://schemas.openxmlformats.org/officeDocument/2006/relationships" ref="E40" display="file:///Users/ishan/Downloads/INDIAN%20REITS/MindSpace/1st-Annual-Report-2020-21-of-Mindspace-REIT.pdf" r:id="rId130"/>
    <hyperlink xmlns:r="http://schemas.openxmlformats.org/officeDocument/2006/relationships" ref="F40" display="file:///Users/ishan/Downloads/INDIAN%20REITS/MindSpace/Mindspace-REIT-Annual-Report-FY22.pdf" r:id="rId131"/>
    <hyperlink xmlns:r="http://schemas.openxmlformats.org/officeDocument/2006/relationships" ref="H40" display="file:///Users/ishan/Downloads/INDIAN%20REITS/MindSpace/Mindspace-Business-Parks-REIT-Annual-Report-2023-24.pdf" r:id="rId132"/>
    <hyperlink xmlns:r="http://schemas.openxmlformats.org/officeDocument/2006/relationships" ref="I40" display="file:///Users/ishan/Downloads/INDIAN%20REITS/MindSpace/Mindspace-Business-Parks-REIT-Annual-Report-2024-25.pdf" r:id="rId133"/>
    <hyperlink xmlns:r="http://schemas.openxmlformats.org/officeDocument/2006/relationships" ref="J40" display="file:///Users/ishan/Downloads/INDIAN%20REITS/MindSpace/Investor-Presentation_Q4-FY26.pdf" r:id="rId134"/>
    <hyperlink xmlns:r="http://schemas.openxmlformats.org/officeDocument/2006/relationships" ref="E42" location="page=12" display="file:///Users/ishan/Downloads/INDIAN%20REITS/MindSpace/Investor-Presentation_Q4-FY21-FY21-1.pdf#page=12" r:id="rId135"/>
    <hyperlink xmlns:r="http://schemas.openxmlformats.org/officeDocument/2006/relationships" ref="F42" location="page=13" display="file:///Users/ishan/Downloads/INDIAN%20REITS/MindSpace/Investor-Presentation_Q4-FY2022-final-1305.pdf#page=13" r:id="rId136"/>
    <hyperlink xmlns:r="http://schemas.openxmlformats.org/officeDocument/2006/relationships" ref="H42" display="file:///Users/ishan/Downloads/INDIAN%20REITS/MindSpace/Mindspace-Business-Parks-REIT-Annual-Report-2023-24.pdf" r:id="rId137"/>
    <hyperlink xmlns:r="http://schemas.openxmlformats.org/officeDocument/2006/relationships" ref="I42" display="file:///Users/ishan/Downloads/INDIAN%20REITS/MindSpace/Mindspace-Business-Parks-REIT-Annual-Report-2024-25.pdf" r:id="rId138"/>
    <hyperlink xmlns:r="http://schemas.openxmlformats.org/officeDocument/2006/relationships" ref="J42" location="page=2025" display="file:///Users/ishan/Downloads/INDIAN%20REITS/MindSpace/Mindspace-HYR-2025-26-1.pdf#page=2025" r:id="rId139"/>
    <hyperlink xmlns:r="http://schemas.openxmlformats.org/officeDocument/2006/relationships" ref="E43" location="page=3" display="file:///Users/ishan/Downloads/INDIAN%20REITS/MindSpace/1st-Annual-Report-2020-21-of-Mindspace-REIT.pdf#page=3" r:id="rId140"/>
    <hyperlink xmlns:r="http://schemas.openxmlformats.org/officeDocument/2006/relationships" ref="F43" location="page=13" display="file:///Users/ishan/Downloads/INDIAN%20REITS/MindSpace/Investor-Presentation_Q4-FY2022-final-1305.pdf#page=13" r:id="rId141"/>
    <hyperlink xmlns:r="http://schemas.openxmlformats.org/officeDocument/2006/relationships" ref="H43" display="file:///Users/ishan/Downloads/INDIAN%20REITS/MindSpace/Mindspace-Business-Parks-REIT-Annual-Report-2023-24.pdf" r:id="rId142"/>
    <hyperlink xmlns:r="http://schemas.openxmlformats.org/officeDocument/2006/relationships" ref="I43" display="file:///Users/ishan/Downloads/INDIAN%20REITS/MindSpace/Mindspace-Business-Parks-REIT-Annual-Report-2024-25.pdf" r:id="rId143"/>
    <hyperlink xmlns:r="http://schemas.openxmlformats.org/officeDocument/2006/relationships" ref="J43" location="page=8" display="file:///Users/ishan/Downloads/INDIAN%20REITS/MindSpace/Mindspace-HYR-2025-26-1.pdf#page=8" r:id="rId144"/>
    <hyperlink xmlns:r="http://schemas.openxmlformats.org/officeDocument/2006/relationships" ref="E44" location="page=12" display="file:///Users/ishan/Downloads/INDIAN%20REITS/MindSpace/Investor-Presentation_Q4-FY21-FY21-1.pdf#page=12" r:id="rId145"/>
    <hyperlink xmlns:r="http://schemas.openxmlformats.org/officeDocument/2006/relationships" ref="F44" location="page=13" display="file:///Users/ishan/Downloads/INDIAN%20REITS/MindSpace/Investor-Presentation_Q4-FY2022-final-1305.pdf#page=13" r:id="rId146"/>
    <hyperlink xmlns:r="http://schemas.openxmlformats.org/officeDocument/2006/relationships" ref="H44" location="page=9" display="file:///Users/ishan/Downloads/INDIAN%20REITS/MindSpace/Mindspace-Business-Parks-REIT-Annual-Report-2023-24.pdf#page=9" r:id="rId147"/>
    <hyperlink xmlns:r="http://schemas.openxmlformats.org/officeDocument/2006/relationships" ref="I44" location="page=6" display="file:///Users/ishan/Downloads/INDIAN%20REITS/MindSpace/Mindspace-Business-Parks-REIT-Annual-Report-2024-25.pdf#page=6" r:id="rId148"/>
    <hyperlink xmlns:r="http://schemas.openxmlformats.org/officeDocument/2006/relationships" ref="J44" location="page=8" display="file:///Users/ishan/Downloads/INDIAN%20REITS/MindSpace/Mindspace-HYR-2025-26-1.pdf#page=8" r:id="rId149"/>
    <hyperlink xmlns:r="http://schemas.openxmlformats.org/officeDocument/2006/relationships" ref="E45" location="page=12" display="file:///Users/ishan/Downloads/INDIAN%20REITS/MindSpace/Investor-Presentation_Q4-FY21-FY21-1.pdf#page=12" r:id="rId150"/>
    <hyperlink xmlns:r="http://schemas.openxmlformats.org/officeDocument/2006/relationships" ref="F45" location="page=13" display="file:///Users/ishan/Downloads/INDIAN%20REITS/MindSpace/Investor-Presentation_Q4-FY2022-final-1305.pdf#page=13" r:id="rId151"/>
    <hyperlink xmlns:r="http://schemas.openxmlformats.org/officeDocument/2006/relationships" ref="H45" display="file:///Users/ishan/Downloads/INDIAN%20REITS/MindSpace/Mindspace-Business-Parks-REIT-Annual-Report-2024-25.pdf" r:id="rId152"/>
    <hyperlink xmlns:r="http://schemas.openxmlformats.org/officeDocument/2006/relationships" ref="I45" display="file:///Users/ishan/Downloads/INDIAN%20REITS/MindSpace/Mindspace-Business-Parks-REIT-Annual-Report-2024-25.pdf" r:id="rId153"/>
    <hyperlink xmlns:r="http://schemas.openxmlformats.org/officeDocument/2006/relationships" ref="J45" location="page=58" display="file:///Users/ishan/Downloads/INDIAN%20REITS/MindSpace/Investor-Presentation_Q4-FY26.pdf#page=58" r:id="rId154"/>
    <hyperlink xmlns:r="http://schemas.openxmlformats.org/officeDocument/2006/relationships" ref="H46" location="page=9" display="file:///Users/ishan/Downloads/INDIAN%20REITS/MindSpace/Mindspace-Business-Parks-REIT-Annual-Report-2023-24.pdf#page=9" r:id="rId155"/>
    <hyperlink xmlns:r="http://schemas.openxmlformats.org/officeDocument/2006/relationships" ref="I46" display="file:///Users/ishan/Downloads/INDIAN%20REITS/MindSpace/Investor-Presentation_Q4FY2025.pdf" r:id="rId156"/>
    <hyperlink xmlns:r="http://schemas.openxmlformats.org/officeDocument/2006/relationships" ref="J46" location="page=58" display="file:///Users/ishan/Downloads/INDIAN%20REITS/MindSpace/Investor-Presentation_Q4-FY26.pdf#page=58" r:id="rId157"/>
    <hyperlink xmlns:r="http://schemas.openxmlformats.org/officeDocument/2006/relationships" ref="E47" location="page=12" display="file:///Users/ishan/Downloads/INDIAN%20REITS/MindSpace/Investor-Presentation_Q4-FY21-FY21-1.pdf#page=12" r:id="rId158"/>
    <hyperlink xmlns:r="http://schemas.openxmlformats.org/officeDocument/2006/relationships" ref="F47" location="page=13" display="file:///Users/ishan/Downloads/INDIAN%20REITS/MindSpace/Investor-Presentation_Q4-FY2022-final-1305.pdf#page=13" r:id="rId159"/>
    <hyperlink xmlns:r="http://schemas.openxmlformats.org/officeDocument/2006/relationships" ref="H47" display="file:///Users/ishan/Downloads/INDIAN%20REITS/MindSpace/Mindspace-Business-Parks-REIT-Annual-Report-2023-24.pdf" r:id="rId160"/>
    <hyperlink xmlns:r="http://schemas.openxmlformats.org/officeDocument/2006/relationships" ref="I47" display="file:///Users/ishan/Downloads/INDIAN%20REITS/MindSpace/Mindspace-Business-Parks-REIT-Annual-Report-2024-25.pdf" r:id="rId161"/>
    <hyperlink xmlns:r="http://schemas.openxmlformats.org/officeDocument/2006/relationships" ref="J47" location="page=58" display="file:///Users/ishan/Downloads/INDIAN%20REITS/MindSpace/Investor-Presentation_Q4-FY26.pdf#page=58" r:id="rId162"/>
    <hyperlink xmlns:r="http://schemas.openxmlformats.org/officeDocument/2006/relationships" ref="E48" location="page=3" display="file:///Users/ishan/Downloads/INDIAN%20REITS/MindSpace/1st-Annual-Report-2020-21-of-Mindspace-REIT.pdf#page=3" r:id="rId163"/>
    <hyperlink xmlns:r="http://schemas.openxmlformats.org/officeDocument/2006/relationships" ref="F48" display="file:///Users/ishan/Downloads/INDIAN%20REITS/MindSpace/Investor-Presentation_Q4-FY2022-final-1305.pdf" r:id="rId164"/>
    <hyperlink xmlns:r="http://schemas.openxmlformats.org/officeDocument/2006/relationships" ref="H48" display="file:///Users/ishan/Downloads/INDIAN%20REITS/MindSpace/Mindspace-Business-Parks-REIT-Annual-Report-2023-24.pdf" r:id="rId165"/>
    <hyperlink xmlns:r="http://schemas.openxmlformats.org/officeDocument/2006/relationships" ref="I48" display="file:///Users/ishan/Downloads/INDIAN%20REITS/MindSpace/Mindspace-Business-Parks-REIT-Annual-Report-2024-25.pdf" r:id="rId166"/>
    <hyperlink xmlns:r="http://schemas.openxmlformats.org/officeDocument/2006/relationships" ref="J48" location="page=2" display="file:///Users/ishan/Downloads/INDIAN%20REITS/MindSpace/Mindspace-HYR-2025-26-1.pdf#page=2" r:id="rId167"/>
    <hyperlink xmlns:r="http://schemas.openxmlformats.org/officeDocument/2006/relationships" ref="E49" location="page=12" display="file:///Users/ishan/Downloads/INDIAN%20REITS/MindSpace/Investor-Presentation_Q4-FY21-FY21-1.pdf#page=12" r:id="rId168"/>
    <hyperlink xmlns:r="http://schemas.openxmlformats.org/officeDocument/2006/relationships" ref="F49" location="page=13" display="file:///Users/ishan/Downloads/INDIAN%20REITS/MindSpace/Investor-Presentation_Q4-FY2022-final-1305.pdf#page=13" r:id="rId169"/>
    <hyperlink xmlns:r="http://schemas.openxmlformats.org/officeDocument/2006/relationships" ref="H49" display="file:///Users/ishan/Downloads/INDIAN%20REITS/MindSpace/Mindspace-Business-Parks-REIT-Annual-Report-2023-24.pdf" r:id="rId170"/>
    <hyperlink xmlns:r="http://schemas.openxmlformats.org/officeDocument/2006/relationships" ref="I49" display="file:///Users/ishan/Downloads/INDIAN%20REITS/MindSpace/Mindspace-Business-Parks-REIT-Annual-Report-2024-25.pdf" r:id="rId171"/>
    <hyperlink xmlns:r="http://schemas.openxmlformats.org/officeDocument/2006/relationships" ref="J49" location="page=7" display="file:///Users/ishan/Downloads/INDIAN%20REITS/MindSpace/Investor-Presentation_Q4-FY26.pdf#page=7" r:id="rId172"/>
    <hyperlink xmlns:r="http://schemas.openxmlformats.org/officeDocument/2006/relationships" ref="H57" display="file:///Users/ishan/Downloads/INDIAN%20REITS/MindSpace/Investor-Presentation_Q4-FY2024.pdf" r:id="rId173"/>
    <hyperlink xmlns:r="http://schemas.openxmlformats.org/officeDocument/2006/relationships" ref="H58" display="file:///Users/ishan/Downloads/INDIAN%20REITS/MindSpace/Investor-Presentation_Q4-FY2024.pdf" r:id="rId174"/>
    <hyperlink xmlns:r="http://schemas.openxmlformats.org/officeDocument/2006/relationships" ref="H59" display="file:///Users/ishan/Downloads/INDIAN%20REITS/MindSpace/Investor-Presentation_Q4-FY2024.pdf" r:id="rId175"/>
    <hyperlink xmlns:r="http://schemas.openxmlformats.org/officeDocument/2006/relationships" ref="H60" display="file:///Users/ishan/Downloads/INDIAN%20REITS/MindSpace/Investor-Presentation_Q4-FY2024.pdf" r:id="rId176"/>
    <hyperlink xmlns:r="http://schemas.openxmlformats.org/officeDocument/2006/relationships" ref="I63" display="file:///Users/ishan/Downloads/INDIAN%20REITS/MindSpace/Investor-Presentation_Q4FY2025.pdf" r:id="rId177"/>
    <hyperlink xmlns:r="http://schemas.openxmlformats.org/officeDocument/2006/relationships" ref="J63" display="file:///Users/ishan/Downloads/INDIAN%20REITS/MindSpace/Investor-Presentation_Q4-FY26.pdf" r:id="rId178"/>
    <hyperlink xmlns:r="http://schemas.openxmlformats.org/officeDocument/2006/relationships" ref="I64" display="file:///Users/ishan/Downloads/INDIAN%20REITS/MindSpace/Investor-Presentation_Q4FY2025.pdf" r:id="rId179"/>
    <hyperlink xmlns:r="http://schemas.openxmlformats.org/officeDocument/2006/relationships" ref="J64" display="file:///Users/ishan/Downloads/INDIAN%20REITS/MindSpace/Investor-Presentation_Q4-FY26.pdf" r:id="rId180"/>
    <hyperlink xmlns:r="http://schemas.openxmlformats.org/officeDocument/2006/relationships" ref="I65" display="file:///Users/ishan/Downloads/INDIAN%20REITS/MindSpace/Investor-Presentation_Q4FY2025.pdf" r:id="rId181"/>
    <hyperlink xmlns:r="http://schemas.openxmlformats.org/officeDocument/2006/relationships" ref="J65" display="file:///Users/ishan/Downloads/INDIAN%20REITS/MindSpace/Investor-Presentation_Q4-FY26.pdf" r:id="rId182"/>
    <hyperlink xmlns:r="http://schemas.openxmlformats.org/officeDocument/2006/relationships" ref="I66" display="file:///Users/ishan/Downloads/INDIAN%20REITS/MindSpace/Investor-Presentation_Q4FY2025.pdf" r:id="rId183"/>
    <hyperlink xmlns:r="http://schemas.openxmlformats.org/officeDocument/2006/relationships" ref="J66" display="file:///Users/ishan/Downloads/INDIAN%20REITS/MindSpace/Investor-Presentation_Q4-FY26.pdf" r:id="rId184"/>
    <hyperlink xmlns:r="http://schemas.openxmlformats.org/officeDocument/2006/relationships" ref="H68" display="file:///Users/ishan/Downloads/INDIAN%20REITS/MindSpace/Investor-Presentation_Q4-FY2024.pdf" r:id="rId185"/>
    <hyperlink xmlns:r="http://schemas.openxmlformats.org/officeDocument/2006/relationships" ref="I68" display="file:///Users/ishan/Downloads/INDIAN%20REITS/MindSpace/Investor-Presentation_Q4FY2025.pdf" r:id="rId186"/>
    <hyperlink xmlns:r="http://schemas.openxmlformats.org/officeDocument/2006/relationships" ref="J68" display="file:///Users/ishan/Downloads/INDIAN%20REITS/MindSpace/Investor-Presentation_Q4-FY26.pdf" r:id="rId187"/>
    <hyperlink xmlns:r="http://schemas.openxmlformats.org/officeDocument/2006/relationships" ref="I69" location="page=6" display="file:///Users/ishan/Downloads/INDIAN%20REITS/MindSpace/Standalone-Financials-Q4-FY26.pdf#page=6" r:id="rId188"/>
    <hyperlink xmlns:r="http://schemas.openxmlformats.org/officeDocument/2006/relationships" ref="J69" location="page=6" display="file:///Users/ishan/Downloads/INDIAN%20REITS/MindSpace/Standalone-Financials-Q4-FY26.pdf#page=6" r:id="rId189"/>
    <hyperlink xmlns:r="http://schemas.openxmlformats.org/officeDocument/2006/relationships" ref="H75" display="file:///Users/ishan/Downloads/INDIAN%20REITS/MindSpace/Investor-Presentation_Q4-FY2024.pdf" r:id="rId190"/>
    <hyperlink xmlns:r="http://schemas.openxmlformats.org/officeDocument/2006/relationships" ref="I75" display="file:///Users/ishan/Downloads/INDIAN%20REITS/MindSpace/Investor-Presentation_Q4FY2025.pdf" r:id="rId191"/>
    <hyperlink xmlns:r="http://schemas.openxmlformats.org/officeDocument/2006/relationships" ref="J75" display="file:///Users/ishan/Downloads/INDIAN%20REITS/MindSpace/Investor-Presentation_Q4-FY26.pdf" r:id="rId192"/>
    <hyperlink xmlns:r="http://schemas.openxmlformats.org/officeDocument/2006/relationships" ref="H76" display="file:///Users/ishan/Downloads/INDIAN%20REITS/MindSpace/Investor-Presentation_Q4-FY2024.pdf" r:id="rId193"/>
    <hyperlink xmlns:r="http://schemas.openxmlformats.org/officeDocument/2006/relationships" ref="I76" display="file:///Users/ishan/Downloads/INDIAN%20REITS/MindSpace/Investor-Presentation_Q4FY2025.pdf" r:id="rId194"/>
    <hyperlink xmlns:r="http://schemas.openxmlformats.org/officeDocument/2006/relationships" ref="J76" display="file:///Users/ishan/Downloads/INDIAN%20REITS/MindSpace/Investor-Presentation_Q4-FY26.pdf" r:id="rId195"/>
    <hyperlink xmlns:r="http://schemas.openxmlformats.org/officeDocument/2006/relationships" ref="H77" display="file:///Users/ishan/Downloads/INDIAN%20REITS/MindSpace/Investor-Presentation_Q4-FY2024.pdf" r:id="rId196"/>
    <hyperlink xmlns:r="http://schemas.openxmlformats.org/officeDocument/2006/relationships" ref="I77" display="file:///Users/ishan/Downloads/INDIAN%20REITS/MindSpace/Investor-Presentation_Q4FY2025.pdf" r:id="rId197"/>
    <hyperlink xmlns:r="http://schemas.openxmlformats.org/officeDocument/2006/relationships" ref="J77" display="file:///Users/ishan/Downloads/INDIAN%20REITS/MindSpace/Investor-Presentation_Q4-FY26.pdf" r:id="rId198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99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Y80"/>
  <sheetViews>
    <sheetView showFormulas="0" showGridLines="0" showRowColHeaders="1" showZeros="1" rightToLeft="0" tabSelected="0" showOutlineSymbols="1" defaultGridColor="1" view="normal" topLeftCell="A1" colorId="64" zoomScale="65" zoomScaleNormal="65" zoomScalePageLayoutView="100" workbookViewId="0">
      <pane xSplit="2" ySplit="7" topLeftCell="C25" activePane="bottomRight" state="frozen"/>
      <selection pane="topLeft" activeCell="A1" activeCellId="0" sqref="A1"/>
      <selection pane="topRight" activeCell="C1" activeCellId="0" sqref="C1"/>
      <selection pane="bottomLeft" activeCell="A25" activeCellId="0" sqref="A25"/>
      <selection pane="bottomRight" activeCell="S56" activeCellId="0" sqref="S56"/>
    </sheetView>
  </sheetViews>
  <sheetFormatPr baseColWidth="8" defaultColWidth="8.43359375" defaultRowHeight="15" customHeight="0" zeroHeight="0" outlineLevelRow="0"/>
  <cols>
    <col width="34" customWidth="1" style="38" min="1" max="1"/>
    <col width="9" customWidth="1" style="38" min="2" max="2"/>
    <col width="9.52" customWidth="1" style="38" min="3" max="10"/>
    <col width="7" customWidth="1" style="38" min="11" max="11"/>
    <col width="9.52" customWidth="1" style="38" min="12" max="19"/>
    <col width="7" customWidth="1" style="38" min="20" max="20"/>
  </cols>
  <sheetData>
    <row r="1" ht="15" customHeight="1" s="39">
      <c r="A1" s="40" t="inlineStr">
        <is>
          <t>Brookfield REIT - Key Financials &amp; Operating Metrics</t>
        </is>
      </c>
    </row>
    <row r="2" ht="15" customHeight="1" s="39">
      <c r="A2" s="43" t="inlineStr">
        <is>
          <t>Sponsor: Brookfield.  All INR figures in INR crore (cr) unless stated.  1 crore = 10 million.  FY ends 31 March.</t>
        </is>
      </c>
    </row>
    <row r="3" ht="15" customHeight="1" s="39">
      <c r="A3" s="43" t="inlineStr">
        <is>
          <t>Hover a cell for its Source (report + page + original figure).  Grey italic = auto-calculated.  YoY% = FY2026 vs FY2025.</t>
        </is>
      </c>
    </row>
    <row r="4"/>
    <row r="5"/>
    <row r="6" ht="15" customHeight="1" s="39">
      <c r="C6" s="52" t="inlineStr">
        <is>
          <t>CONSOLIDATED</t>
        </is>
      </c>
      <c r="L6" s="52" t="inlineStr">
        <is>
          <t>STANDALONE</t>
        </is>
      </c>
    </row>
    <row r="7" ht="15" customHeight="1" s="39">
      <c r="A7" s="44" t="inlineStr">
        <is>
          <t>Metric</t>
        </is>
      </c>
      <c r="B7" s="45" t="inlineStr">
        <is>
          <t>Unit</t>
        </is>
      </c>
      <c r="C7" s="45" t="inlineStr">
        <is>
          <t>FY2019</t>
        </is>
      </c>
      <c r="D7" s="45" t="inlineStr">
        <is>
          <t>FY2020</t>
        </is>
      </c>
      <c r="E7" s="45" t="inlineStr">
        <is>
          <t>FY2021</t>
        </is>
      </c>
      <c r="F7" s="45" t="inlineStr">
        <is>
          <t>FY2022</t>
        </is>
      </c>
      <c r="G7" s="45" t="inlineStr">
        <is>
          <t>FY2023</t>
        </is>
      </c>
      <c r="H7" s="45" t="inlineStr">
        <is>
          <t>FY2024</t>
        </is>
      </c>
      <c r="I7" s="45" t="inlineStr">
        <is>
          <t>FY2025</t>
        </is>
      </c>
      <c r="J7" s="45" t="inlineStr">
        <is>
          <t>FY2026</t>
        </is>
      </c>
      <c r="K7" s="45" t="inlineStr">
        <is>
          <t>YoY%</t>
        </is>
      </c>
      <c r="L7" s="45" t="inlineStr">
        <is>
          <t>FY2019</t>
        </is>
      </c>
      <c r="M7" s="45" t="inlineStr">
        <is>
          <t>FY2020</t>
        </is>
      </c>
      <c r="N7" s="45" t="inlineStr">
        <is>
          <t>FY2021</t>
        </is>
      </c>
      <c r="O7" s="45" t="inlineStr">
        <is>
          <t>FY2022</t>
        </is>
      </c>
      <c r="P7" s="45" t="inlineStr">
        <is>
          <t>FY2023</t>
        </is>
      </c>
      <c r="Q7" s="45" t="inlineStr">
        <is>
          <t>FY2024</t>
        </is>
      </c>
      <c r="R7" s="45" t="inlineStr">
        <is>
          <t>FY2025</t>
        </is>
      </c>
      <c r="S7" s="45" t="inlineStr">
        <is>
          <t>FY2026</t>
        </is>
      </c>
      <c r="T7" s="45" t="inlineStr">
        <is>
          <t>YoY%</t>
        </is>
      </c>
    </row>
    <row r="8" ht="15" customHeight="1" s="39">
      <c r="A8" s="53" t="inlineStr">
        <is>
          <t>INCOME STATEMENT</t>
        </is>
      </c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</row>
    <row r="9" ht="15" customHeight="1" s="39">
      <c r="A9" s="46" t="inlineStr">
        <is>
          <t>Revenue from Operations</t>
        </is>
      </c>
      <c r="B9" s="47" t="inlineStr">
        <is>
          <t>INR cr</t>
        </is>
      </c>
      <c r="C9" s="56" t="n"/>
      <c r="D9" s="56" t="n"/>
      <c r="E9" s="57" t="n">
        <v>130.942</v>
      </c>
      <c r="F9" s="57" t="n">
        <v>876.7910000000001</v>
      </c>
      <c r="G9" s="57" t="n">
        <v>1196.999</v>
      </c>
      <c r="H9" s="57" t="n">
        <v>1787.068</v>
      </c>
      <c r="I9" s="57" t="n">
        <v>2389.998</v>
      </c>
      <c r="J9" s="57" t="n">
        <v>2971.144</v>
      </c>
      <c r="K9" s="49">
        <f>IFERROR((J9-I9)/I9,"")</f>
        <v/>
      </c>
      <c r="L9" s="56" t="n"/>
      <c r="M9" s="56" t="n"/>
      <c r="N9" s="56" t="n"/>
      <c r="O9" s="56" t="n"/>
      <c r="P9" s="56" t="n"/>
      <c r="Q9" s="56" t="n"/>
      <c r="R9" s="56" t="n"/>
      <c r="S9" s="56" t="n"/>
      <c r="T9" s="49">
        <f>IFERROR((S9-R9)/R9,"")</f>
        <v/>
      </c>
    </row>
    <row r="10" ht="15" customHeight="1" s="39">
      <c r="A10" s="46" t="inlineStr">
        <is>
          <t>Other Income</t>
        </is>
      </c>
      <c r="B10" s="47" t="inlineStr">
        <is>
          <t>INR cr</t>
        </is>
      </c>
      <c r="C10" s="56" t="n"/>
      <c r="D10" s="56" t="n"/>
      <c r="E10" s="57" t="n">
        <v>5.165</v>
      </c>
      <c r="F10" s="57" t="n">
        <v>22.423</v>
      </c>
      <c r="G10" s="57" t="n">
        <v>32.48</v>
      </c>
      <c r="H10" s="57" t="n">
        <v>11.606</v>
      </c>
      <c r="I10" s="57" t="n">
        <v>81.815</v>
      </c>
      <c r="J10" s="57" t="n">
        <v>100.189</v>
      </c>
      <c r="K10" s="49">
        <f>IFERROR((J10-I10)/I10,"")</f>
        <v/>
      </c>
      <c r="L10" s="56" t="n"/>
      <c r="M10" s="56" t="n"/>
      <c r="N10" s="57" t="n">
        <v>0</v>
      </c>
      <c r="O10" s="57" t="n">
        <v>12.678</v>
      </c>
      <c r="P10" s="57" t="n">
        <v>39.794</v>
      </c>
      <c r="Q10" s="57" t="n">
        <v>0.059</v>
      </c>
      <c r="R10" s="57" t="n">
        <v>219.174</v>
      </c>
      <c r="S10" s="57" t="n">
        <v>118.167</v>
      </c>
      <c r="T10" s="49">
        <f>IFERROR((S10-R10)/R10,"")</f>
        <v/>
      </c>
    </row>
    <row r="11" ht="15" customHeight="1" s="39">
      <c r="A11" s="46" t="inlineStr">
        <is>
          <t>Total Income</t>
        </is>
      </c>
      <c r="B11" s="47" t="inlineStr">
        <is>
          <t>INR cr</t>
        </is>
      </c>
      <c r="C11" s="48">
        <f>IF(AND(C9="",C10=""),"",N(C9)+N(C10))</f>
        <v/>
      </c>
      <c r="D11" s="48">
        <f>IF(AND(D9="",D10=""),"",N(D9)+N(D10))</f>
        <v/>
      </c>
      <c r="E11" s="48">
        <f>IF(AND(E9="",E10=""),"",N(E9)+N(E10))</f>
        <v/>
      </c>
      <c r="F11" s="48">
        <f>IF(AND(F9="",F10=""),"",N(F9)+N(F10))</f>
        <v/>
      </c>
      <c r="G11" s="48">
        <f>IF(AND(G9="",G10=""),"",N(G9)+N(G10))</f>
        <v/>
      </c>
      <c r="H11" s="48">
        <f>IF(AND(H9="",H10=""),"",N(H9)+N(H10))</f>
        <v/>
      </c>
      <c r="I11" s="48">
        <f>IF(AND(I9="",I10=""),"",N(I9)+N(I10))</f>
        <v/>
      </c>
      <c r="J11" s="48">
        <f>IF(AND(J9="",J10=""),"",N(J9)+N(J10))</f>
        <v/>
      </c>
      <c r="K11" s="49">
        <f>IFERROR((J11-I11)/I11,"")</f>
        <v/>
      </c>
      <c r="L11" s="48">
        <f>IF(AND(L9="",L10=""),"",N(L9)+N(L10))</f>
        <v/>
      </c>
      <c r="M11" s="48">
        <f>IF(AND(M9="",M10=""),"",N(M9)+N(M10))</f>
        <v/>
      </c>
      <c r="N11" s="48">
        <f>IF(AND(N9="",N10=""),"",N(N9)+N(N10))</f>
        <v/>
      </c>
      <c r="O11" s="48">
        <f>IF(AND(O9="",O10=""),"",N(O9)+N(O10))</f>
        <v/>
      </c>
      <c r="P11" s="48">
        <f>IF(AND(P9="",P10=""),"",N(P9)+N(P10))</f>
        <v/>
      </c>
      <c r="Q11" s="48">
        <f>IF(AND(Q9="",Q10=""),"",N(Q9)+N(Q10))</f>
        <v/>
      </c>
      <c r="R11" s="48">
        <f>IF(AND(R9="",R10=""),"",N(R9)+N(R10))</f>
        <v/>
      </c>
      <c r="S11" s="48">
        <f>IF(AND(S9="",S10=""),"",N(S9)+N(S10))</f>
        <v/>
      </c>
      <c r="T11" s="49">
        <f>IFERROR((S11-R11)/R11,"")</f>
        <v/>
      </c>
    </row>
    <row r="12" ht="15" customHeight="1" s="39">
      <c r="A12" s="46" t="inlineStr">
        <is>
          <t>Property / Operating Expenses</t>
        </is>
      </c>
      <c r="B12" s="47" t="inlineStr">
        <is>
          <t>INR cr</t>
        </is>
      </c>
      <c r="C12" s="56" t="n"/>
      <c r="D12" s="56" t="n"/>
      <c r="E12" s="56" t="n"/>
      <c r="F12" s="56" t="n"/>
      <c r="G12" s="56" t="n"/>
      <c r="H12" s="56" t="n"/>
      <c r="I12" s="56" t="n"/>
      <c r="J12" s="56" t="n"/>
      <c r="K12" s="49">
        <f>IFERROR((J12-I12)/I12,"")</f>
        <v/>
      </c>
      <c r="L12" s="56" t="n"/>
      <c r="M12" s="56" t="n"/>
      <c r="N12" s="56" t="n"/>
      <c r="O12" s="56" t="n"/>
      <c r="P12" s="56" t="n"/>
      <c r="Q12" s="56" t="n"/>
      <c r="R12" s="56" t="n"/>
      <c r="S12" s="56" t="n"/>
      <c r="T12" s="49">
        <f>IFERROR((S12-R12)/R12,"")</f>
        <v/>
      </c>
    </row>
    <row r="13" ht="15" customHeight="1" s="39">
      <c r="A13" s="46" t="inlineStr">
        <is>
          <t>Net Operating Income (NOI)</t>
        </is>
      </c>
      <c r="B13" s="47" t="inlineStr">
        <is>
          <t>INR cr</t>
        </is>
      </c>
      <c r="C13" s="56" t="n"/>
      <c r="D13" s="56" t="n"/>
      <c r="E13" s="57" t="n">
        <v>660</v>
      </c>
      <c r="F13" s="57" t="n">
        <v>673</v>
      </c>
      <c r="G13" s="57" t="n">
        <v>888.5</v>
      </c>
      <c r="H13" s="57" t="n">
        <v>1350</v>
      </c>
      <c r="I13" s="57" t="n">
        <v>1854.004</v>
      </c>
      <c r="J13" s="57" t="n">
        <v>2291.299</v>
      </c>
      <c r="K13" s="49">
        <f>IFERROR((J13-I13)/I13,"")</f>
        <v/>
      </c>
      <c r="L13" s="56" t="n"/>
      <c r="M13" s="56" t="n"/>
      <c r="N13" s="56" t="n"/>
      <c r="O13" s="56" t="n"/>
      <c r="P13" s="56" t="n"/>
      <c r="Q13" s="56" t="n"/>
      <c r="R13" s="56" t="n"/>
      <c r="S13" s="56" t="n"/>
      <c r="T13" s="49">
        <f>IFERROR((S13-R13)/R13,"")</f>
        <v/>
      </c>
    </row>
    <row r="14" ht="15" customHeight="1" s="39">
      <c r="A14" s="46" t="inlineStr">
        <is>
          <t>NOI Margin</t>
        </is>
      </c>
      <c r="B14" s="47" t="inlineStr">
        <is>
          <t>%</t>
        </is>
      </c>
      <c r="C14" s="49">
        <f>IF(OR(C13="",C9="",N(C9)=0),"",C13/C9)</f>
        <v/>
      </c>
      <c r="D14" s="49">
        <f>IF(OR(D13="",D9="",N(D9)=0),"",D13/D9)</f>
        <v/>
      </c>
      <c r="E14" s="49">
        <f>IF(OR(E13="",E9="",N(E9)=0),"",E13/E9)</f>
        <v/>
      </c>
      <c r="F14" s="49">
        <f>IF(OR(F13="",F9="",N(F9)=0),"",F13/F9)</f>
        <v/>
      </c>
      <c r="G14" s="49">
        <f>IF(OR(G13="",G9="",N(G9)=0),"",G13/G9)</f>
        <v/>
      </c>
      <c r="H14" s="49">
        <f>IF(OR(H13="",H9="",N(H9)=0),"",H13/H9)</f>
        <v/>
      </c>
      <c r="I14" s="49">
        <f>IF(OR(I13="",I9="",N(I9)=0),"",I13/I9)</f>
        <v/>
      </c>
      <c r="J14" s="49">
        <f>IF(OR(J13="",J9="",N(J9)=0),"",J13/J9)</f>
        <v/>
      </c>
      <c r="L14" s="49">
        <f>IF(OR(L13="",L9="",N(L9)=0),"",L13/L9)</f>
        <v/>
      </c>
      <c r="M14" s="49">
        <f>IF(OR(M13="",M9="",N(M9)=0),"",M13/M9)</f>
        <v/>
      </c>
      <c r="N14" s="49">
        <f>IF(OR(N13="",N9="",N(N9)=0),"",N13/N9)</f>
        <v/>
      </c>
      <c r="O14" s="49">
        <f>IF(OR(O13="",O9="",N(O9)=0),"",O13/O9)</f>
        <v/>
      </c>
      <c r="P14" s="49">
        <f>IF(OR(P13="",P9="",N(P9)=0),"",P13/P9)</f>
        <v/>
      </c>
      <c r="Q14" s="49">
        <f>IF(OR(Q13="",Q9="",N(Q9)=0),"",Q13/Q9)</f>
        <v/>
      </c>
      <c r="R14" s="49">
        <f>IF(OR(R13="",R9="",N(R9)=0),"",R13/R9)</f>
        <v/>
      </c>
      <c r="S14" s="49">
        <f>IF(OR(S13="",S9="",N(S9)=0),"",S13/S9)</f>
        <v/>
      </c>
    </row>
    <row r="15" ht="15" customHeight="1" s="39">
      <c r="A15" s="46" t="inlineStr">
        <is>
          <t>EBITDA</t>
        </is>
      </c>
      <c r="B15" s="47" t="inlineStr">
        <is>
          <t>INR cr</t>
        </is>
      </c>
      <c r="C15" s="56" t="n"/>
      <c r="D15" s="56" t="n"/>
      <c r="E15" s="56" t="n">
        <v>87.69499999999999</v>
      </c>
      <c r="F15" s="57" t="n">
        <v>640.745</v>
      </c>
      <c r="G15" s="57" t="n">
        <v>848.049</v>
      </c>
      <c r="H15" s="57" t="n">
        <v>1487.6</v>
      </c>
      <c r="I15" s="57" t="n">
        <v>1910.7</v>
      </c>
      <c r="J15" s="57" t="n">
        <v>2241.8</v>
      </c>
      <c r="K15" s="49">
        <f>IFERROR((J15-I15)/I15,"")</f>
        <v/>
      </c>
      <c r="L15" s="56" t="n"/>
      <c r="M15" s="56" t="n"/>
      <c r="N15" s="56" t="n"/>
      <c r="O15" s="56" t="n"/>
      <c r="P15" s="56" t="n"/>
      <c r="Q15" s="56" t="n"/>
      <c r="R15" s="56" t="n"/>
      <c r="S15" s="56" t="n"/>
      <c r="T15" s="49">
        <f>IFERROR((S15-R15)/R15,"")</f>
        <v/>
      </c>
    </row>
    <row r="16" ht="15" customHeight="1" s="39">
      <c r="A16" s="46" t="inlineStr">
        <is>
          <t>EBITDA Margin</t>
        </is>
      </c>
      <c r="B16" s="47" t="inlineStr">
        <is>
          <t>%</t>
        </is>
      </c>
      <c r="C16" s="49">
        <f>IF(OR(C15="",C9="",N(C9)=0),"",C15/C9)</f>
        <v/>
      </c>
      <c r="D16" s="49">
        <f>IF(OR(D15="",D9="",N(D9)=0),"",D15/D9)</f>
        <v/>
      </c>
      <c r="E16" s="49">
        <f>IF(OR(E15="",E9="",N(E9)=0),"",E15/E9)</f>
        <v/>
      </c>
      <c r="F16" s="49">
        <f>IF(OR(F15="",F9="",N(F9)=0),"",F15/F9)</f>
        <v/>
      </c>
      <c r="G16" s="49">
        <f>IF(OR(G15="",G9="",N(G9)=0),"",G15/G9)</f>
        <v/>
      </c>
      <c r="H16" s="49">
        <f>IF(OR(H15="",H9="",N(H9)=0),"",H15/H9)</f>
        <v/>
      </c>
      <c r="I16" s="49">
        <f>IF(OR(I15="",I9="",N(I9)=0),"",I15/I9)</f>
        <v/>
      </c>
      <c r="J16" s="49">
        <f>IF(OR(J15="",J9="",N(J9)=0),"",J15/J9)</f>
        <v/>
      </c>
      <c r="L16" s="49">
        <f>IF(OR(L15="",L9="",N(L9)=0),"",L15/L9)</f>
        <v/>
      </c>
      <c r="M16" s="49">
        <f>IF(OR(M15="",M9="",N(M9)=0),"",M15/M9)</f>
        <v/>
      </c>
      <c r="N16" s="49">
        <f>IF(OR(N15="",N9="",N(N9)=0),"",N15/N9)</f>
        <v/>
      </c>
      <c r="O16" s="49">
        <f>IF(OR(O15="",O9="",N(O9)=0),"",O15/O9)</f>
        <v/>
      </c>
      <c r="P16" s="49">
        <f>IF(OR(P15="",P9="",N(P9)=0),"",P15/P9)</f>
        <v/>
      </c>
      <c r="Q16" s="49">
        <f>IF(OR(Q15="",Q9="",N(Q9)=0),"",Q15/Q9)</f>
        <v/>
      </c>
      <c r="R16" s="49">
        <f>IF(OR(R15="",R9="",N(R9)=0),"",R15/R9)</f>
        <v/>
      </c>
      <c r="S16" s="49">
        <f>IF(OR(S15="",S9="",N(S9)=0),"",S15/S9)</f>
        <v/>
      </c>
    </row>
    <row r="17" ht="15" customHeight="1" s="39">
      <c r="A17" s="46" t="inlineStr">
        <is>
          <t>Finance Costs</t>
        </is>
      </c>
      <c r="B17" s="47" t="inlineStr">
        <is>
          <t>INR cr</t>
        </is>
      </c>
      <c r="C17" s="56" t="n"/>
      <c r="D17" s="56" t="n"/>
      <c r="E17" s="57" t="n">
        <v>41.077</v>
      </c>
      <c r="F17" s="57" t="n">
        <v>208.069</v>
      </c>
      <c r="G17" s="57" t="n">
        <v>432.457</v>
      </c>
      <c r="H17" s="57" t="n">
        <v>852.245</v>
      </c>
      <c r="I17" s="57" t="n">
        <v>1078.177</v>
      </c>
      <c r="J17" s="57" t="n">
        <v>974.7809999999999</v>
      </c>
      <c r="K17" s="49">
        <f>IFERROR((J17-I17)/I17,"")</f>
        <v/>
      </c>
      <c r="L17" s="56" t="n"/>
      <c r="M17" s="56" t="n"/>
      <c r="N17" s="56" t="n"/>
      <c r="O17" s="56" t="n"/>
      <c r="P17" s="56" t="n"/>
      <c r="Q17" s="57" t="n">
        <v>34.479</v>
      </c>
      <c r="R17" s="57" t="n">
        <v>71.252</v>
      </c>
      <c r="S17" s="57" t="n">
        <v>110.657</v>
      </c>
      <c r="T17" s="49">
        <f>IFERROR((S17-R17)/R17,"")</f>
        <v/>
      </c>
    </row>
    <row r="18" ht="15" customHeight="1" s="39">
      <c r="A18" s="46" t="inlineStr">
        <is>
          <t>Depreciation &amp; Amortisation</t>
        </is>
      </c>
      <c r="B18" s="47" t="inlineStr">
        <is>
          <t>INR cr</t>
        </is>
      </c>
      <c r="C18" s="56" t="n"/>
      <c r="D18" s="56" t="n"/>
      <c r="E18" s="57" t="n">
        <v>31.675</v>
      </c>
      <c r="F18" s="57" t="n">
        <v>208.477</v>
      </c>
      <c r="G18" s="57" t="n">
        <v>275.202</v>
      </c>
      <c r="H18" s="57" t="n">
        <v>411.209</v>
      </c>
      <c r="I18" s="57" t="n">
        <v>429.89</v>
      </c>
      <c r="J18" s="57" t="n">
        <v>469.402</v>
      </c>
      <c r="K18" s="49">
        <f>IFERROR((J18-I18)/I18,"")</f>
        <v/>
      </c>
      <c r="L18" s="56" t="n"/>
      <c r="M18" s="56" t="n"/>
      <c r="N18" s="56" t="n"/>
      <c r="O18" s="56" t="n"/>
      <c r="P18" s="56" t="n"/>
      <c r="Q18" s="56" t="n"/>
      <c r="R18" s="56" t="n"/>
      <c r="S18" s="56" t="n"/>
      <c r="T18" s="49">
        <f>IFERROR((S18-R18)/R18,"")</f>
        <v/>
      </c>
    </row>
    <row r="19" ht="15" customHeight="1" s="39">
      <c r="A19" s="46" t="inlineStr">
        <is>
          <t>Profit Before Tax (PBT)</t>
        </is>
      </c>
      <c r="B19" s="47" t="inlineStr">
        <is>
          <t>INR cr</t>
        </is>
      </c>
      <c r="C19" s="56" t="n"/>
      <c r="D19" s="56" t="n"/>
      <c r="E19" s="57" t="n">
        <v>14.943</v>
      </c>
      <c r="F19" s="57" t="n">
        <v>224.199</v>
      </c>
      <c r="G19" s="57" t="n">
        <v>140.39</v>
      </c>
      <c r="H19" s="57" t="n">
        <v>54.211</v>
      </c>
      <c r="I19" s="57" t="n">
        <v>249.502</v>
      </c>
      <c r="J19" s="57" t="n">
        <v>758.419</v>
      </c>
      <c r="K19" s="49">
        <f>IFERROR((J19-I19)/I19,"")</f>
        <v/>
      </c>
      <c r="L19" s="56" t="n"/>
      <c r="M19" s="56" t="n"/>
      <c r="N19" s="57" t="n">
        <v>62.623</v>
      </c>
      <c r="O19" s="57" t="n">
        <v>453.702</v>
      </c>
      <c r="P19" s="57" t="n">
        <v>351.859</v>
      </c>
      <c r="Q19" s="57" t="n">
        <v>296.912</v>
      </c>
      <c r="R19" s="57" t="n">
        <v>751.498</v>
      </c>
      <c r="S19" s="57" t="n">
        <v>846.437</v>
      </c>
      <c r="T19" s="49">
        <f>IFERROR((S19-R19)/R19,"")</f>
        <v/>
      </c>
    </row>
    <row r="20" ht="15" customHeight="1" s="39">
      <c r="A20" s="46" t="inlineStr">
        <is>
          <t>Profit After Tax (PAT)</t>
        </is>
      </c>
      <c r="B20" s="47" t="inlineStr">
        <is>
          <t>INR cr</t>
        </is>
      </c>
      <c r="C20" s="56" t="n"/>
      <c r="D20" s="56" t="n"/>
      <c r="E20" s="57" t="n">
        <v>25.303</v>
      </c>
      <c r="F20" s="57" t="n">
        <v>246.285</v>
      </c>
      <c r="G20" s="57" t="n">
        <v>131.232</v>
      </c>
      <c r="H20" s="57" t="n">
        <v>-15.35</v>
      </c>
      <c r="I20" s="57" t="n">
        <v>159.953</v>
      </c>
      <c r="J20" s="57" t="n">
        <v>536.751</v>
      </c>
      <c r="K20" s="49">
        <f>IFERROR((J20-I20)/I20,"")</f>
        <v/>
      </c>
      <c r="L20" s="56" t="n"/>
      <c r="M20" s="56" t="n"/>
      <c r="N20" s="57" t="n">
        <v>62.623</v>
      </c>
      <c r="O20" s="57" t="n">
        <v>452.475</v>
      </c>
      <c r="P20" s="57" t="n">
        <v>338.808</v>
      </c>
      <c r="Q20" s="57" t="n">
        <v>298.394</v>
      </c>
      <c r="R20" s="57" t="n">
        <v>714.454</v>
      </c>
      <c r="S20" s="57" t="n">
        <v>814.876</v>
      </c>
      <c r="T20" s="49">
        <f>IFERROR((S20-R20)/R20,"")</f>
        <v/>
      </c>
    </row>
    <row r="21" ht="15" customHeight="1" s="39">
      <c r="A21" s="46" t="inlineStr">
        <is>
          <t>PAT Margin</t>
        </is>
      </c>
      <c r="B21" s="47" t="inlineStr">
        <is>
          <t>%</t>
        </is>
      </c>
      <c r="C21" s="49">
        <f>IF(OR(C20="",C9="",N(C9)=0),"",C20/C9)</f>
        <v/>
      </c>
      <c r="D21" s="49">
        <f>IF(OR(D20="",D9="",N(D9)=0),"",D20/D9)</f>
        <v/>
      </c>
      <c r="E21" s="49">
        <f>IF(OR(E20="",E9="",N(E9)=0),"",E20/E9)</f>
        <v/>
      </c>
      <c r="F21" s="49">
        <f>IF(OR(F20="",F9="",N(F9)=0),"",F20/F9)</f>
        <v/>
      </c>
      <c r="G21" s="49">
        <f>IF(OR(G20="",G9="",N(G9)=0),"",G20/G9)</f>
        <v/>
      </c>
      <c r="H21" s="49">
        <f>IF(OR(H20="",H9="",N(H9)=0),"",H20/H9)</f>
        <v/>
      </c>
      <c r="I21" s="49">
        <f>IF(OR(I20="",I9="",N(I9)=0),"",I20/I9)</f>
        <v/>
      </c>
      <c r="J21" s="49">
        <f>IF(OR(J20="",J9="",N(J9)=0),"",J20/J9)</f>
        <v/>
      </c>
      <c r="L21" s="49">
        <f>IF(OR(L20="",L9="",N(L9)=0),"",L20/L9)</f>
        <v/>
      </c>
      <c r="M21" s="49">
        <f>IF(OR(M20="",M9="",N(M9)=0),"",M20/M9)</f>
        <v/>
      </c>
      <c r="N21" s="49">
        <f>IF(OR(N20="",N9="",N(N9)=0),"",N20/N9)</f>
        <v/>
      </c>
      <c r="O21" s="49">
        <f>IF(OR(O20="",O9="",N(O9)=0),"",O20/O9)</f>
        <v/>
      </c>
      <c r="P21" s="49">
        <f>IF(OR(P20="",P9="",N(P9)=0),"",P20/P9)</f>
        <v/>
      </c>
      <c r="Q21" s="49">
        <f>IF(OR(Q20="",Q9="",N(Q9)=0),"",Q20/Q9)</f>
        <v/>
      </c>
      <c r="R21" s="49">
        <f>IF(OR(R20="",R9="",N(R9)=0),"",R20/R9)</f>
        <v/>
      </c>
      <c r="S21" s="49">
        <f>IF(OR(S20="",S9="",N(S9)=0),"",S20/S9)</f>
        <v/>
      </c>
    </row>
    <row r="22" ht="15" customHeight="1" s="39">
      <c r="A22" s="53" t="inlineStr">
        <is>
          <t>DISTRIBUTIONS &amp; CASH FLOW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</row>
    <row r="23" ht="15" customHeight="1" s="39">
      <c r="A23" s="46" t="inlineStr">
        <is>
          <t>Net Distributable Cash Flow (NDCF)</t>
        </is>
      </c>
      <c r="B23" s="47" t="inlineStr">
        <is>
          <t>INR cr</t>
        </is>
      </c>
      <c r="C23" s="56" t="n"/>
      <c r="D23" s="56" t="n"/>
      <c r="E23" s="56" t="n"/>
      <c r="F23" s="57" t="n">
        <v>688.458</v>
      </c>
      <c r="G23" s="57" t="n">
        <v>678.611</v>
      </c>
      <c r="H23" s="57" t="n">
        <v>770.52</v>
      </c>
      <c r="I23" s="57" t="n">
        <v>1055.18</v>
      </c>
      <c r="J23" s="57" t="n">
        <v>1506.695</v>
      </c>
      <c r="K23" s="49">
        <f>IFERROR((J23-I23)/I23,"")</f>
        <v/>
      </c>
      <c r="L23" s="58" t="inlineStr">
        <is>
          <t>n/a</t>
        </is>
      </c>
      <c r="M23" s="58" t="inlineStr">
        <is>
          <t>n/a</t>
        </is>
      </c>
      <c r="N23" s="58" t="inlineStr">
        <is>
          <t>n/a</t>
        </is>
      </c>
      <c r="O23" s="58" t="inlineStr">
        <is>
          <t>n/a</t>
        </is>
      </c>
      <c r="P23" s="58" t="inlineStr">
        <is>
          <t>n/a</t>
        </is>
      </c>
      <c r="Q23" s="58" t="inlineStr">
        <is>
          <t>n/a</t>
        </is>
      </c>
      <c r="R23" s="58" t="inlineStr">
        <is>
          <t>n/a</t>
        </is>
      </c>
      <c r="S23" s="58" t="inlineStr">
        <is>
          <t>n/a</t>
        </is>
      </c>
      <c r="T23" s="58" t="inlineStr">
        <is>
          <t>n/a</t>
        </is>
      </c>
    </row>
    <row r="24" ht="15" customHeight="1" s="39">
      <c r="A24" s="46" t="inlineStr">
        <is>
          <t>Total Distribution</t>
        </is>
      </c>
      <c r="B24" s="47" t="inlineStr">
        <is>
          <t>INR cr</t>
        </is>
      </c>
      <c r="C24" s="56" t="n"/>
      <c r="D24" s="56" t="n"/>
      <c r="E24" s="56" t="n"/>
      <c r="F24" s="57" t="n">
        <v>740.478</v>
      </c>
      <c r="G24" s="57" t="n">
        <v>676.875</v>
      </c>
      <c r="H24" s="57" t="n">
        <v>779.4</v>
      </c>
      <c r="I24" s="57" t="n">
        <v>1053.682</v>
      </c>
      <c r="J24" s="57" t="n">
        <v>1516.178</v>
      </c>
      <c r="K24" s="49">
        <f>IFERROR((J24-I24)/I24,"")</f>
        <v/>
      </c>
      <c r="L24" s="58" t="inlineStr">
        <is>
          <t>n/a</t>
        </is>
      </c>
      <c r="M24" s="58" t="inlineStr">
        <is>
          <t>n/a</t>
        </is>
      </c>
      <c r="N24" s="58" t="inlineStr">
        <is>
          <t>n/a</t>
        </is>
      </c>
      <c r="O24" s="58" t="inlineStr">
        <is>
          <t>n/a</t>
        </is>
      </c>
      <c r="P24" s="58" t="inlineStr">
        <is>
          <t>n/a</t>
        </is>
      </c>
      <c r="Q24" s="58" t="inlineStr">
        <is>
          <t>n/a</t>
        </is>
      </c>
      <c r="R24" s="58" t="inlineStr">
        <is>
          <t>n/a</t>
        </is>
      </c>
      <c r="S24" s="58" t="inlineStr">
        <is>
          <t>n/a</t>
        </is>
      </c>
      <c r="T24" s="58" t="inlineStr">
        <is>
          <t>n/a</t>
        </is>
      </c>
    </row>
    <row r="25" ht="15" customHeight="1" s="39">
      <c r="A25" s="46" t="inlineStr">
        <is>
          <t>Distribution per Unit (DPU)</t>
        </is>
      </c>
      <c r="B25" s="47" t="inlineStr">
        <is>
          <t>INR/unit</t>
        </is>
      </c>
      <c r="C25" s="59" t="n"/>
      <c r="D25" s="59" t="n"/>
      <c r="E25" s="59" t="n"/>
      <c r="F25" s="60" t="n">
        <v>22.1</v>
      </c>
      <c r="G25" s="60" t="n">
        <v>20.2</v>
      </c>
      <c r="H25" s="60" t="n">
        <v>17.75</v>
      </c>
      <c r="I25" s="60" t="n">
        <v>19.25</v>
      </c>
      <c r="J25" s="60" t="n">
        <v>21.4</v>
      </c>
      <c r="K25" s="49">
        <f>IFERROR((J25-I25)/I25,"")</f>
        <v/>
      </c>
      <c r="L25" s="58" t="inlineStr">
        <is>
          <t>n/a</t>
        </is>
      </c>
      <c r="M25" s="58" t="inlineStr">
        <is>
          <t>n/a</t>
        </is>
      </c>
      <c r="N25" s="58" t="inlineStr">
        <is>
          <t>n/a</t>
        </is>
      </c>
      <c r="O25" s="58" t="inlineStr">
        <is>
          <t>n/a</t>
        </is>
      </c>
      <c r="P25" s="58" t="inlineStr">
        <is>
          <t>n/a</t>
        </is>
      </c>
      <c r="Q25" s="58" t="inlineStr">
        <is>
          <t>n/a</t>
        </is>
      </c>
      <c r="R25" s="58" t="inlineStr">
        <is>
          <t>n/a</t>
        </is>
      </c>
      <c r="S25" s="58" t="inlineStr">
        <is>
          <t>n/a</t>
        </is>
      </c>
      <c r="T25" s="58" t="inlineStr">
        <is>
          <t>n/a</t>
        </is>
      </c>
    </row>
    <row r="26" ht="15" customHeight="1" s="39">
      <c r="A26" s="46" t="inlineStr">
        <is>
          <t>NDCF Payout Ratio</t>
        </is>
      </c>
      <c r="B26" s="47" t="inlineStr">
        <is>
          <t>%</t>
        </is>
      </c>
      <c r="C26" s="49">
        <f>IF(OR(C24="",C23="",N(C23)=0),"",C24/C23)</f>
        <v/>
      </c>
      <c r="D26" s="49">
        <f>IF(OR(D24="",D23="",N(D23)=0),"",D24/D23)</f>
        <v/>
      </c>
      <c r="E26" s="49">
        <f>IF(OR(E24="",E23="",N(E23)=0),"",E24/E23)</f>
        <v/>
      </c>
      <c r="F26" s="49">
        <f>IF(OR(F24="",F23="",N(F23)=0),"",F24/F23)</f>
        <v/>
      </c>
      <c r="G26" s="49">
        <f>IF(OR(G24="",G23="",N(G23)=0),"",G24/G23)</f>
        <v/>
      </c>
      <c r="H26" s="49">
        <f>IF(OR(H24="",H23="",N(H23)=0),"",H24/H23)</f>
        <v/>
      </c>
      <c r="I26" s="49">
        <f>IF(OR(I24="",I23="",N(I23)=0),"",I24/I23)</f>
        <v/>
      </c>
      <c r="J26" s="49">
        <f>IF(OR(J24="",J23="",N(J23)=0),"",J24/J23)</f>
        <v/>
      </c>
      <c r="L26" s="58" t="inlineStr">
        <is>
          <t>n/a</t>
        </is>
      </c>
      <c r="M26" s="58" t="inlineStr">
        <is>
          <t>n/a</t>
        </is>
      </c>
      <c r="N26" s="58" t="inlineStr">
        <is>
          <t>n/a</t>
        </is>
      </c>
      <c r="O26" s="58" t="inlineStr">
        <is>
          <t>n/a</t>
        </is>
      </c>
      <c r="P26" s="58" t="inlineStr">
        <is>
          <t>n/a</t>
        </is>
      </c>
      <c r="Q26" s="58" t="inlineStr">
        <is>
          <t>n/a</t>
        </is>
      </c>
      <c r="R26" s="58" t="inlineStr">
        <is>
          <t>n/a</t>
        </is>
      </c>
      <c r="S26" s="58" t="inlineStr">
        <is>
          <t>n/a</t>
        </is>
      </c>
      <c r="T26" s="58" t="inlineStr">
        <is>
          <t>n/a</t>
        </is>
      </c>
    </row>
    <row r="27" ht="15" customHeight="1" s="39">
      <c r="A27" s="53" t="inlineStr">
        <is>
          <t>BALANCE SHEET &amp; LEVERAGE</t>
        </is>
      </c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</row>
    <row r="28" ht="15" customHeight="1" s="39">
      <c r="A28" s="46" t="inlineStr">
        <is>
          <t>Gross Asset Value (GAV) / AUM</t>
        </is>
      </c>
      <c r="B28" s="47" t="inlineStr">
        <is>
          <t>INR cr</t>
        </is>
      </c>
      <c r="C28" s="56" t="n"/>
      <c r="D28" s="56" t="n"/>
      <c r="E28" s="57" t="n">
        <v>11500</v>
      </c>
      <c r="F28" s="57" t="n">
        <v>16000</v>
      </c>
      <c r="G28" s="57" t="n">
        <v>16400</v>
      </c>
      <c r="H28" s="56" t="n">
        <v>30719.831</v>
      </c>
      <c r="I28" s="56" t="n">
        <v>34031.306</v>
      </c>
      <c r="J28" s="57" t="n">
        <v>56528.1</v>
      </c>
      <c r="K28" s="49">
        <f>IFERROR((J28-I28)/I28,"")</f>
        <v/>
      </c>
      <c r="L28" s="58" t="inlineStr">
        <is>
          <t>n/a</t>
        </is>
      </c>
      <c r="M28" s="58" t="inlineStr">
        <is>
          <t>n/a</t>
        </is>
      </c>
      <c r="N28" s="58" t="inlineStr">
        <is>
          <t>n/a</t>
        </is>
      </c>
      <c r="O28" s="58" t="inlineStr">
        <is>
          <t>n/a</t>
        </is>
      </c>
      <c r="P28" s="58" t="inlineStr">
        <is>
          <t>n/a</t>
        </is>
      </c>
      <c r="Q28" s="58" t="inlineStr">
        <is>
          <t>n/a</t>
        </is>
      </c>
      <c r="R28" s="58" t="inlineStr">
        <is>
          <t>n/a</t>
        </is>
      </c>
      <c r="S28" s="58" t="inlineStr">
        <is>
          <t>n/a</t>
        </is>
      </c>
      <c r="T28" s="58" t="inlineStr">
        <is>
          <t>n/a</t>
        </is>
      </c>
    </row>
    <row r="29" ht="15" customHeight="1" s="39">
      <c r="A29" s="46" t="inlineStr">
        <is>
          <t>Gross Debt</t>
        </is>
      </c>
      <c r="B29" s="47" t="inlineStr">
        <is>
          <t>INR cr</t>
        </is>
      </c>
      <c r="C29" s="56" t="n"/>
      <c r="D29" s="56" t="n"/>
      <c r="E29" s="57" t="n">
        <v>2101.517</v>
      </c>
      <c r="F29" s="57" t="n">
        <v>5165.534</v>
      </c>
      <c r="G29" s="57" t="n">
        <v>5452.038</v>
      </c>
      <c r="H29" s="57" t="n">
        <v>12112.636</v>
      </c>
      <c r="I29" s="57" t="n">
        <v>10690.03</v>
      </c>
      <c r="J29" s="57" t="n">
        <v>18130.165</v>
      </c>
      <c r="K29" s="49">
        <f>IFERROR((J29-I29)/I29,"")</f>
        <v/>
      </c>
      <c r="L29" s="56" t="n"/>
      <c r="M29" s="56" t="n"/>
      <c r="N29" s="57" t="n">
        <v>0</v>
      </c>
      <c r="O29" s="57" t="n">
        <v>0</v>
      </c>
      <c r="P29" s="57" t="n">
        <v>0</v>
      </c>
      <c r="Q29" s="57" t="n">
        <v>728.487</v>
      </c>
      <c r="R29" s="57" t="n">
        <v>669.321</v>
      </c>
      <c r="S29" s="57" t="n">
        <v>2711.894</v>
      </c>
      <c r="T29" s="49">
        <f>IFERROR((S29-R29)/R29,"")</f>
        <v/>
      </c>
    </row>
    <row r="30" ht="15" customHeight="1" s="39">
      <c r="A30" s="46" t="inlineStr">
        <is>
          <t>Cash &amp; Cash Equivalents</t>
        </is>
      </c>
      <c r="B30" s="47" t="inlineStr">
        <is>
          <t>INR cr</t>
        </is>
      </c>
      <c r="C30" s="56" t="n"/>
      <c r="D30" s="56" t="n"/>
      <c r="E30" s="56" t="n"/>
      <c r="F30" s="56" t="n"/>
      <c r="G30" s="56" t="n"/>
      <c r="H30" s="57" t="n">
        <v>378.407</v>
      </c>
      <c r="I30" s="57" t="n">
        <v>574.649</v>
      </c>
      <c r="J30" s="57" t="n">
        <v>674.218</v>
      </c>
      <c r="K30" s="49">
        <f>IFERROR((J30-I30)/I30,"")</f>
        <v/>
      </c>
      <c r="L30" s="56" t="n"/>
      <c r="M30" s="56" t="n"/>
      <c r="N30" s="56" t="n"/>
      <c r="O30" s="56" t="n"/>
      <c r="P30" s="56" t="n"/>
      <c r="Q30" s="57" t="n">
        <v>239.289</v>
      </c>
      <c r="R30" s="57" t="n">
        <v>209.45</v>
      </c>
      <c r="S30" s="57" t="n">
        <v>239.311</v>
      </c>
      <c r="T30" s="49">
        <f>IFERROR((S30-R30)/R30,"")</f>
        <v/>
      </c>
    </row>
    <row r="31" ht="15" customHeight="1" s="39">
      <c r="A31" s="46" t="inlineStr">
        <is>
          <t>Net Debt</t>
        </is>
      </c>
      <c r="B31" s="47" t="inlineStr">
        <is>
          <t>INR cr</t>
        </is>
      </c>
      <c r="C31" s="48">
        <f>IF(C29="","",C29-N(C30))</f>
        <v/>
      </c>
      <c r="D31" s="48">
        <f>IF(D29="","",D29-N(D30))</f>
        <v/>
      </c>
      <c r="E31" s="48">
        <f>IF(E29="","",E29-N(E30))</f>
        <v/>
      </c>
      <c r="F31" s="48">
        <f>IF(F29="","",F29-N(F30))</f>
        <v/>
      </c>
      <c r="G31" s="48">
        <f>IF(G29="","",G29-N(G30))</f>
        <v/>
      </c>
      <c r="H31" s="48">
        <f>IF(H29="","",H29-N(H30))</f>
        <v/>
      </c>
      <c r="I31" s="48">
        <f>IF(I29="","",I29-N(I30))</f>
        <v/>
      </c>
      <c r="J31" s="48">
        <f>IF(J29="","",J29-N(J30))</f>
        <v/>
      </c>
      <c r="K31" s="49">
        <f>IFERROR((J31-I31)/I31,"")</f>
        <v/>
      </c>
      <c r="L31" s="48">
        <f>IF(L29="","",L29-N(L30))</f>
        <v/>
      </c>
      <c r="M31" s="48">
        <f>IF(M29="","",M29-N(M30))</f>
        <v/>
      </c>
      <c r="N31" s="48">
        <f>IF(N29="","",N29-N(N30))</f>
        <v/>
      </c>
      <c r="O31" s="48">
        <f>IF(O29="","",O29-N(O30))</f>
        <v/>
      </c>
      <c r="P31" s="48">
        <f>IF(P29="","",P29-N(P30))</f>
        <v/>
      </c>
      <c r="Q31" s="48">
        <f>IF(Q29="","",Q29-N(Q30))</f>
        <v/>
      </c>
      <c r="R31" s="48">
        <f>IF(R29="","",R29-N(R30))</f>
        <v/>
      </c>
      <c r="S31" s="48">
        <f>IF(S29="","",S29-N(S30))</f>
        <v/>
      </c>
      <c r="T31" s="49">
        <f>IFERROR((S31-R31)/R31,"")</f>
        <v/>
      </c>
    </row>
    <row r="32" ht="15" customHeight="1" s="39">
      <c r="A32" s="46" t="inlineStr">
        <is>
          <t>Net Worth / Unitholders Equity</t>
        </is>
      </c>
      <c r="B32" s="47" t="inlineStr">
        <is>
          <t>INR cr</t>
        </is>
      </c>
      <c r="C32" s="56" t="n"/>
      <c r="D32" s="56" t="n"/>
      <c r="E32" s="57" t="n">
        <v>8202.753000000001</v>
      </c>
      <c r="F32" s="57" t="n">
        <v>8882.093000000001</v>
      </c>
      <c r="G32" s="57" t="n">
        <v>8333.737999999999</v>
      </c>
      <c r="H32" s="57" t="n">
        <v>12129.66</v>
      </c>
      <c r="I32" s="57" t="n">
        <v>16010.615</v>
      </c>
      <c r="J32" s="57" t="n">
        <v>19562.123</v>
      </c>
      <c r="K32" s="49">
        <f>IFERROR((J32-I32)/I32,"")</f>
        <v/>
      </c>
      <c r="L32" s="56" t="n"/>
      <c r="M32" s="56" t="n"/>
      <c r="N32" s="57" t="n">
        <v>8240.101000000001</v>
      </c>
      <c r="O32" s="57" t="n">
        <v>9125.477000000001</v>
      </c>
      <c r="P32" s="57" t="n">
        <v>8784.058000000001</v>
      </c>
      <c r="Q32" s="57" t="n">
        <v>10981.584</v>
      </c>
      <c r="R32" s="57" t="n">
        <v>15414.414</v>
      </c>
      <c r="S32" s="57" t="n">
        <v>19243.162</v>
      </c>
      <c r="T32" s="49">
        <f>IFERROR((S32-R32)/R32,"")</f>
        <v/>
      </c>
    </row>
    <row r="33" ht="15" customHeight="1" s="39">
      <c r="A33" s="46" t="inlineStr">
        <is>
          <t>Loan-to-Value (LTV)</t>
        </is>
      </c>
      <c r="B33" s="47" t="inlineStr">
        <is>
          <t>%</t>
        </is>
      </c>
      <c r="C33" s="49">
        <f>IF(OR(C31="",C28="",N(C28)=0),"",C31/C28)</f>
        <v/>
      </c>
      <c r="D33" s="49">
        <f>IF(OR(D31="",D28="",N(D28)=0),"",D31/D28)</f>
        <v/>
      </c>
      <c r="E33" s="49">
        <f>IF(OR(E31="",E28="",N(E28)=0),"",E31/E28)</f>
        <v/>
      </c>
      <c r="F33" s="49">
        <f>IF(OR(F31="",F28="",N(F28)=0),"",F31/F28)</f>
        <v/>
      </c>
      <c r="G33" s="49">
        <f>IF(OR(G31="",G28="",N(G28)=0),"",G31/G28)</f>
        <v/>
      </c>
      <c r="H33" s="49">
        <f>IF(OR(H31="",H28="",N(H28)=0),"",H31/H28)</f>
        <v/>
      </c>
      <c r="I33" s="49">
        <f>IF(OR(I31="",I28="",N(I28)=0),"",I31/I28)</f>
        <v/>
      </c>
      <c r="J33" s="49">
        <f>IF(OR(J31="",J28="",N(J28)=0),"",J31/J28)</f>
        <v/>
      </c>
      <c r="L33" s="49">
        <f>IF(OR(L31="",L28="",N(L28)=0),"",L31/L28)</f>
        <v/>
      </c>
      <c r="M33" s="49">
        <f>IF(OR(M31="",M28="",N(M28)=0),"",M31/M28)</f>
        <v/>
      </c>
      <c r="N33" s="49">
        <f>IF(OR(N31="",N28="",N(N28)=0),"",N31/N28)</f>
        <v/>
      </c>
      <c r="O33" s="49">
        <f>IF(OR(O31="",O28="",N(O28)=0),"",O31/O28)</f>
        <v/>
      </c>
      <c r="P33" s="49">
        <f>IF(OR(P31="",P28="",N(P28)=0),"",P31/P28)</f>
        <v/>
      </c>
      <c r="Q33" s="49">
        <f>IF(OR(Q31="",Q28="",N(Q28)=0),"",Q31/Q28)</f>
        <v/>
      </c>
      <c r="R33" s="49">
        <f>IF(OR(R31="",R28="",N(R28)=0),"",R31/R28)</f>
        <v/>
      </c>
      <c r="S33" s="49">
        <f>IF(OR(S31="",S28="",N(S28)=0),"",S31/S28)</f>
        <v/>
      </c>
    </row>
    <row r="34" ht="15" customHeight="1" s="39">
      <c r="A34" s="46" t="inlineStr">
        <is>
          <t>NAV per Unit</t>
        </is>
      </c>
      <c r="B34" s="47" t="inlineStr">
        <is>
          <t>INR/unit</t>
        </is>
      </c>
      <c r="C34" s="59" t="n"/>
      <c r="D34" s="59" t="n"/>
      <c r="E34" s="60" t="n">
        <v>316.59</v>
      </c>
      <c r="F34" s="60" t="n">
        <v>333.81</v>
      </c>
      <c r="G34" s="60" t="n">
        <v>332.08</v>
      </c>
      <c r="H34" s="60" t="n">
        <v>233.57</v>
      </c>
      <c r="I34" s="60" t="n">
        <v>230.85</v>
      </c>
      <c r="J34" s="60" t="n">
        <v>233.87</v>
      </c>
      <c r="K34" s="49">
        <f>IFERROR((J34-I34)/I34,"")</f>
        <v/>
      </c>
      <c r="L34" s="58" t="inlineStr">
        <is>
          <t>n/a</t>
        </is>
      </c>
      <c r="M34" s="58" t="inlineStr">
        <is>
          <t>n/a</t>
        </is>
      </c>
      <c r="N34" s="58" t="inlineStr">
        <is>
          <t>n/a</t>
        </is>
      </c>
      <c r="O34" s="58" t="inlineStr">
        <is>
          <t>n/a</t>
        </is>
      </c>
      <c r="P34" s="58" t="inlineStr">
        <is>
          <t>n/a</t>
        </is>
      </c>
      <c r="Q34" s="58" t="inlineStr">
        <is>
          <t>n/a</t>
        </is>
      </c>
      <c r="R34" s="58" t="inlineStr">
        <is>
          <t>n/a</t>
        </is>
      </c>
      <c r="S34" s="58" t="inlineStr">
        <is>
          <t>n/a</t>
        </is>
      </c>
      <c r="T34" s="58" t="inlineStr">
        <is>
          <t>n/a</t>
        </is>
      </c>
    </row>
    <row r="35" ht="15" customHeight="1" s="39">
      <c r="A35" s="53" t="inlineStr">
        <is>
          <t>MARKET DATA</t>
        </is>
      </c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</row>
    <row r="36" ht="15" customHeight="1" s="39">
      <c r="A36" s="46" t="inlineStr">
        <is>
          <t>Units Outstanding</t>
        </is>
      </c>
      <c r="B36" s="47" t="inlineStr">
        <is>
          <t>mn units</t>
        </is>
      </c>
      <c r="C36" s="59" t="n"/>
      <c r="D36" s="59" t="n"/>
      <c r="E36" s="60" t="n">
        <v>302801601</v>
      </c>
      <c r="F36" s="60" t="n">
        <v>335087073</v>
      </c>
      <c r="G36" s="60" t="n">
        <v>335087073</v>
      </c>
      <c r="H36" s="60" t="n">
        <v>439.09</v>
      </c>
      <c r="I36" s="60" t="n">
        <v>607.75</v>
      </c>
      <c r="J36" s="60" t="n">
        <v>749.39</v>
      </c>
      <c r="K36" s="49">
        <f>IFERROR((J36-I36)/I36,"")</f>
        <v/>
      </c>
      <c r="L36" s="58" t="inlineStr">
        <is>
          <t>n/a</t>
        </is>
      </c>
      <c r="M36" s="58" t="inlineStr">
        <is>
          <t>n/a</t>
        </is>
      </c>
      <c r="N36" s="58" t="inlineStr">
        <is>
          <t>n/a</t>
        </is>
      </c>
      <c r="O36" s="58" t="inlineStr">
        <is>
          <t>n/a</t>
        </is>
      </c>
      <c r="P36" s="58" t="inlineStr">
        <is>
          <t>n/a</t>
        </is>
      </c>
      <c r="Q36" s="58" t="inlineStr">
        <is>
          <t>n/a</t>
        </is>
      </c>
      <c r="R36" s="58" t="inlineStr">
        <is>
          <t>n/a</t>
        </is>
      </c>
      <c r="S36" s="58" t="inlineStr">
        <is>
          <t>n/a</t>
        </is>
      </c>
      <c r="T36" s="58" t="inlineStr">
        <is>
          <t>n/a</t>
        </is>
      </c>
    </row>
    <row r="37" ht="15" customHeight="1" s="39">
      <c r="A37" s="46" t="inlineStr">
        <is>
          <t>Unit Price (period-end)</t>
        </is>
      </c>
      <c r="B37" s="47" t="inlineStr">
        <is>
          <t>INR/unit</t>
        </is>
      </c>
      <c r="C37" s="59" t="n"/>
      <c r="D37" s="59" t="n"/>
      <c r="E37" s="59" t="n"/>
      <c r="F37" s="60" t="n">
        <v>310.21</v>
      </c>
      <c r="G37" s="60" t="n">
        <v>279.9</v>
      </c>
      <c r="H37" s="60" t="n">
        <v>253.25</v>
      </c>
      <c r="I37" s="60" t="n">
        <v>290</v>
      </c>
      <c r="J37" s="60" t="n">
        <v>320.31</v>
      </c>
      <c r="K37" s="49">
        <f>IFERROR((J37-I37)/I37,"")</f>
        <v/>
      </c>
      <c r="L37" s="58" t="inlineStr">
        <is>
          <t>n/a</t>
        </is>
      </c>
      <c r="M37" s="58" t="inlineStr">
        <is>
          <t>n/a</t>
        </is>
      </c>
      <c r="N37" s="58" t="inlineStr">
        <is>
          <t>n/a</t>
        </is>
      </c>
      <c r="O37" s="58" t="inlineStr">
        <is>
          <t>n/a</t>
        </is>
      </c>
      <c r="P37" s="58" t="inlineStr">
        <is>
          <t>n/a</t>
        </is>
      </c>
      <c r="Q37" s="58" t="inlineStr">
        <is>
          <t>n/a</t>
        </is>
      </c>
      <c r="R37" s="58" t="inlineStr">
        <is>
          <t>n/a</t>
        </is>
      </c>
      <c r="S37" s="58" t="inlineStr">
        <is>
          <t>n/a</t>
        </is>
      </c>
      <c r="T37" s="58" t="inlineStr">
        <is>
          <t>n/a</t>
        </is>
      </c>
    </row>
    <row r="38" ht="15" customHeight="1" s="39">
      <c r="A38" s="46" t="inlineStr">
        <is>
          <t>Market Capitalisation</t>
        </is>
      </c>
      <c r="B38" s="47" t="inlineStr">
        <is>
          <t>INR cr</t>
        </is>
      </c>
      <c r="C38" s="48">
        <f>IF(OR(C36="",C37=""),"",C36*C37/10)</f>
        <v/>
      </c>
      <c r="D38" s="48">
        <f>IF(OR(D36="",D37=""),"",D36*D37/10)</f>
        <v/>
      </c>
      <c r="E38" s="48">
        <f>IF(OR(E36="",E37=""),"",E36*E37/10)</f>
        <v/>
      </c>
      <c r="F38" s="48">
        <f>IF(OR(F36="",F37=""),"",F36*F37/10)</f>
        <v/>
      </c>
      <c r="G38" s="48">
        <f>IF(OR(G36="",G37=""),"",G36*G37/10)</f>
        <v/>
      </c>
      <c r="H38" s="48">
        <f>IF(OR(H36="",H37=""),"",H36*H37/10)</f>
        <v/>
      </c>
      <c r="I38" s="48">
        <f>IF(OR(I36="",I37=""),"",I36*I37/10)</f>
        <v/>
      </c>
      <c r="J38" s="48">
        <f>IF(OR(J36="",J37=""),"",J36*J37/10)</f>
        <v/>
      </c>
      <c r="K38" s="49">
        <f>IFERROR((J38-I38)/I38,"")</f>
        <v/>
      </c>
      <c r="L38" s="58" t="inlineStr">
        <is>
          <t>n/a</t>
        </is>
      </c>
      <c r="M38" s="58" t="inlineStr">
        <is>
          <t>n/a</t>
        </is>
      </c>
      <c r="N38" s="58" t="inlineStr">
        <is>
          <t>n/a</t>
        </is>
      </c>
      <c r="O38" s="58" t="inlineStr">
        <is>
          <t>n/a</t>
        </is>
      </c>
      <c r="P38" s="58" t="inlineStr">
        <is>
          <t>n/a</t>
        </is>
      </c>
      <c r="Q38" s="58" t="inlineStr">
        <is>
          <t>n/a</t>
        </is>
      </c>
      <c r="R38" s="58" t="inlineStr">
        <is>
          <t>n/a</t>
        </is>
      </c>
      <c r="S38" s="58" t="inlineStr">
        <is>
          <t>n/a</t>
        </is>
      </c>
      <c r="T38" s="58" t="inlineStr">
        <is>
          <t>n/a</t>
        </is>
      </c>
    </row>
    <row r="39" ht="15" customHeight="1" s="39">
      <c r="A39" s="46" t="inlineStr">
        <is>
          <t>Annual Distribution Yield</t>
        </is>
      </c>
      <c r="B39" s="47" t="inlineStr">
        <is>
          <t>%</t>
        </is>
      </c>
      <c r="C39" s="49">
        <f>IF(OR(C25="",C37="",N(C37)=0),"",C25/C37)</f>
        <v/>
      </c>
      <c r="D39" s="49">
        <f>IF(OR(D25="",D37="",N(D37)=0),"",D25/D37)</f>
        <v/>
      </c>
      <c r="E39" s="49">
        <f>IF(OR(E25="",E37="",N(E37)=0),"",E25/E37)</f>
        <v/>
      </c>
      <c r="F39" s="49">
        <f>IF(OR(F25="",F37="",N(F37)=0),"",F25/F37)</f>
        <v/>
      </c>
      <c r="G39" s="49">
        <f>IF(OR(G25="",G37="",N(G37)=0),"",G25/G37)</f>
        <v/>
      </c>
      <c r="H39" s="49">
        <f>IF(OR(H25="",H37="",N(H37)=0),"",H25/H37)</f>
        <v/>
      </c>
      <c r="I39" s="49">
        <f>IF(OR(I25="",I37="",N(I37)=0),"",I25/I37)</f>
        <v/>
      </c>
      <c r="J39" s="49">
        <f>IF(OR(J25="",J37="",N(J37)=0),"",J25/J37)</f>
        <v/>
      </c>
      <c r="L39" s="58" t="inlineStr">
        <is>
          <t>n/a</t>
        </is>
      </c>
      <c r="M39" s="58" t="inlineStr">
        <is>
          <t>n/a</t>
        </is>
      </c>
      <c r="N39" s="58" t="inlineStr">
        <is>
          <t>n/a</t>
        </is>
      </c>
      <c r="O39" s="58" t="inlineStr">
        <is>
          <t>n/a</t>
        </is>
      </c>
      <c r="P39" s="58" t="inlineStr">
        <is>
          <t>n/a</t>
        </is>
      </c>
      <c r="Q39" s="58" t="inlineStr">
        <is>
          <t>n/a</t>
        </is>
      </c>
      <c r="R39" s="58" t="inlineStr">
        <is>
          <t>n/a</t>
        </is>
      </c>
      <c r="S39" s="58" t="inlineStr">
        <is>
          <t>n/a</t>
        </is>
      </c>
      <c r="T39" s="58" t="inlineStr">
        <is>
          <t>n/a</t>
        </is>
      </c>
    </row>
    <row r="40" ht="15" customHeight="1" s="39">
      <c r="A40" s="46" t="inlineStr">
        <is>
          <t>Cost of Debt</t>
        </is>
      </c>
      <c r="B40" s="47" t="inlineStr">
        <is>
          <t>%</t>
        </is>
      </c>
      <c r="C40" s="61" t="n"/>
      <c r="D40" s="61" t="n"/>
      <c r="E40" s="61" t="n">
        <v>0.07149999999999999</v>
      </c>
      <c r="F40" s="62" t="n">
        <v>0.06759999999999999</v>
      </c>
      <c r="G40" s="62" t="n">
        <v>0.082</v>
      </c>
      <c r="H40" s="62" t="n">
        <v>0.083</v>
      </c>
      <c r="I40" s="62" t="n">
        <v>0.082</v>
      </c>
      <c r="J40" s="62" t="n">
        <v>0.0805</v>
      </c>
      <c r="L40" s="58" t="inlineStr">
        <is>
          <t>n/a</t>
        </is>
      </c>
      <c r="M40" s="58" t="inlineStr">
        <is>
          <t>n/a</t>
        </is>
      </c>
      <c r="N40" s="58" t="inlineStr">
        <is>
          <t>n/a</t>
        </is>
      </c>
      <c r="O40" s="58" t="inlineStr">
        <is>
          <t>n/a</t>
        </is>
      </c>
      <c r="P40" s="58" t="inlineStr">
        <is>
          <t>n/a</t>
        </is>
      </c>
      <c r="Q40" s="58" t="inlineStr">
        <is>
          <t>n/a</t>
        </is>
      </c>
      <c r="R40" s="58" t="inlineStr">
        <is>
          <t>n/a</t>
        </is>
      </c>
      <c r="S40" s="58" t="inlineStr">
        <is>
          <t>n/a</t>
        </is>
      </c>
      <c r="T40" s="58" t="inlineStr">
        <is>
          <t>n/a</t>
        </is>
      </c>
    </row>
    <row r="41" ht="15" customHeight="1" s="39">
      <c r="A41" s="53" t="inlineStr">
        <is>
          <t>PORTFOLIO &amp; OPERATING METRICS  (consolidated)</t>
        </is>
      </c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</row>
    <row r="42" ht="15" customHeight="1" s="39">
      <c r="A42" s="46" t="inlineStr">
        <is>
          <t>Total Leasable Area (GLA)</t>
        </is>
      </c>
      <c r="B42" s="47" t="inlineStr">
        <is>
          <t>Msf</t>
        </is>
      </c>
      <c r="C42" s="70" t="n"/>
      <c r="D42" s="70" t="n"/>
      <c r="E42" s="70" t="n">
        <v>14</v>
      </c>
      <c r="F42" s="63" t="n">
        <v>18.6</v>
      </c>
      <c r="G42" s="63" t="n">
        <v>18.7</v>
      </c>
      <c r="H42" s="63" t="n">
        <v>25.5</v>
      </c>
      <c r="I42" s="63" t="n">
        <v>29</v>
      </c>
      <c r="J42" s="63" t="n">
        <v>32.43</v>
      </c>
      <c r="K42" s="49">
        <f>IFERROR((J42-I42)/I42,"")</f>
        <v/>
      </c>
      <c r="L42" s="58" t="inlineStr">
        <is>
          <t>n/a</t>
        </is>
      </c>
      <c r="M42" s="58" t="inlineStr">
        <is>
          <t>n/a</t>
        </is>
      </c>
      <c r="N42" s="58" t="inlineStr">
        <is>
          <t>n/a</t>
        </is>
      </c>
      <c r="O42" s="58" t="inlineStr">
        <is>
          <t>n/a</t>
        </is>
      </c>
      <c r="P42" s="58" t="inlineStr">
        <is>
          <t>n/a</t>
        </is>
      </c>
      <c r="Q42" s="58" t="inlineStr">
        <is>
          <t>n/a</t>
        </is>
      </c>
      <c r="R42" s="58" t="inlineStr">
        <is>
          <t>n/a</t>
        </is>
      </c>
      <c r="S42" s="58" t="inlineStr">
        <is>
          <t>n/a</t>
        </is>
      </c>
      <c r="T42" s="58" t="inlineStr">
        <is>
          <t>n/a</t>
        </is>
      </c>
    </row>
    <row r="43" ht="15" customHeight="1" s="39">
      <c r="A43" s="46" t="inlineStr">
        <is>
          <t>Operational Area</t>
        </is>
      </c>
      <c r="B43" s="47" t="inlineStr">
        <is>
          <t>Msf</t>
        </is>
      </c>
      <c r="C43" s="70" t="n"/>
      <c r="D43" s="70" t="n"/>
      <c r="E43" s="70" t="n">
        <v>10.3</v>
      </c>
      <c r="F43" s="63" t="n">
        <v>14.1</v>
      </c>
      <c r="G43" s="63" t="n">
        <v>14.3</v>
      </c>
      <c r="H43" s="63" t="n">
        <v>20.9</v>
      </c>
      <c r="I43" s="63" t="n">
        <v>24.5</v>
      </c>
      <c r="J43" s="63" t="n">
        <v>32.43</v>
      </c>
      <c r="K43" s="49">
        <f>IFERROR((J43-I43)/I43,"")</f>
        <v/>
      </c>
      <c r="L43" s="58" t="inlineStr">
        <is>
          <t>n/a</t>
        </is>
      </c>
      <c r="M43" s="58" t="inlineStr">
        <is>
          <t>n/a</t>
        </is>
      </c>
      <c r="N43" s="58" t="inlineStr">
        <is>
          <t>n/a</t>
        </is>
      </c>
      <c r="O43" s="58" t="inlineStr">
        <is>
          <t>n/a</t>
        </is>
      </c>
      <c r="P43" s="58" t="inlineStr">
        <is>
          <t>n/a</t>
        </is>
      </c>
      <c r="Q43" s="58" t="inlineStr">
        <is>
          <t>n/a</t>
        </is>
      </c>
      <c r="R43" s="58" t="inlineStr">
        <is>
          <t>n/a</t>
        </is>
      </c>
      <c r="S43" s="58" t="inlineStr">
        <is>
          <t>n/a</t>
        </is>
      </c>
      <c r="T43" s="58" t="inlineStr">
        <is>
          <t>n/a</t>
        </is>
      </c>
    </row>
    <row r="44" ht="15" customHeight="1" s="39">
      <c r="A44" s="46" t="inlineStr">
        <is>
          <t>Under Construction + Future Development</t>
        </is>
      </c>
      <c r="B44" s="47" t="inlineStr">
        <is>
          <t>Msf</t>
        </is>
      </c>
      <c r="C44" s="70" t="n"/>
      <c r="D44" s="70" t="n"/>
      <c r="E44" s="70" t="n">
        <v>3.7</v>
      </c>
      <c r="F44" s="63" t="n">
        <v>4.6</v>
      </c>
      <c r="G44" s="63" t="n">
        <v>4.4</v>
      </c>
      <c r="H44" s="63" t="n">
        <v>4.6</v>
      </c>
      <c r="I44" s="63" t="n">
        <v>4.5</v>
      </c>
      <c r="J44" s="63" t="n">
        <v>4.6</v>
      </c>
      <c r="K44" s="49">
        <f>IFERROR((J44-I44)/I44,"")</f>
        <v/>
      </c>
      <c r="L44" s="58" t="inlineStr">
        <is>
          <t>n/a</t>
        </is>
      </c>
      <c r="M44" s="58" t="inlineStr">
        <is>
          <t>n/a</t>
        </is>
      </c>
      <c r="N44" s="58" t="inlineStr">
        <is>
          <t>n/a</t>
        </is>
      </c>
      <c r="O44" s="58" t="inlineStr">
        <is>
          <t>n/a</t>
        </is>
      </c>
      <c r="P44" s="58" t="inlineStr">
        <is>
          <t>n/a</t>
        </is>
      </c>
      <c r="Q44" s="58" t="inlineStr">
        <is>
          <t>n/a</t>
        </is>
      </c>
      <c r="R44" s="58" t="inlineStr">
        <is>
          <t>n/a</t>
        </is>
      </c>
      <c r="S44" s="58" t="inlineStr">
        <is>
          <t>n/a</t>
        </is>
      </c>
      <c r="T44" s="58" t="inlineStr">
        <is>
          <t>n/a</t>
        </is>
      </c>
    </row>
    <row r="45" ht="15" customHeight="1" s="39">
      <c r="A45" s="46" t="inlineStr">
        <is>
          <t>Committed Occupancy</t>
        </is>
      </c>
      <c r="B45" s="47" t="inlineStr">
        <is>
          <t>%</t>
        </is>
      </c>
      <c r="C45" s="61" t="n"/>
      <c r="D45" s="61" t="n"/>
      <c r="E45" s="61" t="n"/>
      <c r="F45" s="62" t="n">
        <v>0.83</v>
      </c>
      <c r="G45" s="62" t="n">
        <v>0.84</v>
      </c>
      <c r="H45" s="62" t="n">
        <v>0.82</v>
      </c>
      <c r="I45" s="62" t="n">
        <v>0.88</v>
      </c>
      <c r="J45" s="61" t="n">
        <v>0.9292</v>
      </c>
      <c r="L45" s="58" t="inlineStr">
        <is>
          <t>n/a</t>
        </is>
      </c>
      <c r="M45" s="58" t="inlineStr">
        <is>
          <t>n/a</t>
        </is>
      </c>
      <c r="N45" s="58" t="inlineStr">
        <is>
          <t>n/a</t>
        </is>
      </c>
      <c r="O45" s="58" t="inlineStr">
        <is>
          <t>n/a</t>
        </is>
      </c>
      <c r="P45" s="58" t="inlineStr">
        <is>
          <t>n/a</t>
        </is>
      </c>
      <c r="Q45" s="58" t="inlineStr">
        <is>
          <t>n/a</t>
        </is>
      </c>
      <c r="R45" s="58" t="inlineStr">
        <is>
          <t>n/a</t>
        </is>
      </c>
      <c r="S45" s="58" t="inlineStr">
        <is>
          <t>n/a</t>
        </is>
      </c>
      <c r="T45" s="58" t="inlineStr">
        <is>
          <t>n/a</t>
        </is>
      </c>
    </row>
    <row r="46" ht="15" customHeight="1" s="39">
      <c r="A46" s="46" t="inlineStr">
        <is>
          <t>In-place / Physical Occupancy</t>
        </is>
      </c>
      <c r="B46" s="47" t="inlineStr">
        <is>
          <t>%</t>
        </is>
      </c>
      <c r="C46" s="61" t="n"/>
      <c r="D46" s="61" t="n"/>
      <c r="E46" s="61" t="n"/>
      <c r="F46" s="62" t="n">
        <v>0.87</v>
      </c>
      <c r="G46" s="62" t="n">
        <v>0.89</v>
      </c>
      <c r="H46" s="62" t="n">
        <v>0.87</v>
      </c>
      <c r="I46" s="61" t="n"/>
      <c r="J46" s="61" t="n"/>
      <c r="L46" s="58" t="inlineStr">
        <is>
          <t>n/a</t>
        </is>
      </c>
      <c r="M46" s="58" t="inlineStr">
        <is>
          <t>n/a</t>
        </is>
      </c>
      <c r="N46" s="58" t="inlineStr">
        <is>
          <t>n/a</t>
        </is>
      </c>
      <c r="O46" s="58" t="inlineStr">
        <is>
          <t>n/a</t>
        </is>
      </c>
      <c r="P46" s="58" t="inlineStr">
        <is>
          <t>n/a</t>
        </is>
      </c>
      <c r="Q46" s="58" t="inlineStr">
        <is>
          <t>n/a</t>
        </is>
      </c>
      <c r="R46" s="58" t="inlineStr">
        <is>
          <t>n/a</t>
        </is>
      </c>
      <c r="S46" s="58" t="inlineStr">
        <is>
          <t>n/a</t>
        </is>
      </c>
      <c r="T46" s="58" t="inlineStr">
        <is>
          <t>n/a</t>
        </is>
      </c>
    </row>
    <row r="47" ht="15" customHeight="1" s="39">
      <c r="A47" s="46" t="inlineStr">
        <is>
          <t>WALE</t>
        </is>
      </c>
      <c r="B47" s="47" t="inlineStr">
        <is>
          <t>years</t>
        </is>
      </c>
      <c r="C47" s="70" t="n"/>
      <c r="D47" s="70" t="n"/>
      <c r="E47" s="70" t="n"/>
      <c r="F47" s="63" t="n">
        <v>7.1</v>
      </c>
      <c r="G47" s="63" t="n">
        <v>7.9</v>
      </c>
      <c r="H47" s="63" t="n">
        <v>7.6</v>
      </c>
      <c r="I47" s="63" t="n">
        <v>7</v>
      </c>
      <c r="J47" s="63" t="n">
        <v>6.7</v>
      </c>
      <c r="K47" s="49">
        <f>IFERROR((J47-I47)/I47,"")</f>
        <v/>
      </c>
      <c r="L47" s="58" t="inlineStr">
        <is>
          <t>n/a</t>
        </is>
      </c>
      <c r="M47" s="58" t="inlineStr">
        <is>
          <t>n/a</t>
        </is>
      </c>
      <c r="N47" s="58" t="inlineStr">
        <is>
          <t>n/a</t>
        </is>
      </c>
      <c r="O47" s="58" t="inlineStr">
        <is>
          <t>n/a</t>
        </is>
      </c>
      <c r="P47" s="58" t="inlineStr">
        <is>
          <t>n/a</t>
        </is>
      </c>
      <c r="Q47" s="58" t="inlineStr">
        <is>
          <t>n/a</t>
        </is>
      </c>
      <c r="R47" s="58" t="inlineStr">
        <is>
          <t>n/a</t>
        </is>
      </c>
      <c r="S47" s="58" t="inlineStr">
        <is>
          <t>n/a</t>
        </is>
      </c>
      <c r="T47" s="58" t="inlineStr">
        <is>
          <t>n/a</t>
        </is>
      </c>
    </row>
    <row r="48" ht="15" customHeight="1" s="39">
      <c r="A48" s="46" t="inlineStr">
        <is>
          <t>Number of Tenants</t>
        </is>
      </c>
      <c r="B48" s="47" t="inlineStr">
        <is>
          <t>count</t>
        </is>
      </c>
      <c r="C48" s="72" t="n"/>
      <c r="D48" s="72" t="n"/>
      <c r="E48" s="72" t="n"/>
      <c r="F48" s="64" t="n">
        <v>70</v>
      </c>
      <c r="G48" s="64" t="n">
        <v>75</v>
      </c>
      <c r="H48" s="64" t="n">
        <v>141</v>
      </c>
      <c r="I48" s="72" t="n"/>
      <c r="J48" s="72" t="n"/>
      <c r="K48" s="49">
        <f>IFERROR((J48-I48)/I48,"")</f>
        <v/>
      </c>
      <c r="L48" s="58" t="inlineStr">
        <is>
          <t>n/a</t>
        </is>
      </c>
      <c r="M48" s="58" t="inlineStr">
        <is>
          <t>n/a</t>
        </is>
      </c>
      <c r="N48" s="58" t="inlineStr">
        <is>
          <t>n/a</t>
        </is>
      </c>
      <c r="O48" s="58" t="inlineStr">
        <is>
          <t>n/a</t>
        </is>
      </c>
      <c r="P48" s="58" t="inlineStr">
        <is>
          <t>n/a</t>
        </is>
      </c>
      <c r="Q48" s="58" t="inlineStr">
        <is>
          <t>n/a</t>
        </is>
      </c>
      <c r="R48" s="58" t="inlineStr">
        <is>
          <t>n/a</t>
        </is>
      </c>
      <c r="S48" s="58" t="inlineStr">
        <is>
          <t>n/a</t>
        </is>
      </c>
      <c r="T48" s="58" t="inlineStr">
        <is>
          <t>n/a</t>
        </is>
      </c>
    </row>
    <row r="49" ht="15" customHeight="1" s="39">
      <c r="A49" s="46" t="inlineStr">
        <is>
          <t>In-place Rent</t>
        </is>
      </c>
      <c r="B49" s="47" t="inlineStr">
        <is>
          <t>INR psf/mo</t>
        </is>
      </c>
      <c r="C49" s="70" t="n"/>
      <c r="D49" s="70" t="n"/>
      <c r="E49" s="70" t="n"/>
      <c r="F49" s="63" t="n">
        <v>63</v>
      </c>
      <c r="G49" s="63" t="n">
        <v>65</v>
      </c>
      <c r="H49" s="63" t="n">
        <v>84</v>
      </c>
      <c r="I49" s="63" t="n">
        <v>97</v>
      </c>
      <c r="J49" s="70" t="n">
        <v>100.1</v>
      </c>
      <c r="K49" s="49">
        <f>IFERROR((J49-I49)/I49,"")</f>
        <v/>
      </c>
      <c r="L49" s="58" t="inlineStr">
        <is>
          <t>n/a</t>
        </is>
      </c>
      <c r="M49" s="58" t="inlineStr">
        <is>
          <t>n/a</t>
        </is>
      </c>
      <c r="N49" s="58" t="inlineStr">
        <is>
          <t>n/a</t>
        </is>
      </c>
      <c r="O49" s="58" t="inlineStr">
        <is>
          <t>n/a</t>
        </is>
      </c>
      <c r="P49" s="58" t="inlineStr">
        <is>
          <t>n/a</t>
        </is>
      </c>
      <c r="Q49" s="58" t="inlineStr">
        <is>
          <t>n/a</t>
        </is>
      </c>
      <c r="R49" s="58" t="inlineStr">
        <is>
          <t>n/a</t>
        </is>
      </c>
      <c r="S49" s="58" t="inlineStr">
        <is>
          <t>n/a</t>
        </is>
      </c>
      <c r="T49" s="58" t="inlineStr">
        <is>
          <t>n/a</t>
        </is>
      </c>
    </row>
    <row r="50"/>
    <row r="51"/>
    <row r="52" ht="15" customHeight="1" s="39">
      <c r="A52" s="65" t="inlineStr">
        <is>
          <t>DEBT &amp; NDCF / DISTRIBUTION DETAIL   (consolidated; INR cr unless noted)</t>
        </is>
      </c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</row>
    <row r="53" ht="15" customHeight="1" s="39">
      <c r="A53" s="67" t="inlineStr">
        <is>
          <t>Metric</t>
        </is>
      </c>
      <c r="B53" s="68" t="inlineStr">
        <is>
          <t>Unit</t>
        </is>
      </c>
      <c r="C53" s="68" t="inlineStr">
        <is>
          <t>FY2019</t>
        </is>
      </c>
      <c r="D53" s="68" t="inlineStr">
        <is>
          <t>FY2020</t>
        </is>
      </c>
      <c r="E53" s="68" t="inlineStr">
        <is>
          <t>FY2021</t>
        </is>
      </c>
      <c r="F53" s="68" t="inlineStr">
        <is>
          <t>FY2022</t>
        </is>
      </c>
      <c r="G53" s="68" t="inlineStr">
        <is>
          <t>FY2023</t>
        </is>
      </c>
      <c r="H53" s="68" t="inlineStr">
        <is>
          <t>FY2024</t>
        </is>
      </c>
      <c r="I53" s="68" t="inlineStr">
        <is>
          <t>FY2025</t>
        </is>
      </c>
      <c r="J53" s="68" t="inlineStr">
        <is>
          <t>FY2026</t>
        </is>
      </c>
    </row>
    <row r="54" ht="15" customHeight="1" s="39">
      <c r="A54" s="69" t="inlineStr">
        <is>
          <t>Distribution composition (NDCF -&gt; unitholders)</t>
        </is>
      </c>
    </row>
    <row r="55" ht="15" customHeight="1" s="39">
      <c r="A55" s="46" t="inlineStr">
        <is>
          <t>Net Distributable Cash Flow (NDCF)</t>
        </is>
      </c>
      <c r="B55" s="47" t="inlineStr">
        <is>
          <t>INR cr</t>
        </is>
      </c>
      <c r="C55" s="48">
        <f>IF(N(C23)=0,IF(C23="","",C23),C23)</f>
        <v/>
      </c>
      <c r="D55" s="48">
        <f>IF(N(D23)=0,IF(D23="","",D23),D23)</f>
        <v/>
      </c>
      <c r="E55" s="48">
        <f>IF(N(E23)=0,IF(E23="","",E23),E23)</f>
        <v/>
      </c>
      <c r="F55" s="48">
        <f>IF(N(F23)=0,IF(F23="","",F23),F23)</f>
        <v/>
      </c>
      <c r="G55" s="48">
        <f>IF(N(G23)=0,IF(G23="","",G23),G23)</f>
        <v/>
      </c>
      <c r="H55" s="48">
        <f>IF(N(H23)=0,IF(H23="","",H23),H23)</f>
        <v/>
      </c>
      <c r="I55" s="48">
        <f>IF(N(I23)=0,IF(I23="","",I23),I23)</f>
        <v/>
      </c>
      <c r="J55" s="48">
        <f>IF(N(J23)=0,IF(J23="","",J23),J23)</f>
        <v/>
      </c>
    </row>
    <row r="56" ht="15" customHeight="1" s="39">
      <c r="A56" s="46" t="inlineStr">
        <is>
          <t>Total Distribution</t>
        </is>
      </c>
      <c r="B56" s="47" t="inlineStr">
        <is>
          <t>INR cr</t>
        </is>
      </c>
      <c r="C56" s="48">
        <f>IF(N(C24)=0,IF(C24="","",C24),C24)</f>
        <v/>
      </c>
      <c r="D56" s="48">
        <f>IF(N(D24)=0,IF(D24="","",D24),D24)</f>
        <v/>
      </c>
      <c r="E56" s="48">
        <f>IF(N(E24)=0,IF(E24="","",E24),E24)</f>
        <v/>
      </c>
      <c r="F56" s="48">
        <f>IF(N(F24)=0,IF(F24="","",F24),F24)</f>
        <v/>
      </c>
      <c r="G56" s="48">
        <f>IF(N(G24)=0,IF(G24="","",G24),G24)</f>
        <v/>
      </c>
      <c r="H56" s="48">
        <f>IF(N(H24)=0,IF(H24="","",H24),H24)</f>
        <v/>
      </c>
      <c r="I56" s="48">
        <f>IF(N(I24)=0,IF(I24="","",I24),I24)</f>
        <v/>
      </c>
      <c r="J56" s="48">
        <f>IF(N(J24)=0,IF(J24="","",J24),J24)</f>
        <v/>
      </c>
      <c r="S56" s="44">
        <f>A7</f>
        <v/>
      </c>
      <c r="T56" s="44">
        <f>B7</f>
        <v/>
      </c>
      <c r="U56" s="44">
        <f>F7</f>
        <v/>
      </c>
      <c r="V56" s="44">
        <f>G7</f>
        <v/>
      </c>
      <c r="W56" s="44">
        <f>H7</f>
        <v/>
      </c>
      <c r="X56" s="44">
        <f>I7</f>
        <v/>
      </c>
      <c r="Y56" s="44">
        <f>J7</f>
        <v/>
      </c>
    </row>
    <row r="57" ht="15" customHeight="1" s="39">
      <c r="A57" s="46" t="inlineStr">
        <is>
          <t xml:space="preserve">  of which: Interest</t>
        </is>
      </c>
      <c r="B57" s="47" t="inlineStr">
        <is>
          <t>INR cr</t>
        </is>
      </c>
      <c r="C57" s="56" t="n"/>
      <c r="D57" s="56" t="n"/>
      <c r="E57" s="56" t="n"/>
      <c r="F57" s="56" t="n"/>
      <c r="G57" s="56" t="n"/>
      <c r="H57" s="57" t="n">
        <v>382.6</v>
      </c>
      <c r="I57" s="56" t="n"/>
      <c r="J57" s="56" t="n"/>
      <c r="S57" s="46">
        <f>A46</f>
        <v/>
      </c>
      <c r="T57" s="46">
        <f>B46</f>
        <v/>
      </c>
      <c r="U57" s="61">
        <f>F46*10</f>
        <v/>
      </c>
      <c r="V57" s="61">
        <f>G46*10</f>
        <v/>
      </c>
      <c r="W57" s="61">
        <f>H46*10</f>
        <v/>
      </c>
      <c r="X57" s="61" t="n">
        <v>8.800000000000001</v>
      </c>
      <c r="Y57" s="61" t="n">
        <v>9.289999999999999</v>
      </c>
    </row>
    <row r="58" ht="15" customHeight="1" s="39">
      <c r="A58" s="46" t="inlineStr">
        <is>
          <t xml:space="preserve">  of which: Dividend</t>
        </is>
      </c>
      <c r="B58" s="47" t="inlineStr">
        <is>
          <t>INR cr</t>
        </is>
      </c>
      <c r="C58" s="56" t="n"/>
      <c r="D58" s="56" t="n"/>
      <c r="E58" s="56" t="n"/>
      <c r="F58" s="56" t="n"/>
      <c r="G58" s="56" t="n"/>
      <c r="H58" s="56" t="n"/>
      <c r="I58" s="56" t="n"/>
      <c r="J58" s="56" t="n"/>
      <c r="S58" s="46">
        <f>A47</f>
        <v/>
      </c>
      <c r="T58" s="46">
        <f>B47</f>
        <v/>
      </c>
      <c r="U58" s="70">
        <f>F47</f>
        <v/>
      </c>
      <c r="V58" s="70">
        <f>G47</f>
        <v/>
      </c>
      <c r="W58" s="70">
        <f>H47</f>
        <v/>
      </c>
      <c r="X58" s="70">
        <f>I47</f>
        <v/>
      </c>
      <c r="Y58" s="70">
        <f>J47</f>
        <v/>
      </c>
    </row>
    <row r="59" ht="15" customHeight="1" s="39">
      <c r="A59" s="46" t="inlineStr">
        <is>
          <t xml:space="preserve">  of which: Return of capital (SPV/shareholder-loan repayment)</t>
        </is>
      </c>
      <c r="B59" s="47" t="inlineStr">
        <is>
          <t>INR cr</t>
        </is>
      </c>
      <c r="C59" s="56" t="n"/>
      <c r="D59" s="56" t="n"/>
      <c r="E59" s="56" t="n"/>
      <c r="F59" s="56" t="n"/>
      <c r="G59" s="56" t="n"/>
      <c r="H59" s="57" t="n">
        <v>560</v>
      </c>
      <c r="I59" s="56" t="n"/>
      <c r="J59" s="56" t="n"/>
    </row>
    <row r="60" ht="15" customHeight="1" s="39">
      <c r="A60" s="46" t="inlineStr">
        <is>
          <t xml:space="preserve">  of which: Other</t>
        </is>
      </c>
      <c r="B60" s="47" t="inlineStr">
        <is>
          <t>INR cr</t>
        </is>
      </c>
      <c r="C60" s="56" t="n"/>
      <c r="D60" s="56" t="n"/>
      <c r="E60" s="56" t="n"/>
      <c r="F60" s="56" t="n"/>
      <c r="G60" s="56" t="n"/>
      <c r="H60" s="56" t="n"/>
      <c r="I60" s="56" t="n"/>
      <c r="J60" s="56" t="n"/>
    </row>
    <row r="61" ht="15" customHeight="1" s="39">
      <c r="A61" s="46" t="inlineStr">
        <is>
          <t>Return-of-capital % of distribution</t>
        </is>
      </c>
      <c r="B61" s="47" t="inlineStr">
        <is>
          <t>%</t>
        </is>
      </c>
      <c r="C61" s="49">
        <f>IF(OR(C59="",C56="",N(C56)=0),"",C59/C56)</f>
        <v/>
      </c>
      <c r="D61" s="49">
        <f>IF(OR(D59="",D56="",N(D56)=0),"",D59/D56)</f>
        <v/>
      </c>
      <c r="E61" s="49">
        <f>IF(OR(E59="",E56="",N(E56)=0),"",E59/E56)</f>
        <v/>
      </c>
      <c r="F61" s="49">
        <f>IF(OR(F59="",F56="",N(F56)=0),"",F59/F56)</f>
        <v/>
      </c>
      <c r="G61" s="49">
        <f>IF(OR(G59="",G56="",N(G56)=0),"",G59/G56)</f>
        <v/>
      </c>
      <c r="H61" s="49">
        <f>IF(OR(H59="",H56="",N(H56)=0),"",H59/H56)</f>
        <v/>
      </c>
      <c r="I61" s="49">
        <f>IF(OR(I59="",I56="",N(I56)=0),"",I59/I56)</f>
        <v/>
      </c>
      <c r="J61" s="49">
        <f>IF(OR(J59="",J56="",N(J56)=0),"",J59/J56)</f>
        <v/>
      </c>
    </row>
    <row r="62" ht="15" customHeight="1" s="39">
      <c r="A62" s="46" t="inlineStr">
        <is>
          <t>Distribution per Unit (DPU)</t>
        </is>
      </c>
      <c r="B62" s="47" t="inlineStr">
        <is>
          <t>INR/unit</t>
        </is>
      </c>
      <c r="C62" s="50">
        <f>IF(N(C25)=0,IF(C25="","",C25),C25)</f>
        <v/>
      </c>
      <c r="D62" s="50">
        <f>IF(N(D25)=0,IF(D25="","",D25),D25)</f>
        <v/>
      </c>
      <c r="E62" s="50">
        <f>IF(N(E25)=0,IF(E25="","",E25),E25)</f>
        <v/>
      </c>
      <c r="F62" s="50">
        <f>IF(N(F25)=0,IF(F25="","",F25),F25)</f>
        <v/>
      </c>
      <c r="G62" s="50">
        <f>IF(N(G25)=0,IF(G25="","",G25),G25)</f>
        <v/>
      </c>
      <c r="H62" s="50">
        <f>IF(N(H25)=0,IF(H25="","",H25),H25)</f>
        <v/>
      </c>
      <c r="I62" s="50">
        <f>IF(N(I25)=0,IF(I25="","",I25),I25)</f>
        <v/>
      </c>
      <c r="J62" s="50">
        <f>IF(N(J25)=0,IF(J25="","",J25),J25)</f>
        <v/>
      </c>
    </row>
    <row r="63" ht="15" customHeight="1" s="39">
      <c r="A63" s="46" t="inlineStr">
        <is>
          <t xml:space="preserve">  DPU: Interest</t>
        </is>
      </c>
      <c r="B63" s="47" t="inlineStr">
        <is>
          <t>INR/unit</t>
        </is>
      </c>
      <c r="C63" s="59" t="n"/>
      <c r="D63" s="59" t="n"/>
      <c r="E63" s="59" t="n"/>
      <c r="F63" s="59" t="n"/>
      <c r="G63" s="59" t="n"/>
      <c r="H63" s="59" t="n"/>
      <c r="I63" s="60" t="n">
        <v>2.01</v>
      </c>
      <c r="J63" s="60" t="n">
        <v>1.66</v>
      </c>
    </row>
    <row r="64" ht="15" customHeight="1" s="39">
      <c r="A64" s="46" t="inlineStr">
        <is>
          <t xml:space="preserve">  DPU: Dividend</t>
        </is>
      </c>
      <c r="B64" s="47" t="inlineStr">
        <is>
          <t>INR/unit</t>
        </is>
      </c>
      <c r="C64" s="59" t="n"/>
      <c r="D64" s="59" t="n"/>
      <c r="E64" s="59" t="n"/>
      <c r="F64" s="59" t="n"/>
      <c r="G64" s="59" t="n"/>
      <c r="H64" s="59" t="n"/>
      <c r="I64" s="60" t="n">
        <v>0.54</v>
      </c>
      <c r="J64" s="60" t="n">
        <v>0.88</v>
      </c>
    </row>
    <row r="65" ht="15" customHeight="1" s="39">
      <c r="A65" s="46" t="inlineStr">
        <is>
          <t xml:space="preserve">  DPU: Return of capital</t>
        </is>
      </c>
      <c r="B65" s="47" t="inlineStr">
        <is>
          <t>INR/unit</t>
        </is>
      </c>
      <c r="C65" s="59" t="n"/>
      <c r="D65" s="59" t="n"/>
      <c r="E65" s="59" t="n"/>
      <c r="F65" s="59" t="n"/>
      <c r="G65" s="59" t="n"/>
      <c r="H65" s="59" t="n"/>
      <c r="I65" s="60" t="n">
        <v>2.7</v>
      </c>
      <c r="J65" s="60" t="n">
        <v>2.96</v>
      </c>
    </row>
    <row r="66" ht="15" customHeight="1" s="39">
      <c r="A66" s="46" t="inlineStr">
        <is>
          <t xml:space="preserve">  DPU: Other</t>
        </is>
      </c>
      <c r="B66" s="47" t="inlineStr">
        <is>
          <t>INR/unit</t>
        </is>
      </c>
      <c r="C66" s="59" t="n"/>
      <c r="D66" s="59" t="n"/>
      <c r="E66" s="59" t="n"/>
      <c r="F66" s="59" t="n"/>
      <c r="G66" s="59" t="n"/>
      <c r="H66" s="59" t="n"/>
      <c r="I66" s="59" t="n"/>
      <c r="J66" s="59" t="n"/>
    </row>
    <row r="67" ht="15" customHeight="1" s="39">
      <c r="A67" s="69" t="inlineStr">
        <is>
          <t>Debt &amp; leverage profile</t>
        </is>
      </c>
    </row>
    <row r="68" ht="15" customHeight="1" s="39">
      <c r="A68" s="46" t="inlineStr">
        <is>
          <t>Gross Debt - external (banks/NCDs/LRD)</t>
        </is>
      </c>
      <c r="B68" s="47" t="inlineStr">
        <is>
          <t>INR cr</t>
        </is>
      </c>
      <c r="C68" s="48">
        <f>IF(C29="","",C29)</f>
        <v/>
      </c>
      <c r="D68" s="48">
        <f>IF(D29="","",D29)</f>
        <v/>
      </c>
      <c r="E68" s="48">
        <f>IF(E29="","",E29)</f>
        <v/>
      </c>
      <c r="F68" s="48">
        <f>IF(F29="","",F29)</f>
        <v/>
      </c>
      <c r="G68" s="48">
        <f>IF(G29="","",G29)</f>
        <v/>
      </c>
      <c r="H68" s="57" t="n">
        <v>10790</v>
      </c>
      <c r="I68" s="57" t="n">
        <v>11180</v>
      </c>
      <c r="J68" s="57" t="n">
        <v>18840</v>
      </c>
    </row>
    <row r="69" ht="15" customHeight="1" s="39">
      <c r="A69" s="46" t="inlineStr">
        <is>
          <t>Shareholder / unitholder loans (Trust -&gt; SPVs)</t>
        </is>
      </c>
      <c r="B69" s="47" t="inlineStr">
        <is>
          <t>INR cr</t>
        </is>
      </c>
      <c r="C69" s="56" t="n"/>
      <c r="D69" s="56" t="n"/>
      <c r="E69" s="56" t="n"/>
      <c r="F69" s="56" t="n"/>
      <c r="G69" s="56" t="n"/>
      <c r="H69" s="56" t="n"/>
      <c r="I69" s="57" t="n">
        <v>4542.464</v>
      </c>
      <c r="J69" s="57" t="n">
        <v>4407.554</v>
      </c>
    </row>
    <row r="70" ht="15" customHeight="1" s="39">
      <c r="A70" s="46" t="inlineStr">
        <is>
          <t>Cash &amp; Cash Equivalents</t>
        </is>
      </c>
      <c r="B70" s="47" t="inlineStr">
        <is>
          <t>INR cr</t>
        </is>
      </c>
      <c r="C70" s="48">
        <f>IF(N(C30)=0,IF(C30="","",C30),C30)</f>
        <v/>
      </c>
      <c r="D70" s="48">
        <f>IF(N(D30)=0,IF(D30="","",D30),D30)</f>
        <v/>
      </c>
      <c r="E70" s="48">
        <f>IF(N(E30)=0,IF(E30="","",E30),E30)</f>
        <v/>
      </c>
      <c r="F70" s="48">
        <f>IF(N(F30)=0,IF(F30="","",F30),F30)</f>
        <v/>
      </c>
      <c r="G70" s="48">
        <f>IF(N(G30)=0,IF(G30="","",G30),G30)</f>
        <v/>
      </c>
      <c r="H70" s="48">
        <f>IF(N(H30)=0,IF(H30="","",H30),H30)</f>
        <v/>
      </c>
      <c r="I70" s="48">
        <f>IF(N(I30)=0,IF(I30="","",I30),I30)</f>
        <v/>
      </c>
      <c r="J70" s="48">
        <f>IF(N(J30)=0,IF(J30="","",J30),J30)</f>
        <v/>
      </c>
    </row>
    <row r="71" ht="15" customHeight="1" s="39">
      <c r="A71" s="46" t="inlineStr">
        <is>
          <t>Net Debt</t>
        </is>
      </c>
      <c r="B71" s="47" t="inlineStr">
        <is>
          <t>INR cr</t>
        </is>
      </c>
      <c r="C71" s="48">
        <f>IF(N(C31)=0,IF(C31="","",C31),C31)</f>
        <v/>
      </c>
      <c r="D71" s="48">
        <f>IF(N(D31)=0,IF(D31="","",D31),D31)</f>
        <v/>
      </c>
      <c r="E71" s="48">
        <f>IF(N(E31)=0,IF(E31="","",E31),E31)</f>
        <v/>
      </c>
      <c r="F71" s="48">
        <f>IF(N(F31)=0,IF(F31="","",F31),F31)</f>
        <v/>
      </c>
      <c r="G71" s="48">
        <f>IF(N(G31)=0,IF(G31="","",G31),G31)</f>
        <v/>
      </c>
      <c r="H71" s="48">
        <f>IF(N(H31)=0,IF(H31="","",H31),H31)</f>
        <v/>
      </c>
      <c r="I71" s="48">
        <f>IF(N(I31)=0,IF(I31="","",I31),I31)</f>
        <v/>
      </c>
      <c r="J71" s="48">
        <f>IF(N(J31)=0,IF(J31="","",J31),J31)</f>
        <v/>
      </c>
    </row>
    <row r="72" ht="15" customHeight="1" s="39">
      <c r="A72" s="46" t="inlineStr">
        <is>
          <t>Gross Asset Value (GAV)</t>
        </is>
      </c>
      <c r="B72" s="47" t="inlineStr">
        <is>
          <t>INR cr</t>
        </is>
      </c>
      <c r="C72" s="48">
        <f>IF(N(C28)=0,IF(C28="","",C28),C28)</f>
        <v/>
      </c>
      <c r="D72" s="48">
        <f>IF(N(D28)=0,IF(D28="","",D28),D28)</f>
        <v/>
      </c>
      <c r="E72" s="48">
        <f>IF(N(E28)=0,IF(E28="","",E28),E28)</f>
        <v/>
      </c>
      <c r="F72" s="48">
        <f>IF(N(F28)=0,IF(F28="","",F28),F28)</f>
        <v/>
      </c>
      <c r="G72" s="48">
        <f>IF(N(G28)=0,IF(G28="","",G28),G28)</f>
        <v/>
      </c>
      <c r="H72" s="48">
        <f>IF(N(H28)=0,IF(H28="","",H28),H28)</f>
        <v/>
      </c>
      <c r="I72" s="48">
        <f>IF(N(I28)=0,IF(I28="","",I28),I28)</f>
        <v/>
      </c>
      <c r="J72" s="48">
        <f>IF(N(J28)=0,IF(J28="","",J28),J28)</f>
        <v/>
      </c>
    </row>
    <row r="73" ht="15" customHeight="1" s="39">
      <c r="A73" s="46" t="inlineStr">
        <is>
          <t>Loan-to-Value (LTV)</t>
        </is>
      </c>
      <c r="B73" s="47" t="inlineStr">
        <is>
          <t>%</t>
        </is>
      </c>
      <c r="C73" s="49">
        <f>IF(N(C33)=0,IF(C33="","",C33),C33)</f>
        <v/>
      </c>
      <c r="D73" s="49">
        <f>IF(N(D33)=0,IF(D33="","",D33),D33)</f>
        <v/>
      </c>
      <c r="E73" s="49">
        <f>IF(N(E33)=0,IF(E33="","",E33),E33)</f>
        <v/>
      </c>
      <c r="F73" s="49">
        <f>IF(N(F33)=0,IF(F33="","",F33),F33)</f>
        <v/>
      </c>
      <c r="G73" s="49">
        <f>IF(N(G33)=0,IF(G33="","",G33),G33)</f>
        <v/>
      </c>
      <c r="H73" s="49">
        <f>IF(N(H33)=0,IF(H33="","",H33),H33)</f>
        <v/>
      </c>
      <c r="I73" s="49">
        <f>IF(N(I33)=0,IF(I33="","",I33),I33)</f>
        <v/>
      </c>
      <c r="J73" s="49">
        <f>IF(N(J33)=0,IF(J33="","",J33),J33)</f>
        <v/>
      </c>
    </row>
    <row r="74" ht="15" customHeight="1" s="39">
      <c r="A74" s="46" t="inlineStr">
        <is>
          <t>Cost of Debt (wtd avg)</t>
        </is>
      </c>
      <c r="B74" s="47" t="inlineStr">
        <is>
          <t>%</t>
        </is>
      </c>
      <c r="C74" s="49">
        <f>IF(N(C40)=0,IF(C40="","",C40),C40)</f>
        <v/>
      </c>
      <c r="D74" s="49">
        <f>IF(N(D40)=0,IF(D40="","",D40),D40)</f>
        <v/>
      </c>
      <c r="E74" s="49">
        <f>IF(N(E40)=0,IF(E40="","",E40),E40)</f>
        <v/>
      </c>
      <c r="F74" s="49">
        <f>IF(N(F40)=0,IF(F40="","",F40),F40)</f>
        <v/>
      </c>
      <c r="G74" s="49">
        <f>IF(N(G40)=0,IF(G40="","",G40),G40)</f>
        <v/>
      </c>
      <c r="H74" s="49">
        <f>IF(N(H40)=0,IF(H40="","",H40),H40)</f>
        <v/>
      </c>
      <c r="I74" s="49">
        <f>IF(N(I40)=0,IF(I40="","",I40),I40)</f>
        <v/>
      </c>
      <c r="J74" s="49">
        <f>IF(N(J40)=0,IF(J40="","",J40),J40)</f>
        <v/>
      </c>
    </row>
    <row r="75" ht="15" customHeight="1" s="39">
      <c r="A75" s="46" t="inlineStr">
        <is>
          <t>% Floating rate</t>
        </is>
      </c>
      <c r="B75" s="47" t="inlineStr">
        <is>
          <t>%</t>
        </is>
      </c>
      <c r="C75" s="61" t="n"/>
      <c r="D75" s="61" t="n"/>
      <c r="E75" s="61" t="n"/>
      <c r="F75" s="61" t="n"/>
      <c r="G75" s="61" t="n"/>
      <c r="H75" s="62" t="n">
        <v>0.87</v>
      </c>
      <c r="I75" s="62" t="n">
        <v>0.84</v>
      </c>
      <c r="J75" s="62" t="n">
        <v>0.1</v>
      </c>
    </row>
    <row r="76" ht="15" customHeight="1" s="39">
      <c r="A76" s="46" t="inlineStr">
        <is>
          <t>Wtd-avg debt maturity</t>
        </is>
      </c>
      <c r="B76" s="47" t="inlineStr">
        <is>
          <t>years</t>
        </is>
      </c>
      <c r="C76" s="70" t="n"/>
      <c r="D76" s="70" t="n"/>
      <c r="E76" s="70" t="n"/>
      <c r="F76" s="70" t="n"/>
      <c r="G76" s="70" t="n"/>
      <c r="H76" s="63" t="n">
        <v>9</v>
      </c>
      <c r="I76" s="63" t="n">
        <v>10</v>
      </c>
      <c r="J76" s="63" t="n">
        <v>10</v>
      </c>
    </row>
    <row r="77" ht="15" customHeight="1" s="39">
      <c r="A77" s="46" t="inlineStr">
        <is>
          <t>Undrawn debt headroom</t>
        </is>
      </c>
      <c r="B77" s="47" t="inlineStr">
        <is>
          <t>INR cr</t>
        </is>
      </c>
      <c r="C77" s="56" t="n"/>
      <c r="D77" s="56" t="n"/>
      <c r="E77" s="56" t="n"/>
      <c r="F77" s="56" t="n"/>
      <c r="G77" s="56" t="n"/>
      <c r="H77" s="56" t="n"/>
      <c r="I77" s="56" t="n"/>
      <c r="J77" s="57" t="n">
        <v>5000</v>
      </c>
    </row>
    <row r="78" ht="15" customHeight="1" s="39">
      <c r="A78" s="46" t="inlineStr">
        <is>
          <t>Interest cover (NOI / Finance cost)</t>
        </is>
      </c>
      <c r="B78" s="47" t="inlineStr">
        <is>
          <t>x</t>
        </is>
      </c>
      <c r="C78" s="71">
        <f>IF(OR(C13="",N(C17)=0),"",C13/C17)</f>
        <v/>
      </c>
      <c r="D78" s="71">
        <f>IF(OR(D13="",N(D17)=0),"",D13/D17)</f>
        <v/>
      </c>
      <c r="E78" s="71">
        <f>IF(OR(E13="",N(E17)=0),"",E13/E17)</f>
        <v/>
      </c>
      <c r="F78" s="71">
        <f>IF(OR(F13="",N(F17)=0),"",F13/F17)</f>
        <v/>
      </c>
      <c r="G78" s="71">
        <f>IF(OR(G13="",N(G17)=0),"",G13/G17)</f>
        <v/>
      </c>
      <c r="H78" s="71">
        <f>IF(OR(H13="",N(H17)=0),"",H13/H17)</f>
        <v/>
      </c>
      <c r="I78" s="71">
        <f>IF(OR(I13="",N(I17)=0),"",I13/I17)</f>
        <v/>
      </c>
      <c r="J78" s="71">
        <f>IF(OR(J13="",N(J17)=0),"",J13/J17)</f>
        <v/>
      </c>
    </row>
    <row r="79"/>
    <row r="80" ht="15" customHeight="1" s="39">
      <c r="A80" s="43" t="inlineStr">
        <is>
          <t>Distribution-component split is shown where the issuer disclosed it (often per-unit for Q4 only in older years); blanks = not separately disclosed.</t>
        </is>
      </c>
    </row>
  </sheetData>
  <hyperlinks>
    <hyperlink xmlns:r="http://schemas.openxmlformats.org/officeDocument/2006/relationships" ref="E9" display="file:///Users/ishan/Downloads/INDIAN%20REITS/Brookfield/Consolidated_Financials_Q4_FY_2022_e5844487b4.pdf" r:id="rId1"/>
    <hyperlink xmlns:r="http://schemas.openxmlformats.org/officeDocument/2006/relationships" ref="F9" location="page=8" display="file:///Users/ishan/Downloads/INDIAN%20REITS/Brookfield/Consolidated_Financials_Q4_FY_2023_fceec1d25b.pdf#page=8" r:id="rId2"/>
    <hyperlink xmlns:r="http://schemas.openxmlformats.org/officeDocument/2006/relationships" ref="G9" location="page=8" display="file:///Users/ishan/Downloads/INDIAN%20REITS/Brookfield/Consolidated_Financials_Q4_FY_2023_fceec1d25b.pdf#page=8" r:id="rId3"/>
    <hyperlink xmlns:r="http://schemas.openxmlformats.org/officeDocument/2006/relationships" ref="H9" location="page=9" display="file:///Users/ishan/Downloads/INDIAN%20REITS/Brookfield/Consolidated_Financials_Q4_FY_2025_compressed_9c5306468f.pdf#page=9" r:id="rId4"/>
    <hyperlink xmlns:r="http://schemas.openxmlformats.org/officeDocument/2006/relationships" ref="I9" location="page=5" display="file:///Users/ishan/Downloads/INDIAN%20REITS/Brookfield/Consolidated_Financial_Results_Q4_2026_065e5df741.pdf#page=5" r:id="rId5"/>
    <hyperlink xmlns:r="http://schemas.openxmlformats.org/officeDocument/2006/relationships" ref="J9" location="page=5" display="file:///Users/ishan/Downloads/INDIAN%20REITS/Brookfield/Consolidated_Financial_Results_Q4_2026_065e5df741.pdf#page=5" r:id="rId6"/>
    <hyperlink xmlns:r="http://schemas.openxmlformats.org/officeDocument/2006/relationships" ref="E10" display="file:///Users/ishan/Downloads/INDIAN%20REITS/Brookfield/Consolidated_Financials_Q4_FY_2022_e5844487b4.pdf" r:id="rId7"/>
    <hyperlink xmlns:r="http://schemas.openxmlformats.org/officeDocument/2006/relationships" ref="F10" location="page=8" display="file:///Users/ishan/Downloads/INDIAN%20REITS/Brookfield/Consolidated_Financials_Q4_FY_2023_fceec1d25b.pdf#page=8" r:id="rId8"/>
    <hyperlink xmlns:r="http://schemas.openxmlformats.org/officeDocument/2006/relationships" ref="G10" location="page=8" display="file:///Users/ishan/Downloads/INDIAN%20REITS/Brookfield/Consolidated_Financials_Q4_FY_2023_fceec1d25b.pdf#page=8" r:id="rId9"/>
    <hyperlink xmlns:r="http://schemas.openxmlformats.org/officeDocument/2006/relationships" ref="H10" location="page=9" display="file:///Users/ishan/Downloads/INDIAN%20REITS/Brookfield/Consolidated_Financials_Q4_FY_2025_compressed_9c5306468f.pdf#page=9" r:id="rId10"/>
    <hyperlink xmlns:r="http://schemas.openxmlformats.org/officeDocument/2006/relationships" ref="I10" location="page=5" display="file:///Users/ishan/Downloads/INDIAN%20REITS/Brookfield/Consolidated_Financial_Results_Q4_2026_065e5df741.pdf#page=5" r:id="rId11"/>
    <hyperlink xmlns:r="http://schemas.openxmlformats.org/officeDocument/2006/relationships" ref="J10" location="page=5" display="file:///Users/ishan/Downloads/INDIAN%20REITS/Brookfield/Consolidated_Financial_Results_Q4_2026_065e5df741.pdf#page=5" r:id="rId12"/>
    <hyperlink xmlns:r="http://schemas.openxmlformats.org/officeDocument/2006/relationships" ref="N10" location="page=7" display="file:///Users/ishan/Downloads/INDIAN%20REITS/Brookfield/Standalone_Financials_Q4_FY_2022_7e3fb593b5.pdf#page=7" r:id="rId13"/>
    <hyperlink xmlns:r="http://schemas.openxmlformats.org/officeDocument/2006/relationships" ref="O10" location="page=6" display="file:///Users/ishan/Downloads/INDIAN%20REITS/Brookfield/Standalone_Financials_Q4_FY_2023_9aedac0735.pdf#page=6" r:id="rId14"/>
    <hyperlink xmlns:r="http://schemas.openxmlformats.org/officeDocument/2006/relationships" ref="P10" location="page=6" display="file:///Users/ishan/Downloads/INDIAN%20REITS/Brookfield/Standalone_Financials_Q4_FY_2023_9aedac0735.pdf#page=6" r:id="rId15"/>
    <hyperlink xmlns:r="http://schemas.openxmlformats.org/officeDocument/2006/relationships" ref="Q10" location="page=7" display="file:///Users/ishan/Downloads/INDIAN%20REITS/Brookfield/Standalone_Financials_Q4_FY_2025_2b04742815.pdf#page=7" r:id="rId16"/>
    <hyperlink xmlns:r="http://schemas.openxmlformats.org/officeDocument/2006/relationships" ref="R10" location="page=5" display="file:///Users/ishan/Downloads/INDIAN%20REITS/Brookfield/Standalone_Financial_Results_Q4_2026_56f6d86d3a.pdf#page=5" r:id="rId17"/>
    <hyperlink xmlns:r="http://schemas.openxmlformats.org/officeDocument/2006/relationships" ref="S10" location="page=5" display="file:///Users/ishan/Downloads/INDIAN%20REITS/Brookfield/Standalone_Financial_Results_Q4_2026_56f6d86d3a.pdf#page=5" r:id="rId18"/>
    <hyperlink xmlns:r="http://schemas.openxmlformats.org/officeDocument/2006/relationships" ref="E13" location="page=45" display="file:///Users/ishan/Downloads/INDIAN%20REITS/Brookfield/Earning_Presentation_Q4_FY_2022_ae3f3543f8.pdf#page=45" r:id="rId19"/>
    <hyperlink xmlns:r="http://schemas.openxmlformats.org/officeDocument/2006/relationships" ref="F13" location="page=45" display="file:///Users/ishan/Downloads/INDIAN%20REITS/Brookfield/Earning_Presentation_Q4_FY_2022_ae3f3543f8.pdf#page=45" r:id="rId20"/>
    <hyperlink xmlns:r="http://schemas.openxmlformats.org/officeDocument/2006/relationships" ref="G13" location="page=22" display="file:///Users/ishan/Downloads/INDIAN%20REITS/Brookfield/Earnings_Presentation_Q4_FY_2023_15c9463f7e.pdf#page=22" r:id="rId21"/>
    <hyperlink xmlns:r="http://schemas.openxmlformats.org/officeDocument/2006/relationships" ref="H13" location="page=21" display="file:///Users/ishan/Downloads/INDIAN%20REITS/Brookfield/Earning_Presentation_Q42024_63c5a9d394.pdf#page=21" r:id="rId22"/>
    <hyperlink xmlns:r="http://schemas.openxmlformats.org/officeDocument/2006/relationships" ref="I13" location="page=43" display="file:///Users/ishan/Downloads/INDIAN%20REITS/Brookfield/Consolidated_Financial_Results_Q4_2026_065e5df741.pdf#page=43" r:id="rId23"/>
    <hyperlink xmlns:r="http://schemas.openxmlformats.org/officeDocument/2006/relationships" ref="J13" location="page=43" display="file:///Users/ishan/Downloads/INDIAN%20REITS/Brookfield/Consolidated_Financial_Results_Q4_2026_065e5df741.pdf#page=43" r:id="rId24"/>
    <hyperlink xmlns:r="http://schemas.openxmlformats.org/officeDocument/2006/relationships" ref="F15" location="page=8" display="file:///Users/ishan/Downloads/INDIAN%20REITS/Brookfield/Consolidated_Financials_Q4_FY_2023_fceec1d25b.pdf#page=8" r:id="rId25"/>
    <hyperlink xmlns:r="http://schemas.openxmlformats.org/officeDocument/2006/relationships" ref="G15" location="page=8" display="file:///Users/ishan/Downloads/INDIAN%20REITS/Brookfield/Consolidated_Financials_Q4_FY_2023_fceec1d25b.pdf#page=8" r:id="rId26"/>
    <hyperlink xmlns:r="http://schemas.openxmlformats.org/officeDocument/2006/relationships" ref="H15" location="page=24" display="file:///Users/ishan/Downloads/INDIAN%20REITS/Brookfield/Earning_Presentation_Q42024_63c5a9d394.pdf#page=24" r:id="rId27"/>
    <hyperlink xmlns:r="http://schemas.openxmlformats.org/officeDocument/2006/relationships" ref="I15" location="page=21" display="file:///Users/ishan/Downloads/INDIAN%20REITS/Brookfield/Earning_Presentation_Q4_FY_2025_363e49a9d9.pdf#page=21" r:id="rId28"/>
    <hyperlink xmlns:r="http://schemas.openxmlformats.org/officeDocument/2006/relationships" ref="J15" display="file:///Users/ishan/Downloads/INDIAN%20REITS/Brookfield/BIRET_Q4_FY_2026_Investor_Presentation_d39ed0af9f.pdf" r:id="rId29"/>
    <hyperlink xmlns:r="http://schemas.openxmlformats.org/officeDocument/2006/relationships" ref="E17" display="file:///Users/ishan/Downloads/INDIAN%20REITS/Brookfield/Consolidated_Financials_Q4_FY_2022_e5844487b4.pdf" r:id="rId30"/>
    <hyperlink xmlns:r="http://schemas.openxmlformats.org/officeDocument/2006/relationships" ref="F17" location="page=8" display="file:///Users/ishan/Downloads/INDIAN%20REITS/Brookfield/Consolidated_Financials_Q4_FY_2023_fceec1d25b.pdf#page=8" r:id="rId31"/>
    <hyperlink xmlns:r="http://schemas.openxmlformats.org/officeDocument/2006/relationships" ref="G17" location="page=8" display="file:///Users/ishan/Downloads/INDIAN%20REITS/Brookfield/Consolidated_Financials_Q4_FY_2023_fceec1d25b.pdf#page=8" r:id="rId32"/>
    <hyperlink xmlns:r="http://schemas.openxmlformats.org/officeDocument/2006/relationships" ref="H17" location="page=9" display="file:///Users/ishan/Downloads/INDIAN%20REITS/Brookfield/Consolidated_Financials_Q4_FY_2025_compressed_9c5306468f.pdf#page=9" r:id="rId33"/>
    <hyperlink xmlns:r="http://schemas.openxmlformats.org/officeDocument/2006/relationships" ref="I17" location="page=5" display="file:///Users/ishan/Downloads/INDIAN%20REITS/Brookfield/Consolidated_Financial_Results_Q4_2026_065e5df741.pdf#page=5" r:id="rId34"/>
    <hyperlink xmlns:r="http://schemas.openxmlformats.org/officeDocument/2006/relationships" ref="J17" location="page=5" display="file:///Users/ishan/Downloads/INDIAN%20REITS/Brookfield/Consolidated_Financial_Results_Q4_2026_065e5df741.pdf#page=5" r:id="rId35"/>
    <hyperlink xmlns:r="http://schemas.openxmlformats.org/officeDocument/2006/relationships" ref="Q17" location="page=7" display="file:///Users/ishan/Downloads/INDIAN%20REITS/Brookfield/Standalone_Financials_Q4_FY_2025_2b04742815.pdf#page=7" r:id="rId36"/>
    <hyperlink xmlns:r="http://schemas.openxmlformats.org/officeDocument/2006/relationships" ref="R17" location="page=5" display="file:///Users/ishan/Downloads/INDIAN%20REITS/Brookfield/Standalone_Financial_Results_Q4_2026_56f6d86d3a.pdf#page=5" r:id="rId37"/>
    <hyperlink xmlns:r="http://schemas.openxmlformats.org/officeDocument/2006/relationships" ref="S17" location="page=5" display="file:///Users/ishan/Downloads/INDIAN%20REITS/Brookfield/Standalone_Financial_Results_Q4_2026_56f6d86d3a.pdf#page=5" r:id="rId38"/>
    <hyperlink xmlns:r="http://schemas.openxmlformats.org/officeDocument/2006/relationships" ref="E18" display="file:///Users/ishan/Downloads/INDIAN%20REITS/Brookfield/Consolidated_Financials_Q4_FY_2022_e5844487b4.pdf" r:id="rId39"/>
    <hyperlink xmlns:r="http://schemas.openxmlformats.org/officeDocument/2006/relationships" ref="F18" location="page=8" display="file:///Users/ishan/Downloads/INDIAN%20REITS/Brookfield/Consolidated_Financials_Q4_FY_2023_fceec1d25b.pdf#page=8" r:id="rId40"/>
    <hyperlink xmlns:r="http://schemas.openxmlformats.org/officeDocument/2006/relationships" ref="G18" location="page=8" display="file:///Users/ishan/Downloads/INDIAN%20REITS/Brookfield/Consolidated_Financials_Q4_FY_2023_fceec1d25b.pdf#page=8" r:id="rId41"/>
    <hyperlink xmlns:r="http://schemas.openxmlformats.org/officeDocument/2006/relationships" ref="H18" location="page=9" display="file:///Users/ishan/Downloads/INDIAN%20REITS/Brookfield/Consolidated_Financials_Q4_FY_2025_compressed_9c5306468f.pdf#page=9" r:id="rId42"/>
    <hyperlink xmlns:r="http://schemas.openxmlformats.org/officeDocument/2006/relationships" ref="I18" location="page=5" display="file:///Users/ishan/Downloads/INDIAN%20REITS/Brookfield/Consolidated_Financial_Results_Q4_2026_065e5df741.pdf#page=5" r:id="rId43"/>
    <hyperlink xmlns:r="http://schemas.openxmlformats.org/officeDocument/2006/relationships" ref="J18" location="page=5" display="file:///Users/ishan/Downloads/INDIAN%20REITS/Brookfield/Consolidated_Financial_Results_Q4_2026_065e5df741.pdf#page=5" r:id="rId44"/>
    <hyperlink xmlns:r="http://schemas.openxmlformats.org/officeDocument/2006/relationships" ref="E19" display="file:///Users/ishan/Downloads/INDIAN%20REITS/Brookfield/Consolidated_Financials_Q4_FY_2022_e5844487b4.pdf" r:id="rId45"/>
    <hyperlink xmlns:r="http://schemas.openxmlformats.org/officeDocument/2006/relationships" ref="F19" location="page=8" display="file:///Users/ishan/Downloads/INDIAN%20REITS/Brookfield/Consolidated_Financials_Q4_FY_2023_fceec1d25b.pdf#page=8" r:id="rId46"/>
    <hyperlink xmlns:r="http://schemas.openxmlformats.org/officeDocument/2006/relationships" ref="G19" location="page=8" display="file:///Users/ishan/Downloads/INDIAN%20REITS/Brookfield/Consolidated_Financials_Q4_FY_2023_fceec1d25b.pdf#page=8" r:id="rId47"/>
    <hyperlink xmlns:r="http://schemas.openxmlformats.org/officeDocument/2006/relationships" ref="H19" location="page=9" display="file:///Users/ishan/Downloads/INDIAN%20REITS/Brookfield/Consolidated_Financials_Q4_FY_2025_compressed_9c5306468f.pdf#page=9" r:id="rId48"/>
    <hyperlink xmlns:r="http://schemas.openxmlformats.org/officeDocument/2006/relationships" ref="I19" location="page=5" display="file:///Users/ishan/Downloads/INDIAN%20REITS/Brookfield/Consolidated_Financial_Results_Q4_2026_065e5df741.pdf#page=5" r:id="rId49"/>
    <hyperlink xmlns:r="http://schemas.openxmlformats.org/officeDocument/2006/relationships" ref="J19" location="page=5" display="file:///Users/ishan/Downloads/INDIAN%20REITS/Brookfield/Consolidated_Financial_Results_Q4_2026_065e5df741.pdf#page=5" r:id="rId50"/>
    <hyperlink xmlns:r="http://schemas.openxmlformats.org/officeDocument/2006/relationships" ref="N19" location="page=7" display="file:///Users/ishan/Downloads/INDIAN%20REITS/Brookfield/Standalone_Financials_Q4_FY_2022_7e3fb593b5.pdf#page=7" r:id="rId51"/>
    <hyperlink xmlns:r="http://schemas.openxmlformats.org/officeDocument/2006/relationships" ref="O19" location="page=6" display="file:///Users/ishan/Downloads/INDIAN%20REITS/Brookfield/Standalone_Financials_Q4_FY_2023_9aedac0735.pdf#page=6" r:id="rId52"/>
    <hyperlink xmlns:r="http://schemas.openxmlformats.org/officeDocument/2006/relationships" ref="P19" location="page=6" display="file:///Users/ishan/Downloads/INDIAN%20REITS/Brookfield/Standalone_Financials_Q4_FY_2023_9aedac0735.pdf#page=6" r:id="rId53"/>
    <hyperlink xmlns:r="http://schemas.openxmlformats.org/officeDocument/2006/relationships" ref="Q19" location="page=7" display="file:///Users/ishan/Downloads/INDIAN%20REITS/Brookfield/Standalone_Financials_Q4_FY_2025_2b04742815.pdf#page=7" r:id="rId54"/>
    <hyperlink xmlns:r="http://schemas.openxmlformats.org/officeDocument/2006/relationships" ref="R19" location="page=5" display="file:///Users/ishan/Downloads/INDIAN%20REITS/Brookfield/Standalone_Financial_Results_Q4_2026_56f6d86d3a.pdf#page=5" r:id="rId55"/>
    <hyperlink xmlns:r="http://schemas.openxmlformats.org/officeDocument/2006/relationships" ref="S19" location="page=5" display="file:///Users/ishan/Downloads/INDIAN%20REITS/Brookfield/Standalone_Financial_Results_Q4_2026_56f6d86d3a.pdf#page=5" r:id="rId56"/>
    <hyperlink xmlns:r="http://schemas.openxmlformats.org/officeDocument/2006/relationships" ref="E20" display="file:///Users/ishan/Downloads/INDIAN%20REITS/Brookfield/Consolidated_Financials_Q4_FY_2022_e5844487b4.pdf" r:id="rId57"/>
    <hyperlink xmlns:r="http://schemas.openxmlformats.org/officeDocument/2006/relationships" ref="F20" location="page=8" display="file:///Users/ishan/Downloads/INDIAN%20REITS/Brookfield/Consolidated_Financials_Q4_FY_2023_fceec1d25b.pdf#page=8" r:id="rId58"/>
    <hyperlink xmlns:r="http://schemas.openxmlformats.org/officeDocument/2006/relationships" ref="G20" location="page=8" display="file:///Users/ishan/Downloads/INDIAN%20REITS/Brookfield/Consolidated_Financials_Q4_FY_2023_fceec1d25b.pdf#page=8" r:id="rId59"/>
    <hyperlink xmlns:r="http://schemas.openxmlformats.org/officeDocument/2006/relationships" ref="H20" location="page=9" display="file:///Users/ishan/Downloads/INDIAN%20REITS/Brookfield/Consolidated_Financials_Q4_FY_2025_compressed_9c5306468f.pdf#page=9" r:id="rId60"/>
    <hyperlink xmlns:r="http://schemas.openxmlformats.org/officeDocument/2006/relationships" ref="I20" location="page=5" display="file:///Users/ishan/Downloads/INDIAN%20REITS/Brookfield/Consolidated_Financial_Results_Q4_2026_065e5df741.pdf#page=5" r:id="rId61"/>
    <hyperlink xmlns:r="http://schemas.openxmlformats.org/officeDocument/2006/relationships" ref="J20" location="page=5" display="file:///Users/ishan/Downloads/INDIAN%20REITS/Brookfield/Consolidated_Financial_Results_Q4_2026_065e5df741.pdf#page=5" r:id="rId62"/>
    <hyperlink xmlns:r="http://schemas.openxmlformats.org/officeDocument/2006/relationships" ref="N20" location="page=7" display="file:///Users/ishan/Downloads/INDIAN%20REITS/Brookfield/Standalone_Financials_Q4_FY_2022_7e3fb593b5.pdf#page=7" r:id="rId63"/>
    <hyperlink xmlns:r="http://schemas.openxmlformats.org/officeDocument/2006/relationships" ref="O20" location="page=6" display="file:///Users/ishan/Downloads/INDIAN%20REITS/Brookfield/Standalone_Financials_Q4_FY_2023_9aedac0735.pdf#page=6" r:id="rId64"/>
    <hyperlink xmlns:r="http://schemas.openxmlformats.org/officeDocument/2006/relationships" ref="P20" location="page=6" display="file:///Users/ishan/Downloads/INDIAN%20REITS/Brookfield/Standalone_Financials_Q4_FY_2023_9aedac0735.pdf#page=6" r:id="rId65"/>
    <hyperlink xmlns:r="http://schemas.openxmlformats.org/officeDocument/2006/relationships" ref="Q20" location="page=7" display="file:///Users/ishan/Downloads/INDIAN%20REITS/Brookfield/Standalone_Financials_Q4_FY_2025_2b04742815.pdf#page=7" r:id="rId66"/>
    <hyperlink xmlns:r="http://schemas.openxmlformats.org/officeDocument/2006/relationships" ref="R20" location="page=5" display="file:///Users/ishan/Downloads/INDIAN%20REITS/Brookfield/Standalone_Financial_Results_Q4_2026_56f6d86d3a.pdf#page=5" r:id="rId67"/>
    <hyperlink xmlns:r="http://schemas.openxmlformats.org/officeDocument/2006/relationships" ref="S20" location="page=5" display="file:///Users/ishan/Downloads/INDIAN%20REITS/Brookfield/Standalone_Financial_Results_Q4_2026_56f6d86d3a.pdf#page=5" r:id="rId68"/>
    <hyperlink xmlns:r="http://schemas.openxmlformats.org/officeDocument/2006/relationships" ref="F23" display="file:///Users/ishan/Downloads/INDIAN%20REITS/Brookfield/Standalone_Financials_Q4_FY_2023_9aedac0735.pdf" r:id="rId69"/>
    <hyperlink xmlns:r="http://schemas.openxmlformats.org/officeDocument/2006/relationships" ref="G23" display="file:///Users/ishan/Downloads/INDIAN%20REITS/Brookfield/Standalone_Financials_Q4_FY_2023_9aedac0735.pdf" r:id="rId70"/>
    <hyperlink xmlns:r="http://schemas.openxmlformats.org/officeDocument/2006/relationships" ref="H23" location="page=16" display="file:///Users/ishan/Downloads/INDIAN%20REITS/Brookfield/Consolidated_Financials_Q4_FY_2025_compressed_9c5306468f.pdf#page=16" r:id="rId71"/>
    <hyperlink xmlns:r="http://schemas.openxmlformats.org/officeDocument/2006/relationships" ref="I23" location="page=19" display="file:///Users/ishan/Downloads/INDIAN%20REITS/Brookfield/Consolidated_Financial_Results_Q4_2026_065e5df741.pdf#page=19" r:id="rId72"/>
    <hyperlink xmlns:r="http://schemas.openxmlformats.org/officeDocument/2006/relationships" ref="J23" location="page=19" display="file:///Users/ishan/Downloads/INDIAN%20REITS/Brookfield/Consolidated_Financial_Results_Q4_2026_065e5df741.pdf#page=19" r:id="rId73"/>
    <hyperlink xmlns:r="http://schemas.openxmlformats.org/officeDocument/2006/relationships" ref="F24" display="file:///Users/ishan/Downloads/INDIAN%20REITS/Brookfield/Earning_Presentation_Q4_FY_2022_ae3f3543f8.pdf" r:id="rId74"/>
    <hyperlink xmlns:r="http://schemas.openxmlformats.org/officeDocument/2006/relationships" ref="G24" display="file:///Users/ishan/Downloads/INDIAN%20REITS/Brookfield/Standalone_Financials_Q4_FY_2023_9aedac0735.pdf" r:id="rId75"/>
    <hyperlink xmlns:r="http://schemas.openxmlformats.org/officeDocument/2006/relationships" ref="H24" location="page=25" display="file:///Users/ishan/Downloads/INDIAN%20REITS/Brookfield/Earning_Presentation_Q42024_63c5a9d394.pdf#page=25" r:id="rId76"/>
    <hyperlink xmlns:r="http://schemas.openxmlformats.org/officeDocument/2006/relationships" ref="I24" location="page=10" display="file:///Users/ishan/Downloads/INDIAN%20REITS/Brookfield/Standalone_Financials_Q4_FY_2025_2b04742815.pdf#page=10" r:id="rId77"/>
    <hyperlink xmlns:r="http://schemas.openxmlformats.org/officeDocument/2006/relationships" ref="J24" location="page=19" display="file:///Users/ishan/Downloads/INDIAN%20REITS/Brookfield/Consolidated_Financial_Results_Q4_2026_065e5df741.pdf#page=19" r:id="rId78"/>
    <hyperlink xmlns:r="http://schemas.openxmlformats.org/officeDocument/2006/relationships" ref="F25" location="page=1" display="file:///Users/ishan/Downloads/INDIAN%20REITS/Brookfield/Earning_Presentation_Q4_FY_2022_ae3f3543f8.pdf#page=1" r:id="rId79"/>
    <hyperlink xmlns:r="http://schemas.openxmlformats.org/officeDocument/2006/relationships" ref="G25" display="file:///Users/ishan/Downloads/INDIAN%20REITS/Brookfield/Standalone_Financials_Q4_FY_2023_9aedac0735.pdf" r:id="rId80"/>
    <hyperlink xmlns:r="http://schemas.openxmlformats.org/officeDocument/2006/relationships" ref="H25" location="page=25" display="file:///Users/ishan/Downloads/INDIAN%20REITS/Brookfield/Earning_Presentation_Q42024_63c5a9d394.pdf#page=25" r:id="rId81"/>
    <hyperlink xmlns:r="http://schemas.openxmlformats.org/officeDocument/2006/relationships" ref="I25" location="page=43" display="file:///Users/ishan/Downloads/INDIAN%20REITS/Brookfield/Consolidated_Financial_Results_Q4_2026_065e5df741.pdf#page=43" r:id="rId82"/>
    <hyperlink xmlns:r="http://schemas.openxmlformats.org/officeDocument/2006/relationships" ref="J25" location="page=43" display="file:///Users/ishan/Downloads/INDIAN%20REITS/Brookfield/Consolidated_Financial_Results_Q4_2026_065e5df741.pdf#page=43" r:id="rId83"/>
    <hyperlink xmlns:r="http://schemas.openxmlformats.org/officeDocument/2006/relationships" ref="E28" display="file:///Users/ishan/Downloads/INDIAN%20REITS/Brookfield/Earning_Presentation_Q4_FY_2022_ae3f3543f8.pdf" r:id="rId84"/>
    <hyperlink xmlns:r="http://schemas.openxmlformats.org/officeDocument/2006/relationships" ref="F28" location="page=3" display="file:///Users/ishan/Downloads/INDIAN%20REITS/Brookfield/Earning_Presentation_Q4_FY_2022_ae3f3543f8.pdf#page=3" r:id="rId85"/>
    <hyperlink xmlns:r="http://schemas.openxmlformats.org/officeDocument/2006/relationships" ref="G28" location="page=3" display="file:///Users/ishan/Downloads/INDIAN%20REITS/Brookfield/Earnings_Presentation_Q4_FY_2023_15c9463f7e.pdf#page=3" r:id="rId86"/>
    <hyperlink xmlns:r="http://schemas.openxmlformats.org/officeDocument/2006/relationships" ref="J28" location="page=13" display="file:///Users/ishan/Downloads/INDIAN%20REITS/Brookfield/Summary_Valuation_Report_FY_2026_8284e7236d.pdf#page=13" r:id="rId87"/>
    <hyperlink xmlns:r="http://schemas.openxmlformats.org/officeDocument/2006/relationships" ref="E29" display="file:///Users/ishan/Downloads/INDIAN%20REITS/Brookfield/Consolidated_Financials_Q4_FY_2022_e5844487b4.pdf" r:id="rId88"/>
    <hyperlink xmlns:r="http://schemas.openxmlformats.org/officeDocument/2006/relationships" ref="F29" display="file:///Users/ishan/Downloads/INDIAN%20REITS/Brookfield/Consolidated_Financials_Q4_FY_2022_e5844487b4.pdf" r:id="rId89"/>
    <hyperlink xmlns:r="http://schemas.openxmlformats.org/officeDocument/2006/relationships" ref="G29" location="page=6" display="file:///Users/ishan/Downloads/INDIAN%20REITS/Brookfield/Consolidated_Financials_Q4_FY_2023_fceec1d25b.pdf#page=6" r:id="rId90"/>
    <hyperlink xmlns:r="http://schemas.openxmlformats.org/officeDocument/2006/relationships" ref="H29" location="page=66" display="file:///Users/ishan/Downloads/INDIAN%20REITS/Brookfield/Consolidated_Financials_Q4_FY_2025_compressed_9c5306468f.pdf#page=66" r:id="rId91"/>
    <hyperlink xmlns:r="http://schemas.openxmlformats.org/officeDocument/2006/relationships" ref="I29" location="page=45" display="file:///Users/ishan/Downloads/INDIAN%20REITS/Brookfield/Consolidated_Financial_Results_Q4_2026_065e5df741.pdf#page=45" r:id="rId92"/>
    <hyperlink xmlns:r="http://schemas.openxmlformats.org/officeDocument/2006/relationships" ref="J29" location="page=45" display="file:///Users/ishan/Downloads/INDIAN%20REITS/Brookfield/Consolidated_Financial_Results_Q4_2026_065e5df741.pdf#page=45" r:id="rId93"/>
    <hyperlink xmlns:r="http://schemas.openxmlformats.org/officeDocument/2006/relationships" ref="N29" location="page=6" display="file:///Users/ishan/Downloads/INDIAN%20REITS/Brookfield/Standalone_Financials_Q4_FY_2022_7e3fb593b5.pdf#page=6" r:id="rId94"/>
    <hyperlink xmlns:r="http://schemas.openxmlformats.org/officeDocument/2006/relationships" ref="O29" location="page=5" display="file:///Users/ishan/Downloads/INDIAN%20REITS/Brookfield/Standalone_Financials_Q4_FY_2023_9aedac0735.pdf#page=5" r:id="rId95"/>
    <hyperlink xmlns:r="http://schemas.openxmlformats.org/officeDocument/2006/relationships" ref="P29" location="page=5" display="file:///Users/ishan/Downloads/INDIAN%20REITS/Brookfield/Standalone_Financials_Q4_FY_2023_9aedac0735.pdf#page=5" r:id="rId96"/>
    <hyperlink xmlns:r="http://schemas.openxmlformats.org/officeDocument/2006/relationships" ref="Q29" location="page=41" display="file:///Users/ishan/Downloads/INDIAN%20REITS/Brookfield/Standalone_Financials_Q4_FY_2025_2b04742815.pdf#page=41" r:id="rId97"/>
    <hyperlink xmlns:r="http://schemas.openxmlformats.org/officeDocument/2006/relationships" ref="R29" location="page=34" display="file:///Users/ishan/Downloads/INDIAN%20REITS/Brookfield/Standalone_Financials_Q4_FY_2025_2b04742815.pdf#page=34" r:id="rId98"/>
    <hyperlink xmlns:r="http://schemas.openxmlformats.org/officeDocument/2006/relationships" ref="S29" location="page=6" display="file:///Users/ishan/Downloads/INDIAN%20REITS/Brookfield/Standalone_Financial_Results_Q4_2026_56f6d86d3a.pdf#page=6" r:id="rId99"/>
    <hyperlink xmlns:r="http://schemas.openxmlformats.org/officeDocument/2006/relationships" ref="H30" location="page=7" display="file:///Users/ishan/Downloads/INDIAN%20REITS/Brookfield/Consolidated_Financials_Q4_FY_2025_compressed_9c5306468f.pdf#page=7" r:id="rId100"/>
    <hyperlink xmlns:r="http://schemas.openxmlformats.org/officeDocument/2006/relationships" ref="I30" location="page=6" display="file:///Users/ishan/Downloads/INDIAN%20REITS/Brookfield/Consolidated_Financial_Results_Q4_2026_065e5df741.pdf#page=6" r:id="rId101"/>
    <hyperlink xmlns:r="http://schemas.openxmlformats.org/officeDocument/2006/relationships" ref="J30" location="page=6" display="file:///Users/ishan/Downloads/INDIAN%20REITS/Brookfield/Consolidated_Financial_Results_Q4_2026_065e5df741.pdf#page=6" r:id="rId102"/>
    <hyperlink xmlns:r="http://schemas.openxmlformats.org/officeDocument/2006/relationships" ref="Q30" location="page=6" display="file:///Users/ishan/Downloads/INDIAN%20REITS/Brookfield/Standalone_Financials_Q4_FY_2025_2b04742815.pdf#page=6" r:id="rId103"/>
    <hyperlink xmlns:r="http://schemas.openxmlformats.org/officeDocument/2006/relationships" ref="R30" location="page=6" display="file:///Users/ishan/Downloads/INDIAN%20REITS/Brookfield/Standalone_Financials_Q4_FY_2025_2b04742815.pdf#page=6" r:id="rId104"/>
    <hyperlink xmlns:r="http://schemas.openxmlformats.org/officeDocument/2006/relationships" ref="S30" location="page=6" display="file:///Users/ishan/Downloads/INDIAN%20REITS/Brookfield/Standalone_Financial_Results_Q4_2026_56f6d86d3a.pdf#page=6" r:id="rId105"/>
    <hyperlink xmlns:r="http://schemas.openxmlformats.org/officeDocument/2006/relationships" ref="E32" display="file:///Users/ishan/Downloads/INDIAN%20REITS/Brookfield/Consolidated_Financials_Q4_FY_2022_e5844487b4.pdf" r:id="rId106"/>
    <hyperlink xmlns:r="http://schemas.openxmlformats.org/officeDocument/2006/relationships" ref="F32" display="file:///Users/ishan/Downloads/INDIAN%20REITS/Brookfield/Consolidated_Financials_Q4_FY_2022_e5844487b4.pdf" r:id="rId107"/>
    <hyperlink xmlns:r="http://schemas.openxmlformats.org/officeDocument/2006/relationships" ref="G32" location="page=6" display="file:///Users/ishan/Downloads/INDIAN%20REITS/Brookfield/Consolidated_Financials_Q4_FY_2023_fceec1d25b.pdf#page=6" r:id="rId108"/>
    <hyperlink xmlns:r="http://schemas.openxmlformats.org/officeDocument/2006/relationships" ref="H32" location="page=7" display="file:///Users/ishan/Downloads/INDIAN%20REITS/Brookfield/Consolidated_Financials_Q4_FY_2025_compressed_9c5306468f.pdf#page=7" r:id="rId109"/>
    <hyperlink xmlns:r="http://schemas.openxmlformats.org/officeDocument/2006/relationships" ref="I32" location="page=6" display="file:///Users/ishan/Downloads/INDIAN%20REITS/Brookfield/Consolidated_Financial_Results_Q4_2026_065e5df741.pdf#page=6" r:id="rId110"/>
    <hyperlink xmlns:r="http://schemas.openxmlformats.org/officeDocument/2006/relationships" ref="J32" location="page=6" display="file:///Users/ishan/Downloads/INDIAN%20REITS/Brookfield/Consolidated_Financial_Results_Q4_2026_065e5df741.pdf#page=6" r:id="rId111"/>
    <hyperlink xmlns:r="http://schemas.openxmlformats.org/officeDocument/2006/relationships" ref="N32" location="page=6" display="file:///Users/ishan/Downloads/INDIAN%20REITS/Brookfield/Standalone_Financials_Q4_FY_2022_7e3fb593b5.pdf#page=6" r:id="rId112"/>
    <hyperlink xmlns:r="http://schemas.openxmlformats.org/officeDocument/2006/relationships" ref="O32" location="page=5" display="file:///Users/ishan/Downloads/INDIAN%20REITS/Brookfield/Standalone_Financials_Q4_FY_2023_9aedac0735.pdf#page=5" r:id="rId113"/>
    <hyperlink xmlns:r="http://schemas.openxmlformats.org/officeDocument/2006/relationships" ref="P32" location="page=5" display="file:///Users/ishan/Downloads/INDIAN%20REITS/Brookfield/Standalone_Financials_Q4_FY_2023_9aedac0735.pdf#page=5" r:id="rId114"/>
    <hyperlink xmlns:r="http://schemas.openxmlformats.org/officeDocument/2006/relationships" ref="Q32" location="page=6" display="file:///Users/ishan/Downloads/INDIAN%20REITS/Brookfield/Standalone_Financials_Q4_FY_2025_2b04742815.pdf#page=6" r:id="rId115"/>
    <hyperlink xmlns:r="http://schemas.openxmlformats.org/officeDocument/2006/relationships" ref="R32" location="page=6" display="file:///Users/ishan/Downloads/INDIAN%20REITS/Brookfield/Standalone_Financials_Q4_FY_2025_2b04742815.pdf#page=6" r:id="rId116"/>
    <hyperlink xmlns:r="http://schemas.openxmlformats.org/officeDocument/2006/relationships" ref="S32" location="page=6" display="file:///Users/ishan/Downloads/INDIAN%20REITS/Brookfield/Standalone_Financial_Results_Q4_2026_56f6d86d3a.pdf#page=6" r:id="rId117"/>
    <hyperlink xmlns:r="http://schemas.openxmlformats.org/officeDocument/2006/relationships" ref="E34" display="file:///Users/ishan/Downloads/INDIAN%20REITS/Brookfield/Consolidated_Financials_Q4_FY_2022_e5844487b4.pdf" r:id="rId118"/>
    <hyperlink xmlns:r="http://schemas.openxmlformats.org/officeDocument/2006/relationships" ref="F34" display="file:///Users/ishan/Downloads/INDIAN%20REITS/Brookfield/Consolidated_Financials_Q4_FY_2023_fceec1d25b.pdf" r:id="rId119"/>
    <hyperlink xmlns:r="http://schemas.openxmlformats.org/officeDocument/2006/relationships" ref="G34" display="file:///Users/ishan/Downloads/INDIAN%20REITS/Brookfield/Consolidated_Financials_Q4_FY_2023_fceec1d25b.pdf" r:id="rId120"/>
    <hyperlink xmlns:r="http://schemas.openxmlformats.org/officeDocument/2006/relationships" ref="H34" location="page=13" display="file:///Users/ishan/Downloads/INDIAN%20REITS/Brookfield/Consolidated_Financials_Q4_FY_2025_compressed_9c5306468f.pdf#page=13" r:id="rId121"/>
    <hyperlink xmlns:r="http://schemas.openxmlformats.org/officeDocument/2006/relationships" ref="I34" location="page=13" display="file:///Users/ishan/Downloads/INDIAN%20REITS/Brookfield/Consolidated_Financial_Results_Q4_2026_065e5df741.pdf#page=13" r:id="rId122"/>
    <hyperlink xmlns:r="http://schemas.openxmlformats.org/officeDocument/2006/relationships" ref="J34" location="page=13" display="file:///Users/ishan/Downloads/INDIAN%20REITS/Brookfield/Consolidated_Financial_Results_Q4_2026_065e5df741.pdf#page=13" r:id="rId123"/>
    <hyperlink xmlns:r="http://schemas.openxmlformats.org/officeDocument/2006/relationships" ref="E36" location="page=9" display="file:///Users/ishan/Downloads/INDIAN%20REITS/Brookfield/Standalone_Financials_Q4_FY_2023_9aedac0735.pdf#page=9" r:id="rId124"/>
    <hyperlink xmlns:r="http://schemas.openxmlformats.org/officeDocument/2006/relationships" ref="F36" location="page=9" display="file:///Users/ishan/Downloads/INDIAN%20REITS/Brookfield/Standalone_Financials_Q4_FY_2023_9aedac0735.pdf#page=9" r:id="rId125"/>
    <hyperlink xmlns:r="http://schemas.openxmlformats.org/officeDocument/2006/relationships" ref="G36" location="page=9" display="file:///Users/ishan/Downloads/INDIAN%20REITS/Brookfield/Standalone_Financials_Q4_FY_2023_9aedac0735.pdf#page=9" r:id="rId126"/>
    <hyperlink xmlns:r="http://schemas.openxmlformats.org/officeDocument/2006/relationships" ref="H36" location="page=13" display="file:///Users/ishan/Downloads/INDIAN%20REITS/Brookfield/Consolidated_Financials_Q4_FY_2025_compressed_9c5306468f.pdf#page=13" r:id="rId127"/>
    <hyperlink xmlns:r="http://schemas.openxmlformats.org/officeDocument/2006/relationships" ref="I36" location="page=13" display="file:///Users/ishan/Downloads/INDIAN%20REITS/Brookfield/Consolidated_Financial_Results_Q4_2026_065e5df741.pdf#page=13" r:id="rId128"/>
    <hyperlink xmlns:r="http://schemas.openxmlformats.org/officeDocument/2006/relationships" ref="J36" location="page=13" display="file:///Users/ishan/Downloads/INDIAN%20REITS/Brookfield/Consolidated_Financial_Results_Q4_2026_065e5df741.pdf#page=13" r:id="rId129"/>
    <hyperlink xmlns:r="http://schemas.openxmlformats.org/officeDocument/2006/relationships" ref="F37" display="file:///Users/ishan/Downloads/INDIAN%20REITS/REIT_Tableau_Ready_1.xlsx" r:id="rId130"/>
    <hyperlink xmlns:r="http://schemas.openxmlformats.org/officeDocument/2006/relationships" ref="G37" display="file:///Users/ishan/Downloads/INDIAN%20REITS/REIT_Tableau_Ready_1.xlsx" r:id="rId131"/>
    <hyperlink xmlns:r="http://schemas.openxmlformats.org/officeDocument/2006/relationships" ref="H37" display="file:///Users/ishan/Downloads/INDIAN%20REITS/REIT_Tableau_Ready_1.xlsx" r:id="rId132"/>
    <hyperlink xmlns:r="http://schemas.openxmlformats.org/officeDocument/2006/relationships" ref="I37" display="file:///Users/ishan/Downloads/INDIAN%20REITS/REIT_Tableau_Ready_1.xlsx" r:id="rId133"/>
    <hyperlink xmlns:r="http://schemas.openxmlformats.org/officeDocument/2006/relationships" ref="J37" display="file:///Users/ishan/Downloads/INDIAN%20REITS/REIT_Tableau_Ready_1.xlsx" r:id="rId134"/>
    <hyperlink xmlns:r="http://schemas.openxmlformats.org/officeDocument/2006/relationships" ref="F40" display="file:///Users/ishan/Downloads/INDIAN%20REITS/Brookfield/Earning_Presentation_Q4_FY_2022_ae3f3543f8.pdf" r:id="rId135"/>
    <hyperlink xmlns:r="http://schemas.openxmlformats.org/officeDocument/2006/relationships" ref="G40" location="page=40" display="file:///Users/ishan/Downloads/INDIAN%20REITS/Brookfield/Earnings_Presentation_Q4_FY_2023_15c9463f7e.pdf#page=40" r:id="rId136"/>
    <hyperlink xmlns:r="http://schemas.openxmlformats.org/officeDocument/2006/relationships" ref="H40" location="page=27" display="file:///Users/ishan/Downloads/INDIAN%20REITS/Brookfield/Earning_Presentation_Q42024_63c5a9d394.pdf#page=27" r:id="rId137"/>
    <hyperlink xmlns:r="http://schemas.openxmlformats.org/officeDocument/2006/relationships" ref="I40" location="page=38" display="file:///Users/ishan/Downloads/INDIAN%20REITS/Brookfield/Earning_Presentation_Q4_FY_2025_363e49a9d9.pdf#page=38" r:id="rId138"/>
    <hyperlink xmlns:r="http://schemas.openxmlformats.org/officeDocument/2006/relationships" ref="J40" location="page=79" display="file:///Users/ishan/Downloads/INDIAN%20REITS/Brookfield/Summary_Valuation_Report_FY_2026_8284e7236d.pdf#page=79" r:id="rId139"/>
    <hyperlink xmlns:r="http://schemas.openxmlformats.org/officeDocument/2006/relationships" ref="F42" location="page=3" display="file:///Users/ishan/Downloads/INDIAN%20REITS/Brookfield/Earning_Presentation_Q4_FY_2022_ae3f3543f8.pdf#page=3" r:id="rId140"/>
    <hyperlink xmlns:r="http://schemas.openxmlformats.org/officeDocument/2006/relationships" ref="G42" location="page=3" display="file:///Users/ishan/Downloads/INDIAN%20REITS/Brookfield/Earnings_Presentation_Q4_FY_2023_15c9463f7e.pdf#page=3" r:id="rId141"/>
    <hyperlink xmlns:r="http://schemas.openxmlformats.org/officeDocument/2006/relationships" ref="H42" location="page=15" display="file:///Users/ishan/Downloads/INDIAN%20REITS/Brookfield/Earning_Presentation_Q42024_63c5a9d394.pdf#page=15" r:id="rId142"/>
    <hyperlink xmlns:r="http://schemas.openxmlformats.org/officeDocument/2006/relationships" ref="I42" location="page=14" display="file:///Users/ishan/Downloads/INDIAN%20REITS/Brookfield/Earning_Presentation_Q4_FY_2025_363e49a9d9.pdf#page=14" r:id="rId143"/>
    <hyperlink xmlns:r="http://schemas.openxmlformats.org/officeDocument/2006/relationships" ref="J42" location="page=13" display="file:///Users/ishan/Downloads/INDIAN%20REITS/Brookfield/Summary_Valuation_Report_FY_2026_8284e7236d.pdf#page=13" r:id="rId144"/>
    <hyperlink xmlns:r="http://schemas.openxmlformats.org/officeDocument/2006/relationships" ref="F43" location="page=3" display="file:///Users/ishan/Downloads/INDIAN%20REITS/Brookfield/Earning_Presentation_Q4_FY_2022_ae3f3543f8.pdf#page=3" r:id="rId145"/>
    <hyperlink xmlns:r="http://schemas.openxmlformats.org/officeDocument/2006/relationships" ref="G43" location="page=3" display="file:///Users/ishan/Downloads/INDIAN%20REITS/Brookfield/Earnings_Presentation_Q4_FY_2023_15c9463f7e.pdf#page=3" r:id="rId146"/>
    <hyperlink xmlns:r="http://schemas.openxmlformats.org/officeDocument/2006/relationships" ref="H43" location="page=3" display="file:///Users/ishan/Downloads/INDIAN%20REITS/Brookfield/Earning_Presentation_Q42024_63c5a9d394.pdf#page=3" r:id="rId147"/>
    <hyperlink xmlns:r="http://schemas.openxmlformats.org/officeDocument/2006/relationships" ref="I43" location="page=2" display="file:///Users/ishan/Downloads/INDIAN%20REITS/Brookfield/Earning_Presentation_Q4_FY_2025_363e49a9d9.pdf#page=2" r:id="rId148"/>
    <hyperlink xmlns:r="http://schemas.openxmlformats.org/officeDocument/2006/relationships" ref="J43" location="page=13" display="file:///Users/ishan/Downloads/INDIAN%20REITS/Brookfield/Summary_Valuation_Report_FY_2026_8284e7236d.pdf#page=13" r:id="rId149"/>
    <hyperlink xmlns:r="http://schemas.openxmlformats.org/officeDocument/2006/relationships" ref="F44" location="page=3" display="file:///Users/ishan/Downloads/INDIAN%20REITS/Brookfield/Earning_Presentation_Q4_FY_2022_ae3f3543f8.pdf#page=3" r:id="rId150"/>
    <hyperlink xmlns:r="http://schemas.openxmlformats.org/officeDocument/2006/relationships" ref="G44" location="page=3" display="file:///Users/ishan/Downloads/INDIAN%20REITS/Brookfield/Earnings_Presentation_Q4_FY_2023_15c9463f7e.pdf#page=3" r:id="rId151"/>
    <hyperlink xmlns:r="http://schemas.openxmlformats.org/officeDocument/2006/relationships" ref="H44" location="page=15" display="file:///Users/ishan/Downloads/INDIAN%20REITS/Brookfield/Earning_Presentation_Q42024_63c5a9d394.pdf#page=15" r:id="rId152"/>
    <hyperlink xmlns:r="http://schemas.openxmlformats.org/officeDocument/2006/relationships" ref="I44" location="page=14" display="file:///Users/ishan/Downloads/INDIAN%20REITS/Brookfield/Earning_Presentation_Q4_FY_2025_363e49a9d9.pdf#page=14" r:id="rId153"/>
    <hyperlink xmlns:r="http://schemas.openxmlformats.org/officeDocument/2006/relationships" ref="J44" location="page=13" display="file:///Users/ishan/Downloads/INDIAN%20REITS/Brookfield/Summary_Valuation_Report_FY_2026_8284e7236d.pdf#page=13" r:id="rId154"/>
    <hyperlink xmlns:r="http://schemas.openxmlformats.org/officeDocument/2006/relationships" ref="F45" location="page=3" display="file:///Users/ishan/Downloads/INDIAN%20REITS/Brookfield/Earning_Presentation_Q4_FY_2022_ae3f3543f8.pdf#page=3" r:id="rId155"/>
    <hyperlink xmlns:r="http://schemas.openxmlformats.org/officeDocument/2006/relationships" ref="G45" location="page=3" display="file:///Users/ishan/Downloads/INDIAN%20REITS/Brookfield/Earnings_Presentation_Q4_FY_2023_15c9463f7e.pdf#page=3" r:id="rId156"/>
    <hyperlink xmlns:r="http://schemas.openxmlformats.org/officeDocument/2006/relationships" ref="H45" location="page=3" display="file:///Users/ishan/Downloads/INDIAN%20REITS/Brookfield/Earning_Presentation_Q42024_63c5a9d394.pdf#page=3" r:id="rId157"/>
    <hyperlink xmlns:r="http://schemas.openxmlformats.org/officeDocument/2006/relationships" ref="I45" location="page=2" display="file:///Users/ishan/Downloads/INDIAN%20REITS/Brookfield/Earning_Presentation_Q4_FY_2025_363e49a9d9.pdf#page=2" r:id="rId158"/>
    <hyperlink xmlns:r="http://schemas.openxmlformats.org/officeDocument/2006/relationships" ref="F46" location="page=3" display="file:///Users/ishan/Downloads/INDIAN%20REITS/Brookfield/Earning_Presentation_Q4_FY_2022_ae3f3543f8.pdf#page=3" r:id="rId159"/>
    <hyperlink xmlns:r="http://schemas.openxmlformats.org/officeDocument/2006/relationships" ref="G46" location="page=3" display="file:///Users/ishan/Downloads/INDIAN%20REITS/Brookfield/Earnings_Presentation_Q4_FY_2023_15c9463f7e.pdf#page=3" r:id="rId160"/>
    <hyperlink xmlns:r="http://schemas.openxmlformats.org/officeDocument/2006/relationships" ref="H46" location="page=3" display="file:///Users/ishan/Downloads/INDIAN%20REITS/Brookfield/Earning_Presentation_Q42024_63c5a9d394.pdf#page=3" r:id="rId161"/>
    <hyperlink xmlns:r="http://schemas.openxmlformats.org/officeDocument/2006/relationships" ref="F47" location="page=3" display="file:///Users/ishan/Downloads/INDIAN%20REITS/Brookfield/Earning_Presentation_Q4_FY_2022_ae3f3543f8.pdf#page=3" r:id="rId162"/>
    <hyperlink xmlns:r="http://schemas.openxmlformats.org/officeDocument/2006/relationships" ref="G47" location="page=3" display="file:///Users/ishan/Downloads/INDIAN%20REITS/Brookfield/Earnings_Presentation_Q4_FY_2023_15c9463f7e.pdf#page=3" r:id="rId163"/>
    <hyperlink xmlns:r="http://schemas.openxmlformats.org/officeDocument/2006/relationships" ref="H47" location="page=3" display="file:///Users/ishan/Downloads/INDIAN%20REITS/Brookfield/Earning_Presentation_Q42024_63c5a9d394.pdf#page=3" r:id="rId164"/>
    <hyperlink xmlns:r="http://schemas.openxmlformats.org/officeDocument/2006/relationships" ref="I47" location="page=14" display="file:///Users/ishan/Downloads/INDIAN%20REITS/Brookfield/Earning_Presentation_Q4_FY_2025_363e49a9d9.pdf#page=14" r:id="rId165"/>
    <hyperlink xmlns:r="http://schemas.openxmlformats.org/officeDocument/2006/relationships" ref="J47" location="page=2" display="file:///Users/ishan/Downloads/INDIAN%20REITS/Brookfield/BIRET_Q4_FY_2026_Investor_Presentation_d39ed0af9f.pdf#page=2" r:id="rId166"/>
    <hyperlink xmlns:r="http://schemas.openxmlformats.org/officeDocument/2006/relationships" ref="F48" location="page=3" display="file:///Users/ishan/Downloads/INDIAN%20REITS/Brookfield/Earning_Presentation_Q4_FY_2022_ae3f3543f8.pdf#page=3" r:id="rId167"/>
    <hyperlink xmlns:r="http://schemas.openxmlformats.org/officeDocument/2006/relationships" ref="G48" location="page=3" display="file:///Users/ishan/Downloads/INDIAN%20REITS/Brookfield/Earnings_Presentation_Q4_FY_2023_15c9463f7e.pdf#page=3" r:id="rId168"/>
    <hyperlink xmlns:r="http://schemas.openxmlformats.org/officeDocument/2006/relationships" ref="H48" location="page=15" display="file:///Users/ishan/Downloads/INDIAN%20REITS/Brookfield/Earning_Presentation_Q42024_63c5a9d394.pdf#page=15" r:id="rId169"/>
    <hyperlink xmlns:r="http://schemas.openxmlformats.org/officeDocument/2006/relationships" ref="F49" location="page=3" display="file:///Users/ishan/Downloads/INDIAN%20REITS/Brookfield/Earning_Presentation_Q4_FY_2022_ae3f3543f8.pdf#page=3" r:id="rId170"/>
    <hyperlink xmlns:r="http://schemas.openxmlformats.org/officeDocument/2006/relationships" ref="G49" location="page=3" display="file:///Users/ishan/Downloads/INDIAN%20REITS/Brookfield/Earnings_Presentation_Q4_FY_2023_15c9463f7e.pdf#page=3" r:id="rId171"/>
    <hyperlink xmlns:r="http://schemas.openxmlformats.org/officeDocument/2006/relationships" ref="H49" location="page=3" display="file:///Users/ishan/Downloads/INDIAN%20REITS/Brookfield/Earning_Presentation_Q42024_63c5a9d394.pdf#page=3" r:id="rId172"/>
    <hyperlink xmlns:r="http://schemas.openxmlformats.org/officeDocument/2006/relationships" ref="I49" location="page=2" display="file:///Users/ishan/Downloads/INDIAN%20REITS/Brookfield/Earning_Presentation_Q4_FY_2025_363e49a9d9.pdf#page=2" r:id="rId173"/>
    <hyperlink xmlns:r="http://schemas.openxmlformats.org/officeDocument/2006/relationships" ref="H57" display="file:///Users/ishan/Downloads/INDIAN%20REITS/Brookfield/Earning_Presentation_Q42024_63c5a9d394.pdf" r:id="rId174"/>
    <hyperlink xmlns:r="http://schemas.openxmlformats.org/officeDocument/2006/relationships" ref="H59" display="file:///Users/ishan/Downloads/INDIAN%20REITS/Brookfield/Earning_Presentation_Q42024_63c5a9d394.pdf" r:id="rId175"/>
    <hyperlink xmlns:r="http://schemas.openxmlformats.org/officeDocument/2006/relationships" ref="I63" display="file:///Users/ishan/Downloads/INDIAN%20REITS/Brookfield/Consolidated_Financials_Q4_FY_2025_compressed_9c5306468f.pdf" r:id="rId176"/>
    <hyperlink xmlns:r="http://schemas.openxmlformats.org/officeDocument/2006/relationships" ref="J63" display="file:///Users/ishan/Downloads/INDIAN%20REITS/Brookfield/Consolidated_Financial_Statement_Q4_2026_7f35ccab9e.pdf" r:id="rId177"/>
    <hyperlink xmlns:r="http://schemas.openxmlformats.org/officeDocument/2006/relationships" ref="I64" display="file:///Users/ishan/Downloads/INDIAN%20REITS/Brookfield/Consolidated_Financials_Q4_FY_2025_compressed_9c5306468f.pdf" r:id="rId178"/>
    <hyperlink xmlns:r="http://schemas.openxmlformats.org/officeDocument/2006/relationships" ref="J64" display="file:///Users/ishan/Downloads/INDIAN%20REITS/Brookfield/Consolidated_Financial_Statement_Q4_2026_7f35ccab9e.pdf" r:id="rId179"/>
    <hyperlink xmlns:r="http://schemas.openxmlformats.org/officeDocument/2006/relationships" ref="I65" display="file:///Users/ishan/Downloads/INDIAN%20REITS/Brookfield/Consolidated_Financials_Q4_FY_2025_compressed_9c5306468f.pdf" r:id="rId180"/>
    <hyperlink xmlns:r="http://schemas.openxmlformats.org/officeDocument/2006/relationships" ref="J65" display="file:///Users/ishan/Downloads/INDIAN%20REITS/Brookfield/Consolidated_Financial_Statement_Q4_2026_7f35ccab9e.pdf" r:id="rId181"/>
    <hyperlink xmlns:r="http://schemas.openxmlformats.org/officeDocument/2006/relationships" ref="H68" display="file:///Users/ishan/Downloads/INDIAN%20REITS/Brookfield/Earning_Presentation_Q42024_63c5a9d394.pdf" r:id="rId182"/>
    <hyperlink xmlns:r="http://schemas.openxmlformats.org/officeDocument/2006/relationships" ref="I68" display="file:///Users/ishan/Downloads/INDIAN%20REITS/Brookfield/Earning_Presentation_Q4_FY_2025_363e49a9d9.pdf" r:id="rId183"/>
    <hyperlink xmlns:r="http://schemas.openxmlformats.org/officeDocument/2006/relationships" ref="J68" display="file:///Users/ishan/Downloads/INDIAN%20REITS/Brookfield/BIRET_Q4_FY_2026_Investor_Presentation_d39ed0af9f.pdf" r:id="rId184"/>
    <hyperlink xmlns:r="http://schemas.openxmlformats.org/officeDocument/2006/relationships" ref="I69" display="file:///Users/ishan/Downloads/INDIAN%20REITS/Brookfield/Standalone_Financial_Statements_Q4_2026_5862aa7714.pdf" r:id="rId185"/>
    <hyperlink xmlns:r="http://schemas.openxmlformats.org/officeDocument/2006/relationships" ref="J69" display="file:///Users/ishan/Downloads/INDIAN%20REITS/Brookfield/Standalone_Financial_Statements_Q4_2026_5862aa7714.pdf" r:id="rId186"/>
    <hyperlink xmlns:r="http://schemas.openxmlformats.org/officeDocument/2006/relationships" ref="H75" display="file:///Users/ishan/Downloads/INDIAN%20REITS/Brookfield/Earning_Presentation_Q42024_63c5a9d394.pdf" r:id="rId187"/>
    <hyperlink xmlns:r="http://schemas.openxmlformats.org/officeDocument/2006/relationships" ref="I75" display="file:///Users/ishan/Downloads/INDIAN%20REITS/Brookfield/Earning_Presentation_Q4_FY_2025_363e49a9d9.pdf" r:id="rId188"/>
    <hyperlink xmlns:r="http://schemas.openxmlformats.org/officeDocument/2006/relationships" ref="J75" display="file:///Users/ishan/Downloads/INDIAN%20REITS/Brookfield/BIRET_Q4_FY_2026_Investor_Presentation_d39ed0af9f.pdf" r:id="rId189"/>
    <hyperlink xmlns:r="http://schemas.openxmlformats.org/officeDocument/2006/relationships" ref="H76" display="file:///Users/ishan/Downloads/INDIAN%20REITS/Brookfield/Earning_Presentation_Q42024_63c5a9d394.pdf" r:id="rId190"/>
    <hyperlink xmlns:r="http://schemas.openxmlformats.org/officeDocument/2006/relationships" ref="I76" display="file:///Users/ishan/Downloads/INDIAN%20REITS/Brookfield/Earning_Presentation_Q4_FY_2025_363e49a9d9.pdf" r:id="rId191"/>
    <hyperlink xmlns:r="http://schemas.openxmlformats.org/officeDocument/2006/relationships" ref="J76" display="file:///Users/ishan/Downloads/INDIAN%20REITS/Brookfield/BIRET_Q4_FY_2026_Investor_Presentation_d39ed0af9f.pdf" r:id="rId192"/>
    <hyperlink xmlns:r="http://schemas.openxmlformats.org/officeDocument/2006/relationships" ref="J77" display="file:///Users/ishan/Downloads/INDIAN%20REITS/Brookfield/BIRET_Q4_FY_2026_Investor_Presentation_d39ed0af9f.pdf" r:id="rId193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94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W80"/>
  <sheetViews>
    <sheetView showFormulas="0" showGridLines="0" showRowColHeaders="1" showZeros="1" rightToLeft="0" tabSelected="1" showOutlineSymbols="1" defaultGridColor="1" view="normal" topLeftCell="A1" colorId="64" zoomScale="65" zoomScaleNormal="65" zoomScalePageLayoutView="100" workbookViewId="0">
      <pane xSplit="2" ySplit="7" topLeftCell="C19" activePane="bottomRight" state="frozen"/>
      <selection pane="topLeft" activeCell="A1" activeCellId="0" sqref="A1"/>
      <selection pane="topRight" activeCell="C1" activeCellId="0" sqref="C1"/>
      <selection pane="bottomLeft" activeCell="A19" activeCellId="0" sqref="A19"/>
      <selection pane="bottomRight" activeCell="AA23" activeCellId="0" sqref="AA23"/>
    </sheetView>
  </sheetViews>
  <sheetFormatPr baseColWidth="8" defaultColWidth="8.43359375" defaultRowHeight="15" customHeight="0" zeroHeight="0" outlineLevelRow="0"/>
  <cols>
    <col width="34" customWidth="1" style="38" min="1" max="1"/>
    <col width="9" customWidth="1" style="38" min="2" max="2"/>
    <col width="9.52" customWidth="1" style="38" min="3" max="10"/>
    <col width="7" customWidth="1" style="38" min="11" max="11"/>
    <col width="9.52" customWidth="1" style="38" min="12" max="19"/>
    <col width="7" customWidth="1" style="38" min="20" max="20"/>
  </cols>
  <sheetData>
    <row r="1" ht="15" customHeight="1" s="39">
      <c r="A1" s="40" t="inlineStr">
        <is>
          <t>Nexus REIT - Key Financials &amp; Operating Metrics</t>
        </is>
      </c>
    </row>
    <row r="2" ht="15" customHeight="1" s="39">
      <c r="A2" s="43" t="inlineStr">
        <is>
          <t>Sponsor: Blackstone (Retail REIT).  All INR figures in INR crore (cr) unless stated.  1 crore = 10 million.  FY ends 31 March.</t>
        </is>
      </c>
    </row>
    <row r="3" ht="15" customHeight="1" s="39">
      <c r="A3" s="43" t="inlineStr">
        <is>
          <t>Hover a cell for its Source (report + page + original figure).  Grey italic = auto-calculated.  YoY% = FY2026 vs FY2025.</t>
        </is>
      </c>
    </row>
    <row r="6" ht="15" customHeight="1" s="39">
      <c r="C6" s="52" t="inlineStr">
        <is>
          <t>CONSOLIDATED</t>
        </is>
      </c>
      <c r="L6" s="52" t="inlineStr">
        <is>
          <t>STANDALONE</t>
        </is>
      </c>
    </row>
    <row r="7" ht="15" customHeight="1" s="39">
      <c r="A7" s="44" t="inlineStr">
        <is>
          <t>Metric</t>
        </is>
      </c>
      <c r="B7" s="45" t="inlineStr">
        <is>
          <t>Unit</t>
        </is>
      </c>
      <c r="C7" s="45" t="inlineStr">
        <is>
          <t>FY2019</t>
        </is>
      </c>
      <c r="D7" s="45" t="inlineStr">
        <is>
          <t>FY2020</t>
        </is>
      </c>
      <c r="E7" s="45" t="inlineStr">
        <is>
          <t>FY2021</t>
        </is>
      </c>
      <c r="F7" s="45" t="inlineStr">
        <is>
          <t>FY2022</t>
        </is>
      </c>
      <c r="G7" s="45" t="inlineStr">
        <is>
          <t>FY2023</t>
        </is>
      </c>
      <c r="H7" s="45" t="inlineStr">
        <is>
          <t>FY2024</t>
        </is>
      </c>
      <c r="I7" s="45" t="inlineStr">
        <is>
          <t>FY2025</t>
        </is>
      </c>
      <c r="J7" s="45" t="inlineStr">
        <is>
          <t>FY2026</t>
        </is>
      </c>
      <c r="K7" s="45" t="inlineStr">
        <is>
          <t>YoY%</t>
        </is>
      </c>
      <c r="L7" s="45" t="inlineStr">
        <is>
          <t>FY2019</t>
        </is>
      </c>
      <c r="M7" s="45" t="inlineStr">
        <is>
          <t>FY2020</t>
        </is>
      </c>
      <c r="N7" s="45" t="inlineStr">
        <is>
          <t>FY2021</t>
        </is>
      </c>
      <c r="O7" s="45" t="inlineStr">
        <is>
          <t>FY2022</t>
        </is>
      </c>
      <c r="P7" s="45" t="inlineStr">
        <is>
          <t>FY2023</t>
        </is>
      </c>
      <c r="Q7" s="45" t="inlineStr">
        <is>
          <t>FY2024</t>
        </is>
      </c>
      <c r="R7" s="45" t="inlineStr">
        <is>
          <t>FY2025</t>
        </is>
      </c>
      <c r="S7" s="45" t="inlineStr">
        <is>
          <t>FY2026</t>
        </is>
      </c>
      <c r="T7" s="45" t="inlineStr">
        <is>
          <t>YoY%</t>
        </is>
      </c>
    </row>
    <row r="8" ht="15" customHeight="1" s="39">
      <c r="A8" s="53" t="inlineStr">
        <is>
          <t>INCOME STATEMENT</t>
        </is>
      </c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</row>
    <row r="9" ht="15" customHeight="1" s="39">
      <c r="A9" s="46" t="inlineStr">
        <is>
          <t>Revenue from Operations</t>
        </is>
      </c>
      <c r="B9" s="47" t="inlineStr">
        <is>
          <t>INR cr</t>
        </is>
      </c>
      <c r="C9" s="56" t="n"/>
      <c r="D9" s="56" t="n"/>
      <c r="E9" s="56" t="n"/>
      <c r="F9" s="56" t="n"/>
      <c r="G9" s="56" t="n"/>
      <c r="H9" s="57" t="n">
        <v>1916.374</v>
      </c>
      <c r="I9" s="57" t="n">
        <v>2282.89</v>
      </c>
      <c r="J9" s="57" t="n">
        <v>2568</v>
      </c>
      <c r="K9" s="49">
        <f>IFERROR((J9-I9)/I9,"")</f>
        <v/>
      </c>
      <c r="L9" s="56" t="n"/>
      <c r="M9" s="56" t="n"/>
      <c r="N9" s="56" t="n"/>
      <c r="O9" s="56" t="n"/>
      <c r="P9" s="56" t="n"/>
      <c r="Q9" s="56" t="n"/>
      <c r="R9" s="56" t="n"/>
      <c r="S9" s="56" t="n"/>
      <c r="T9" s="49">
        <f>IFERROR((S9-R9)/R9,"")</f>
        <v/>
      </c>
    </row>
    <row r="10" ht="15" customHeight="1" s="39">
      <c r="A10" s="46" t="inlineStr">
        <is>
          <t>Other Income</t>
        </is>
      </c>
      <c r="B10" s="47" t="inlineStr">
        <is>
          <t>INR cr</t>
        </is>
      </c>
      <c r="C10" s="56" t="n"/>
      <c r="D10" s="56" t="n"/>
      <c r="E10" s="56" t="n"/>
      <c r="F10" s="56" t="n"/>
      <c r="G10" s="56" t="n"/>
      <c r="H10" s="57" t="n">
        <v>80.73699999999999</v>
      </c>
      <c r="I10" s="57" t="n">
        <v>116.52</v>
      </c>
      <c r="J10" s="57" t="n">
        <v>87.3</v>
      </c>
      <c r="K10" s="49">
        <f>IFERROR((J10-I10)/I10,"")</f>
        <v/>
      </c>
      <c r="L10" s="56" t="n"/>
      <c r="M10" s="56" t="n"/>
      <c r="N10" s="56" t="n"/>
      <c r="O10" s="56" t="n"/>
      <c r="P10" s="56" t="n"/>
      <c r="Q10" s="57" t="n">
        <v>6.947</v>
      </c>
      <c r="R10" s="57" t="n">
        <v>14.87</v>
      </c>
      <c r="S10" s="57" t="n">
        <v>5.24</v>
      </c>
      <c r="T10" s="49">
        <f>IFERROR((S10-R10)/R10,"")</f>
        <v/>
      </c>
    </row>
    <row r="11" ht="15" customHeight="1" s="39">
      <c r="A11" s="46" t="inlineStr">
        <is>
          <t>Total Income</t>
        </is>
      </c>
      <c r="B11" s="47" t="inlineStr">
        <is>
          <t>INR cr</t>
        </is>
      </c>
      <c r="C11" s="48">
        <f>IF(AND(C9="",C10=""),"",N(C9)+N(C10))</f>
        <v/>
      </c>
      <c r="D11" s="48">
        <f>IF(AND(D9="",D10=""),"",N(D9)+N(D10))</f>
        <v/>
      </c>
      <c r="E11" s="48">
        <f>IF(AND(E9="",E10=""),"",N(E9)+N(E10))</f>
        <v/>
      </c>
      <c r="F11" s="48">
        <f>IF(AND(F9="",F10=""),"",N(F9)+N(F10))</f>
        <v/>
      </c>
      <c r="G11" s="48">
        <f>IF(AND(G9="",G10=""),"",N(G9)+N(G10))</f>
        <v/>
      </c>
      <c r="H11" s="48">
        <f>IF(AND(H9="",H10=""),"",N(H9)+N(H10))</f>
        <v/>
      </c>
      <c r="I11" s="48">
        <f>IF(AND(I9="",I10=""),"",N(I9)+N(I10))</f>
        <v/>
      </c>
      <c r="J11" s="48">
        <f>IF(AND(J9="",J10=""),"",N(J9)+N(J10))</f>
        <v/>
      </c>
      <c r="K11" s="49">
        <f>IFERROR((J11-I11)/I11,"")</f>
        <v/>
      </c>
      <c r="L11" s="48">
        <f>IF(AND(L9="",L10=""),"",N(L9)+N(L10))</f>
        <v/>
      </c>
      <c r="M11" s="48">
        <f>IF(AND(M9="",M10=""),"",N(M9)+N(M10))</f>
        <v/>
      </c>
      <c r="N11" s="48">
        <f>IF(AND(N9="",N10=""),"",N(N9)+N(N10))</f>
        <v/>
      </c>
      <c r="O11" s="48">
        <f>IF(AND(O9="",O10=""),"",N(O9)+N(O10))</f>
        <v/>
      </c>
      <c r="P11" s="48">
        <f>IF(AND(P9="",P10=""),"",N(P9)+N(P10))</f>
        <v/>
      </c>
      <c r="Q11" s="48">
        <f>IF(AND(Q9="",Q10=""),"",N(Q9)+N(Q10))</f>
        <v/>
      </c>
      <c r="R11" s="48">
        <f>IF(AND(R9="",R10=""),"",N(R9)+N(R10))</f>
        <v/>
      </c>
      <c r="S11" s="48">
        <f>IF(AND(S9="",S10=""),"",N(S9)+N(S10))</f>
        <v/>
      </c>
      <c r="T11" s="49">
        <f>IFERROR((S11-R11)/R11,"")</f>
        <v/>
      </c>
    </row>
    <row r="12" ht="15" customHeight="1" s="39">
      <c r="A12" s="46" t="inlineStr">
        <is>
          <t>Property / Operating Expenses</t>
        </is>
      </c>
      <c r="B12" s="47" t="inlineStr">
        <is>
          <t>INR cr</t>
        </is>
      </c>
      <c r="C12" s="56" t="n"/>
      <c r="D12" s="56" t="n"/>
      <c r="E12" s="56" t="n"/>
      <c r="F12" s="56" t="n"/>
      <c r="G12" s="56" t="n"/>
      <c r="H12" s="57" t="n">
        <v>166.227</v>
      </c>
      <c r="I12" s="57" t="n">
        <v>387.06</v>
      </c>
      <c r="J12" s="57" t="n">
        <v>428.43</v>
      </c>
      <c r="K12" s="49">
        <f>IFERROR((J12-I12)/I12,"")</f>
        <v/>
      </c>
      <c r="L12" s="56" t="n"/>
      <c r="M12" s="56" t="n"/>
      <c r="N12" s="56" t="n"/>
      <c r="O12" s="56" t="n"/>
      <c r="P12" s="56" t="n"/>
      <c r="Q12" s="56" t="n"/>
      <c r="R12" s="57" t="n">
        <v>12.62</v>
      </c>
      <c r="S12" s="57" t="n">
        <v>13.66</v>
      </c>
      <c r="T12" s="49">
        <f>IFERROR((S12-R12)/R12,"")</f>
        <v/>
      </c>
    </row>
    <row r="13" ht="15" customHeight="1" s="39">
      <c r="A13" s="46" t="inlineStr">
        <is>
          <t>Net Operating Income (NOI)</t>
        </is>
      </c>
      <c r="B13" s="47" t="inlineStr">
        <is>
          <t>INR cr</t>
        </is>
      </c>
      <c r="C13" s="56" t="n"/>
      <c r="D13" s="56" t="n"/>
      <c r="E13" s="56" t="n"/>
      <c r="F13" s="56" t="n"/>
      <c r="G13" s="56" t="n"/>
      <c r="H13" s="57" t="n">
        <v>1434.788</v>
      </c>
      <c r="I13" s="57" t="n">
        <v>1711.03</v>
      </c>
      <c r="J13" s="57" t="n">
        <v>1929.64</v>
      </c>
      <c r="K13" s="49">
        <f>IFERROR((J13-I13)/I13,"")</f>
        <v/>
      </c>
      <c r="L13" s="56" t="n"/>
      <c r="M13" s="56" t="n"/>
      <c r="N13" s="56" t="n"/>
      <c r="O13" s="56" t="n"/>
      <c r="P13" s="56" t="n"/>
      <c r="Q13" s="56" t="n"/>
      <c r="R13" s="56" t="n"/>
      <c r="S13" s="56" t="n"/>
      <c r="T13" s="49">
        <f>IFERROR((S13-R13)/R13,"")</f>
        <v/>
      </c>
    </row>
    <row r="14" ht="15" customHeight="1" s="39">
      <c r="A14" s="46" t="inlineStr">
        <is>
          <t>NOI Margin</t>
        </is>
      </c>
      <c r="B14" s="47" t="inlineStr">
        <is>
          <t>%</t>
        </is>
      </c>
      <c r="C14" s="49">
        <f>IF(OR(C13="",C9="",N(C9)=0),"",C13/C9)</f>
        <v/>
      </c>
      <c r="D14" s="49">
        <f>IF(OR(D13="",D9="",N(D9)=0),"",D13/D9)</f>
        <v/>
      </c>
      <c r="E14" s="49">
        <f>IF(OR(E13="",E9="",N(E9)=0),"",E13/E9)</f>
        <v/>
      </c>
      <c r="F14" s="49">
        <f>IF(OR(F13="",F9="",N(F9)=0),"",F13/F9)</f>
        <v/>
      </c>
      <c r="G14" s="49">
        <f>IF(OR(G13="",G9="",N(G9)=0),"",G13/G9)</f>
        <v/>
      </c>
      <c r="H14" s="49">
        <f>IF(OR(H13="",H9="",N(H9)=0),"",H13/H9)</f>
        <v/>
      </c>
      <c r="I14" s="49">
        <f>IF(OR(I13="",I9="",N(I9)=0),"",I13/I9)</f>
        <v/>
      </c>
      <c r="J14" s="49">
        <f>IF(OR(J13="",J9="",N(J9)=0),"",J13/J9)</f>
        <v/>
      </c>
      <c r="L14" s="49">
        <f>IF(OR(L13="",L9="",N(L9)=0),"",L13/L9)</f>
        <v/>
      </c>
      <c r="M14" s="49">
        <f>IF(OR(M13="",M9="",N(M9)=0),"",M13/M9)</f>
        <v/>
      </c>
      <c r="N14" s="49">
        <f>IF(OR(N13="",N9="",N(N9)=0),"",N13/N9)</f>
        <v/>
      </c>
      <c r="O14" s="49">
        <f>IF(OR(O13="",O9="",N(O9)=0),"",O13/O9)</f>
        <v/>
      </c>
      <c r="P14" s="49">
        <f>IF(OR(P13="",P9="",N(P9)=0),"",P13/P9)</f>
        <v/>
      </c>
      <c r="Q14" s="49">
        <f>IF(OR(Q13="",Q9="",N(Q9)=0),"",Q13/Q9)</f>
        <v/>
      </c>
      <c r="R14" s="49">
        <f>IF(OR(R13="",R9="",N(R9)=0),"",R13/R9)</f>
        <v/>
      </c>
      <c r="S14" s="49">
        <f>IF(OR(S13="",S9="",N(S9)=0),"",S13/S9)</f>
        <v/>
      </c>
    </row>
    <row r="15" ht="15" customHeight="1" s="39">
      <c r="A15" s="46" t="inlineStr">
        <is>
          <t>EBITDA</t>
        </is>
      </c>
      <c r="B15" s="47" t="inlineStr">
        <is>
          <t>INR cr</t>
        </is>
      </c>
      <c r="C15" s="56" t="n"/>
      <c r="D15" s="56" t="n"/>
      <c r="E15" s="56" t="n"/>
      <c r="F15" s="56" t="n"/>
      <c r="G15" s="56" t="n"/>
      <c r="H15" s="57" t="n">
        <v>1365.778</v>
      </c>
      <c r="I15" s="57" t="n">
        <v>1660.76</v>
      </c>
      <c r="J15" s="57" t="n">
        <v>1820.73</v>
      </c>
      <c r="K15" s="49">
        <f>IFERROR((J15-I15)/I15,"")</f>
        <v/>
      </c>
      <c r="L15" s="56" t="n"/>
      <c r="M15" s="56" t="n"/>
      <c r="N15" s="56" t="n"/>
      <c r="O15" s="56" t="n"/>
      <c r="P15" s="56" t="n"/>
      <c r="Q15" s="57" t="n">
        <v>1046.081</v>
      </c>
      <c r="R15" s="57" t="n">
        <v>1307.16</v>
      </c>
      <c r="S15" s="57" t="n">
        <v>1485.44</v>
      </c>
      <c r="T15" s="49">
        <f>IFERROR((S15-R15)/R15,"")</f>
        <v/>
      </c>
    </row>
    <row r="16" ht="15" customHeight="1" s="39">
      <c r="A16" s="46" t="inlineStr">
        <is>
          <t>EBITDA Margin</t>
        </is>
      </c>
      <c r="B16" s="47" t="inlineStr">
        <is>
          <t>%</t>
        </is>
      </c>
      <c r="C16" s="49">
        <f>IF(OR(C15="",C9="",N(C9)=0),"",C15/C9)</f>
        <v/>
      </c>
      <c r="D16" s="49">
        <f>IF(OR(D15="",D9="",N(D9)=0),"",D15/D9)</f>
        <v/>
      </c>
      <c r="E16" s="49">
        <f>IF(OR(E15="",E9="",N(E9)=0),"",E15/E9)</f>
        <v/>
      </c>
      <c r="F16" s="49">
        <f>IF(OR(F15="",F9="",N(F9)=0),"",F15/F9)</f>
        <v/>
      </c>
      <c r="G16" s="49">
        <f>IF(OR(G15="",G9="",N(G9)=0),"",G15/G9)</f>
        <v/>
      </c>
      <c r="H16" s="49">
        <f>IF(OR(H15="",H9="",N(H9)=0),"",H15/H9)</f>
        <v/>
      </c>
      <c r="I16" s="49">
        <f>IF(OR(I15="",I9="",N(I9)=0),"",I15/I9)</f>
        <v/>
      </c>
      <c r="J16" s="49">
        <f>IF(OR(J15="",J9="",N(J9)=0),"",J15/J9)</f>
        <v/>
      </c>
      <c r="L16" s="49">
        <f>IF(OR(L15="",L9="",N(L9)=0),"",L15/L9)</f>
        <v/>
      </c>
      <c r="M16" s="49">
        <f>IF(OR(M15="",M9="",N(M9)=0),"",M15/M9)</f>
        <v/>
      </c>
      <c r="N16" s="49">
        <f>IF(OR(N15="",N9="",N(N9)=0),"",N15/N9)</f>
        <v/>
      </c>
      <c r="O16" s="49">
        <f>IF(OR(O15="",O9="",N(O9)=0),"",O15/O9)</f>
        <v/>
      </c>
      <c r="P16" s="49">
        <f>IF(OR(P15="",P9="",N(P9)=0),"",P15/P9)</f>
        <v/>
      </c>
      <c r="Q16" s="49">
        <f>IF(OR(Q15="",Q9="",N(Q9)=0),"",Q15/Q9)</f>
        <v/>
      </c>
      <c r="R16" s="49">
        <f>IF(OR(R15="",R9="",N(R9)=0),"",R15/R9)</f>
        <v/>
      </c>
      <c r="S16" s="49">
        <f>IF(OR(S15="",S9="",N(S9)=0),"",S15/S9)</f>
        <v/>
      </c>
    </row>
    <row r="17" ht="15" customHeight="1" s="39">
      <c r="A17" s="46" t="inlineStr">
        <is>
          <t>Finance Costs</t>
        </is>
      </c>
      <c r="B17" s="47" t="inlineStr">
        <is>
          <t>INR cr</t>
        </is>
      </c>
      <c r="C17" s="56" t="n"/>
      <c r="D17" s="56" t="n"/>
      <c r="E17" s="56" t="n"/>
      <c r="F17" s="56" t="n"/>
      <c r="G17" s="56" t="n"/>
      <c r="H17" s="57" t="n">
        <v>337.095</v>
      </c>
      <c r="I17" s="57" t="n">
        <v>394.34</v>
      </c>
      <c r="J17" s="57" t="n">
        <v>457.95</v>
      </c>
      <c r="K17" s="49">
        <f>IFERROR((J17-I17)/I17,"")</f>
        <v/>
      </c>
      <c r="L17" s="56" t="n"/>
      <c r="M17" s="56" t="n"/>
      <c r="N17" s="56" t="n"/>
      <c r="O17" s="56" t="n"/>
      <c r="P17" s="56" t="n"/>
      <c r="Q17" s="57" t="n">
        <v>150.091</v>
      </c>
      <c r="R17" s="57" t="n">
        <v>234.51</v>
      </c>
      <c r="S17" s="57" t="n">
        <v>316.22</v>
      </c>
      <c r="T17" s="49">
        <f>IFERROR((S17-R17)/R17,"")</f>
        <v/>
      </c>
    </row>
    <row r="18" ht="15" customHeight="1" s="39">
      <c r="A18" s="46" t="inlineStr">
        <is>
          <t>Depreciation &amp; Amortisation</t>
        </is>
      </c>
      <c r="B18" s="47" t="inlineStr">
        <is>
          <t>INR cr</t>
        </is>
      </c>
      <c r="C18" s="56" t="n"/>
      <c r="D18" s="56" t="n"/>
      <c r="E18" s="56" t="n"/>
      <c r="F18" s="56" t="n"/>
      <c r="G18" s="56" t="n"/>
      <c r="H18" s="57" t="n">
        <v>570.164</v>
      </c>
      <c r="I18" s="57" t="n">
        <v>586.12</v>
      </c>
      <c r="J18" s="57" t="n">
        <v>619.84</v>
      </c>
      <c r="K18" s="49">
        <f>IFERROR((J18-I18)/I18,"")</f>
        <v/>
      </c>
      <c r="L18" s="56" t="n"/>
      <c r="M18" s="56" t="n"/>
      <c r="N18" s="56" t="n"/>
      <c r="O18" s="56" t="n"/>
      <c r="P18" s="56" t="n"/>
      <c r="Q18" s="56" t="n"/>
      <c r="R18" s="56" t="n"/>
      <c r="S18" s="56" t="n"/>
      <c r="T18" s="49">
        <f>IFERROR((S18-R18)/R18,"")</f>
        <v/>
      </c>
    </row>
    <row r="19" ht="15" customHeight="1" s="39">
      <c r="A19" s="46" t="inlineStr">
        <is>
          <t>Profit Before Tax (PBT)</t>
        </is>
      </c>
      <c r="B19" s="47" t="inlineStr">
        <is>
          <t>INR cr</t>
        </is>
      </c>
      <c r="C19" s="56" t="n"/>
      <c r="D19" s="56" t="n"/>
      <c r="E19" s="56" t="n"/>
      <c r="F19" s="56" t="n"/>
      <c r="G19" s="56" t="n"/>
      <c r="H19" s="57" t="n">
        <v>514.775</v>
      </c>
      <c r="I19" s="57" t="n">
        <v>697.85</v>
      </c>
      <c r="J19" s="57" t="n">
        <v>743.29</v>
      </c>
      <c r="K19" s="49">
        <f>IFERROR((J19-I19)/I19,"")</f>
        <v/>
      </c>
      <c r="L19" s="56" t="n"/>
      <c r="M19" s="56" t="n"/>
      <c r="N19" s="56" t="n"/>
      <c r="O19" s="56" t="n"/>
      <c r="P19" s="56" t="n"/>
      <c r="Q19" s="57" t="n">
        <v>895.99</v>
      </c>
      <c r="R19" s="57" t="n">
        <v>1072.65</v>
      </c>
      <c r="S19" s="57" t="n">
        <v>1169.22</v>
      </c>
      <c r="T19" s="49">
        <f>IFERROR((S19-R19)/R19,"")</f>
        <v/>
      </c>
    </row>
    <row r="20" ht="15" customHeight="1" s="39">
      <c r="A20" s="46" t="inlineStr">
        <is>
          <t>Profit After Tax (PAT)</t>
        </is>
      </c>
      <c r="B20" s="47" t="inlineStr">
        <is>
          <t>INR cr</t>
        </is>
      </c>
      <c r="C20" s="56" t="n"/>
      <c r="D20" s="56" t="n"/>
      <c r="E20" s="56" t="n"/>
      <c r="F20" s="56" t="n"/>
      <c r="G20" s="56" t="n"/>
      <c r="H20" s="57" t="n">
        <v>597.846</v>
      </c>
      <c r="I20" s="57" t="n">
        <v>482.81</v>
      </c>
      <c r="J20" s="57" t="n">
        <v>403.47</v>
      </c>
      <c r="K20" s="49">
        <f>IFERROR((J20-I20)/I20,"")</f>
        <v/>
      </c>
      <c r="L20" s="56" t="n"/>
      <c r="M20" s="56" t="n"/>
      <c r="N20" s="56" t="n"/>
      <c r="O20" s="56" t="n"/>
      <c r="P20" s="56" t="n"/>
      <c r="Q20" s="57" t="n">
        <v>893.91</v>
      </c>
      <c r="R20" s="57" t="n">
        <v>1069.01</v>
      </c>
      <c r="S20" s="57" t="n">
        <v>1168.43</v>
      </c>
      <c r="T20" s="49">
        <f>IFERROR((S20-R20)/R20,"")</f>
        <v/>
      </c>
    </row>
    <row r="21" ht="15" customHeight="1" s="39">
      <c r="A21" s="46" t="inlineStr">
        <is>
          <t>PAT Margin</t>
        </is>
      </c>
      <c r="B21" s="47" t="inlineStr">
        <is>
          <t>%</t>
        </is>
      </c>
      <c r="C21" s="49">
        <f>IF(OR(C20="",C9="",N(C9)=0),"",C20/C9)</f>
        <v/>
      </c>
      <c r="D21" s="49">
        <f>IF(OR(D20="",D9="",N(D9)=0),"",D20/D9)</f>
        <v/>
      </c>
      <c r="E21" s="49">
        <f>IF(OR(E20="",E9="",N(E9)=0),"",E20/E9)</f>
        <v/>
      </c>
      <c r="F21" s="49">
        <f>IF(OR(F20="",F9="",N(F9)=0),"",F20/F9)</f>
        <v/>
      </c>
      <c r="G21" s="49">
        <f>IF(OR(G20="",G9="",N(G9)=0),"",G20/G9)</f>
        <v/>
      </c>
      <c r="H21" s="49">
        <f>IF(OR(H20="",H9="",N(H9)=0),"",H20/H9)</f>
        <v/>
      </c>
      <c r="I21" s="49">
        <f>IF(OR(I20="",I9="",N(I9)=0),"",I20/I9)</f>
        <v/>
      </c>
      <c r="J21" s="49">
        <f>IF(OR(J20="",J9="",N(J9)=0),"",J20/J9)</f>
        <v/>
      </c>
      <c r="L21" s="49">
        <f>IF(OR(L20="",L9="",N(L9)=0),"",L20/L9)</f>
        <v/>
      </c>
      <c r="M21" s="49">
        <f>IF(OR(M20="",M9="",N(M9)=0),"",M20/M9)</f>
        <v/>
      </c>
      <c r="N21" s="49">
        <f>IF(OR(N20="",N9="",N(N9)=0),"",N20/N9)</f>
        <v/>
      </c>
      <c r="O21" s="49">
        <f>IF(OR(O20="",O9="",N(O9)=0),"",O20/O9)</f>
        <v/>
      </c>
      <c r="P21" s="49">
        <f>IF(OR(P20="",P9="",N(P9)=0),"",P20/P9)</f>
        <v/>
      </c>
      <c r="Q21" s="49">
        <f>IF(OR(Q20="",Q9="",N(Q9)=0),"",Q20/Q9)</f>
        <v/>
      </c>
      <c r="R21" s="49">
        <f>IF(OR(R20="",R9="",N(R9)=0),"",R20/R9)</f>
        <v/>
      </c>
      <c r="S21" s="49">
        <f>IF(OR(S20="",S9="",N(S9)=0),"",S20/S9)</f>
        <v/>
      </c>
    </row>
    <row r="22" ht="15" customHeight="1" s="39">
      <c r="A22" s="53" t="inlineStr">
        <is>
          <t>DISTRIBUTIONS &amp; CASH FLOW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</row>
    <row r="23" ht="15" customHeight="1" s="39">
      <c r="A23" s="46" t="inlineStr">
        <is>
          <t>Net Distributable Cash Flow (NDCF)</t>
        </is>
      </c>
      <c r="B23" s="47" t="inlineStr">
        <is>
          <t>INR cr</t>
        </is>
      </c>
      <c r="C23" s="56" t="n"/>
      <c r="D23" s="56" t="n"/>
      <c r="E23" s="56" t="n"/>
      <c r="F23" s="56" t="n"/>
      <c r="G23" s="56" t="n"/>
      <c r="H23" s="57" t="n">
        <v>1071.863</v>
      </c>
      <c r="I23" s="57" t="n">
        <v>1190.48</v>
      </c>
      <c r="J23" s="57" t="n">
        <v>1279.32</v>
      </c>
      <c r="K23" s="49">
        <f>IFERROR((J23-I23)/I23,"")</f>
        <v/>
      </c>
      <c r="L23" s="58" t="inlineStr">
        <is>
          <t>n/a</t>
        </is>
      </c>
      <c r="M23" s="58" t="inlineStr">
        <is>
          <t>n/a</t>
        </is>
      </c>
      <c r="N23" s="58" t="inlineStr">
        <is>
          <t>n/a</t>
        </is>
      </c>
      <c r="O23" s="58" t="inlineStr">
        <is>
          <t>n/a</t>
        </is>
      </c>
      <c r="P23" s="58" t="inlineStr">
        <is>
          <t>n/a</t>
        </is>
      </c>
      <c r="Q23" s="58" t="inlineStr">
        <is>
          <t>n/a</t>
        </is>
      </c>
      <c r="R23" s="58" t="inlineStr">
        <is>
          <t>n/a</t>
        </is>
      </c>
      <c r="S23" s="58" t="inlineStr">
        <is>
          <t>n/a</t>
        </is>
      </c>
      <c r="T23" s="58" t="inlineStr">
        <is>
          <t>n/a</t>
        </is>
      </c>
    </row>
    <row r="24" ht="15" customHeight="1" s="39">
      <c r="A24" s="46" t="inlineStr">
        <is>
          <t>Total Distribution</t>
        </is>
      </c>
      <c r="B24" s="47" t="inlineStr">
        <is>
          <t>INR cr</t>
        </is>
      </c>
      <c r="C24" s="56" t="n"/>
      <c r="D24" s="56" t="n"/>
      <c r="E24" s="56" t="n"/>
      <c r="F24" s="56" t="n"/>
      <c r="G24" s="56" t="n"/>
      <c r="H24" s="57" t="n">
        <v>755.076</v>
      </c>
      <c r="I24" s="57" t="n">
        <v>1234.725</v>
      </c>
      <c r="J24" s="57" t="n">
        <v>1375.77</v>
      </c>
      <c r="K24" s="49">
        <f>IFERROR((J24-I24)/I24,"")</f>
        <v/>
      </c>
      <c r="L24" s="58" t="inlineStr">
        <is>
          <t>n/a</t>
        </is>
      </c>
      <c r="M24" s="58" t="inlineStr">
        <is>
          <t>n/a</t>
        </is>
      </c>
      <c r="N24" s="58" t="inlineStr">
        <is>
          <t>n/a</t>
        </is>
      </c>
      <c r="O24" s="58" t="inlineStr">
        <is>
          <t>n/a</t>
        </is>
      </c>
      <c r="P24" s="58" t="inlineStr">
        <is>
          <t>n/a</t>
        </is>
      </c>
      <c r="Q24" s="58" t="inlineStr">
        <is>
          <t>n/a</t>
        </is>
      </c>
      <c r="R24" s="58" t="inlineStr">
        <is>
          <t>n/a</t>
        </is>
      </c>
      <c r="S24" s="58" t="inlineStr">
        <is>
          <t>n/a</t>
        </is>
      </c>
      <c r="T24" s="58" t="inlineStr">
        <is>
          <t>n/a</t>
        </is>
      </c>
    </row>
    <row r="25" ht="15" customHeight="1" s="39">
      <c r="A25" s="46" t="inlineStr">
        <is>
          <t>Distribution per Unit (DPU)</t>
        </is>
      </c>
      <c r="B25" s="47" t="inlineStr">
        <is>
          <t>INR/unit</t>
        </is>
      </c>
      <c r="C25" s="59" t="n"/>
      <c r="D25" s="59" t="n"/>
      <c r="E25" s="59" t="n"/>
      <c r="F25" s="59" t="n"/>
      <c r="G25" s="59" t="n"/>
      <c r="H25" s="60" t="n">
        <v>4.99</v>
      </c>
      <c r="I25" s="60" t="n">
        <v>8.15</v>
      </c>
      <c r="J25" s="60" t="n">
        <v>9.08</v>
      </c>
      <c r="K25" s="49">
        <f>IFERROR((J25-I25)/I25,"")</f>
        <v/>
      </c>
      <c r="L25" s="58" t="inlineStr">
        <is>
          <t>n/a</t>
        </is>
      </c>
      <c r="M25" s="58" t="inlineStr">
        <is>
          <t>n/a</t>
        </is>
      </c>
      <c r="N25" s="58" t="inlineStr">
        <is>
          <t>n/a</t>
        </is>
      </c>
      <c r="O25" s="58" t="inlineStr">
        <is>
          <t>n/a</t>
        </is>
      </c>
      <c r="P25" s="58" t="inlineStr">
        <is>
          <t>n/a</t>
        </is>
      </c>
      <c r="Q25" s="58" t="inlineStr">
        <is>
          <t>n/a</t>
        </is>
      </c>
      <c r="R25" s="58" t="inlineStr">
        <is>
          <t>n/a</t>
        </is>
      </c>
      <c r="S25" s="58" t="inlineStr">
        <is>
          <t>n/a</t>
        </is>
      </c>
      <c r="T25" s="58" t="inlineStr">
        <is>
          <t>n/a</t>
        </is>
      </c>
    </row>
    <row r="26" ht="15" customHeight="1" s="39">
      <c r="A26" s="46" t="inlineStr">
        <is>
          <t>NDCF Payout Ratio</t>
        </is>
      </c>
      <c r="B26" s="47" t="inlineStr">
        <is>
          <t>%</t>
        </is>
      </c>
      <c r="C26" s="49">
        <f>IF(OR(C24="",C23="",N(C23)=0),"",C24/C23)</f>
        <v/>
      </c>
      <c r="D26" s="49">
        <f>IF(OR(D24="",D23="",N(D23)=0),"",D24/D23)</f>
        <v/>
      </c>
      <c r="E26" s="49">
        <f>IF(OR(E24="",E23="",N(E23)=0),"",E24/E23)</f>
        <v/>
      </c>
      <c r="F26" s="49">
        <f>IF(OR(F24="",F23="",N(F23)=0),"",F24/F23)</f>
        <v/>
      </c>
      <c r="G26" s="49">
        <f>IF(OR(G24="",G23="",N(G23)=0),"",G24/G23)</f>
        <v/>
      </c>
      <c r="H26" s="49">
        <f>IF(OR(H24="",H23="",N(H23)=0),"",H24/H23)</f>
        <v/>
      </c>
      <c r="I26" s="49">
        <f>IF(OR(I24="",I23="",N(I23)=0),"",I24/I23)</f>
        <v/>
      </c>
      <c r="J26" s="49">
        <f>IF(OR(J24="",J23="",N(J23)=0),"",J24/J23)</f>
        <v/>
      </c>
      <c r="L26" s="58" t="inlineStr">
        <is>
          <t>n/a</t>
        </is>
      </c>
      <c r="M26" s="58" t="inlineStr">
        <is>
          <t>n/a</t>
        </is>
      </c>
      <c r="N26" s="58" t="inlineStr">
        <is>
          <t>n/a</t>
        </is>
      </c>
      <c r="O26" s="58" t="inlineStr">
        <is>
          <t>n/a</t>
        </is>
      </c>
      <c r="P26" s="58" t="inlineStr">
        <is>
          <t>n/a</t>
        </is>
      </c>
      <c r="Q26" s="58" t="inlineStr">
        <is>
          <t>n/a</t>
        </is>
      </c>
      <c r="R26" s="58" t="inlineStr">
        <is>
          <t>n/a</t>
        </is>
      </c>
      <c r="S26" s="58" t="inlineStr">
        <is>
          <t>n/a</t>
        </is>
      </c>
      <c r="T26" s="58" t="inlineStr">
        <is>
          <t>n/a</t>
        </is>
      </c>
    </row>
    <row r="27" ht="15" customHeight="1" s="39">
      <c r="A27" s="53" t="inlineStr">
        <is>
          <t>BALANCE SHEET &amp; LEVERAGE</t>
        </is>
      </c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</row>
    <row r="28" ht="15" customHeight="1" s="39">
      <c r="A28" s="46" t="inlineStr">
        <is>
          <t>Gross Asset Value (GAV) / AUM</t>
        </is>
      </c>
      <c r="B28" s="47" t="inlineStr">
        <is>
          <t>INR cr</t>
        </is>
      </c>
      <c r="C28" s="56" t="n"/>
      <c r="D28" s="56" t="n"/>
      <c r="E28" s="56" t="n"/>
      <c r="F28" s="56" t="n"/>
      <c r="G28" s="56" t="n"/>
      <c r="H28" s="57" t="n">
        <v>27083.693</v>
      </c>
      <c r="I28" s="57" t="n">
        <v>29411.332</v>
      </c>
      <c r="J28" s="57" t="n">
        <v>30558.3</v>
      </c>
      <c r="K28" s="49">
        <f>IFERROR((J28-I28)/I28,"")</f>
        <v/>
      </c>
      <c r="L28" s="58" t="inlineStr">
        <is>
          <t>n/a</t>
        </is>
      </c>
      <c r="M28" s="58" t="inlineStr">
        <is>
          <t>n/a</t>
        </is>
      </c>
      <c r="N28" s="58" t="inlineStr">
        <is>
          <t>n/a</t>
        </is>
      </c>
      <c r="O28" s="58" t="inlineStr">
        <is>
          <t>n/a</t>
        </is>
      </c>
      <c r="P28" s="58" t="inlineStr">
        <is>
          <t>n/a</t>
        </is>
      </c>
      <c r="Q28" s="58" t="inlineStr">
        <is>
          <t>n/a</t>
        </is>
      </c>
      <c r="R28" s="58" t="inlineStr">
        <is>
          <t>n/a</t>
        </is>
      </c>
      <c r="S28" s="58" t="inlineStr">
        <is>
          <t>n/a</t>
        </is>
      </c>
      <c r="T28" s="58" t="inlineStr">
        <is>
          <t>n/a</t>
        </is>
      </c>
    </row>
    <row r="29" ht="15" customHeight="1" s="39">
      <c r="A29" s="46" t="inlineStr">
        <is>
          <t>Gross Debt</t>
        </is>
      </c>
      <c r="B29" s="47" t="inlineStr">
        <is>
          <t>INR cr</t>
        </is>
      </c>
      <c r="C29" s="56" t="n"/>
      <c r="D29" s="56" t="n"/>
      <c r="E29" s="56" t="n"/>
      <c r="F29" s="56" t="n"/>
      <c r="G29" s="56" t="n"/>
      <c r="H29" s="57" t="n">
        <v>4263.531</v>
      </c>
      <c r="I29" s="57" t="n">
        <v>5328.55</v>
      </c>
      <c r="J29" s="57" t="n">
        <v>6197.23</v>
      </c>
      <c r="K29" s="49">
        <f>IFERROR((J29-I29)/I29,"")</f>
        <v/>
      </c>
      <c r="L29" s="56" t="n"/>
      <c r="M29" s="56" t="n"/>
      <c r="N29" s="56" t="n"/>
      <c r="O29" s="56" t="n"/>
      <c r="P29" s="56" t="n"/>
      <c r="Q29" s="57" t="n">
        <v>7224.537</v>
      </c>
      <c r="R29" s="57" t="n">
        <v>3521.13</v>
      </c>
      <c r="S29" s="57" t="n">
        <v>4384.91</v>
      </c>
      <c r="T29" s="49">
        <f>IFERROR((S29-R29)/R29,"")</f>
        <v/>
      </c>
    </row>
    <row r="30" ht="15" customHeight="1" s="39">
      <c r="A30" s="46" t="inlineStr">
        <is>
          <t>Cash &amp; Cash Equivalents</t>
        </is>
      </c>
      <c r="B30" s="47" t="inlineStr">
        <is>
          <t>INR cr</t>
        </is>
      </c>
      <c r="C30" s="56" t="n"/>
      <c r="D30" s="56" t="n"/>
      <c r="E30" s="56" t="n"/>
      <c r="F30" s="56" t="n"/>
      <c r="G30" s="56" t="n"/>
      <c r="H30" s="57" t="n">
        <v>39.404</v>
      </c>
      <c r="I30" s="57" t="n">
        <v>19.3</v>
      </c>
      <c r="J30" s="57" t="n">
        <v>36.03</v>
      </c>
      <c r="K30" s="49">
        <f>IFERROR((J30-I30)/I30,"")</f>
        <v/>
      </c>
      <c r="L30" s="56" t="n"/>
      <c r="M30" s="56" t="n"/>
      <c r="N30" s="56" t="n"/>
      <c r="O30" s="56" t="n"/>
      <c r="P30" s="56" t="n"/>
      <c r="Q30" s="57" t="n">
        <v>52.016</v>
      </c>
      <c r="R30" s="57" t="n">
        <v>7.72</v>
      </c>
      <c r="S30" s="57" t="n">
        <v>23.11</v>
      </c>
      <c r="T30" s="49">
        <f>IFERROR((S30-R30)/R30,"")</f>
        <v/>
      </c>
    </row>
    <row r="31" ht="15" customHeight="1" s="39">
      <c r="A31" s="46" t="inlineStr">
        <is>
          <t>Net Debt</t>
        </is>
      </c>
      <c r="B31" s="47" t="inlineStr">
        <is>
          <t>INR cr</t>
        </is>
      </c>
      <c r="C31" s="48">
        <f>IF(C29="","",C29-N(C30))</f>
        <v/>
      </c>
      <c r="D31" s="48">
        <f>IF(D29="","",D29-N(D30))</f>
        <v/>
      </c>
      <c r="E31" s="48">
        <f>IF(E29="","",E29-N(E30))</f>
        <v/>
      </c>
      <c r="F31" s="48">
        <f>IF(F29="","",F29-N(F30))</f>
        <v/>
      </c>
      <c r="G31" s="48">
        <f>IF(G29="","",G29-N(G30))</f>
        <v/>
      </c>
      <c r="H31" s="48">
        <f>IF(H29="","",H29-N(H30))</f>
        <v/>
      </c>
      <c r="I31" s="48">
        <f>IF(I29="","",I29-N(I30))</f>
        <v/>
      </c>
      <c r="J31" s="48">
        <f>IF(J29="","",J29-N(J30))</f>
        <v/>
      </c>
      <c r="K31" s="49">
        <f>IFERROR((J31-I31)/I31,"")</f>
        <v/>
      </c>
      <c r="L31" s="48">
        <f>IF(L29="","",L29-N(L30))</f>
        <v/>
      </c>
      <c r="M31" s="48">
        <f>IF(M29="","",M29-N(M30))</f>
        <v/>
      </c>
      <c r="N31" s="48">
        <f>IF(N29="","",N29-N(N30))</f>
        <v/>
      </c>
      <c r="O31" s="48">
        <f>IF(O29="","",O29-N(O30))</f>
        <v/>
      </c>
      <c r="P31" s="48">
        <f>IF(P29="","",P29-N(P30))</f>
        <v/>
      </c>
      <c r="Q31" s="48">
        <f>IF(Q29="","",Q29-N(Q30))</f>
        <v/>
      </c>
      <c r="R31" s="48">
        <f>IF(R29="","",R29-N(R30))</f>
        <v/>
      </c>
      <c r="S31" s="48">
        <f>IF(S29="","",S29-N(S30))</f>
        <v/>
      </c>
      <c r="T31" s="49">
        <f>IFERROR((S31-R31)/R31,"")</f>
        <v/>
      </c>
    </row>
    <row r="32" ht="15" customHeight="1" s="39">
      <c r="A32" s="46" t="inlineStr">
        <is>
          <t>Net Worth / Unitholders Equity</t>
        </is>
      </c>
      <c r="B32" s="47" t="inlineStr">
        <is>
          <t>INR cr</t>
        </is>
      </c>
      <c r="C32" s="56" t="n"/>
      <c r="D32" s="56" t="n"/>
      <c r="E32" s="56" t="n"/>
      <c r="F32" s="56" t="n"/>
      <c r="G32" s="56" t="n"/>
      <c r="H32" s="57" t="n">
        <v>14934.85</v>
      </c>
      <c r="I32" s="57" t="n">
        <v>14138.66</v>
      </c>
      <c r="J32" s="57" t="n">
        <v>13210.1</v>
      </c>
      <c r="K32" s="49">
        <f>IFERROR((J32-I32)/I32,"")</f>
        <v/>
      </c>
      <c r="L32" s="56" t="n"/>
      <c r="M32" s="56" t="n"/>
      <c r="N32" s="56" t="n"/>
      <c r="O32" s="56" t="n"/>
      <c r="P32" s="56" t="n"/>
      <c r="Q32" s="57" t="n">
        <v>15230.914</v>
      </c>
      <c r="R32" s="57" t="n">
        <v>15021.11</v>
      </c>
      <c r="S32" s="57" t="n">
        <v>14857.09</v>
      </c>
      <c r="T32" s="49">
        <f>IFERROR((S32-R32)/R32,"")</f>
        <v/>
      </c>
    </row>
    <row r="33" ht="15" customHeight="1" s="39">
      <c r="A33" s="46" t="inlineStr">
        <is>
          <t>Loan-to-Value (LTV)</t>
        </is>
      </c>
      <c r="B33" s="47" t="inlineStr">
        <is>
          <t>%</t>
        </is>
      </c>
      <c r="C33" s="49">
        <f>IF(OR(C31="",C28="",N(C28)=0),"",C31/C28)</f>
        <v/>
      </c>
      <c r="D33" s="49">
        <f>IF(OR(D31="",D28="",N(D28)=0),"",D31/D28)</f>
        <v/>
      </c>
      <c r="E33" s="49">
        <f>IF(OR(E31="",E28="",N(E28)=0),"",E31/E28)</f>
        <v/>
      </c>
      <c r="F33" s="49">
        <f>IF(OR(F31="",F28="",N(F28)=0),"",F31/F28)</f>
        <v/>
      </c>
      <c r="G33" s="49">
        <f>IF(OR(G31="",G28="",N(G28)=0),"",G31/G28)</f>
        <v/>
      </c>
      <c r="H33" s="49">
        <f>IF(OR(H31="",H28="",N(H28)=0),"",H31/H28)</f>
        <v/>
      </c>
      <c r="I33" s="49">
        <f>IF(OR(I31="",I28="",N(I28)=0),"",I31/I28)</f>
        <v/>
      </c>
      <c r="J33" s="49">
        <f>IF(OR(J31="",J28="",N(J28)=0),"",J31/J28)</f>
        <v/>
      </c>
      <c r="L33" s="49">
        <f>IF(OR(L31="",L28="",N(L28)=0),"",L31/L28)</f>
        <v/>
      </c>
      <c r="M33" s="49">
        <f>IF(OR(M31="",M28="",N(M28)=0),"",M31/M28)</f>
        <v/>
      </c>
      <c r="N33" s="49">
        <f>IF(OR(N31="",N28="",N(N28)=0),"",N31/N28)</f>
        <v/>
      </c>
      <c r="O33" s="49">
        <f>IF(OR(O31="",O28="",N(O28)=0),"",O31/O28)</f>
        <v/>
      </c>
      <c r="P33" s="49">
        <f>IF(OR(P31="",P28="",N(P28)=0),"",P31/P28)</f>
        <v/>
      </c>
      <c r="Q33" s="49">
        <f>IF(OR(Q31="",Q28="",N(Q28)=0),"",Q31/Q28)</f>
        <v/>
      </c>
      <c r="R33" s="49">
        <f>IF(OR(R31="",R28="",N(R28)=0),"",R31/R28)</f>
        <v/>
      </c>
      <c r="S33" s="49">
        <f>IF(OR(S31="",S28="",N(S28)=0),"",S31/S28)</f>
        <v/>
      </c>
    </row>
    <row r="34" ht="15" customHeight="1" s="39">
      <c r="A34" s="46" t="inlineStr">
        <is>
          <t>NAV per Unit</t>
        </is>
      </c>
      <c r="B34" s="47" t="inlineStr">
        <is>
          <t>INR/unit</t>
        </is>
      </c>
      <c r="C34" s="59" t="n"/>
      <c r="D34" s="59" t="n"/>
      <c r="E34" s="59" t="n"/>
      <c r="F34" s="59" t="n"/>
      <c r="G34" s="59" t="n"/>
      <c r="H34" s="60" t="n">
        <v>98.58</v>
      </c>
      <c r="I34" s="60" t="n">
        <v>93.31999999999999</v>
      </c>
      <c r="J34" s="60" t="n">
        <v>87.7</v>
      </c>
      <c r="K34" s="49">
        <f>IFERROR((J34-I34)/I34,"")</f>
        <v/>
      </c>
      <c r="L34" s="58" t="inlineStr">
        <is>
          <t>n/a</t>
        </is>
      </c>
      <c r="M34" s="58" t="inlineStr">
        <is>
          <t>n/a</t>
        </is>
      </c>
      <c r="N34" s="58" t="inlineStr">
        <is>
          <t>n/a</t>
        </is>
      </c>
      <c r="O34" s="58" t="inlineStr">
        <is>
          <t>n/a</t>
        </is>
      </c>
      <c r="P34" s="58" t="inlineStr">
        <is>
          <t>n/a</t>
        </is>
      </c>
      <c r="Q34" s="58" t="inlineStr">
        <is>
          <t>n/a</t>
        </is>
      </c>
      <c r="R34" s="58" t="inlineStr">
        <is>
          <t>n/a</t>
        </is>
      </c>
      <c r="S34" s="58" t="inlineStr">
        <is>
          <t>n/a</t>
        </is>
      </c>
      <c r="T34" s="58" t="inlineStr">
        <is>
          <t>n/a</t>
        </is>
      </c>
    </row>
    <row r="35" ht="15" customHeight="1" s="39">
      <c r="A35" s="53" t="inlineStr">
        <is>
          <t>MARKET DATA</t>
        </is>
      </c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</row>
    <row r="36" ht="15" customHeight="1" s="39">
      <c r="A36" s="46" t="inlineStr">
        <is>
          <t>Units Outstanding</t>
        </is>
      </c>
      <c r="B36" s="47" t="inlineStr">
        <is>
          <t>mn units</t>
        </is>
      </c>
      <c r="C36" s="59" t="n"/>
      <c r="D36" s="59" t="n"/>
      <c r="E36" s="59" t="n"/>
      <c r="F36" s="59" t="n"/>
      <c r="G36" s="59" t="n"/>
      <c r="H36" s="60" t="n">
        <v>1515</v>
      </c>
      <c r="I36" s="60" t="n">
        <v>1515</v>
      </c>
      <c r="J36" s="60" t="n">
        <v>1515</v>
      </c>
      <c r="K36" s="49">
        <f>IFERROR((J36-I36)/I36,"")</f>
        <v/>
      </c>
      <c r="L36" s="58" t="inlineStr">
        <is>
          <t>n/a</t>
        </is>
      </c>
      <c r="M36" s="58" t="inlineStr">
        <is>
          <t>n/a</t>
        </is>
      </c>
      <c r="N36" s="58" t="inlineStr">
        <is>
          <t>n/a</t>
        </is>
      </c>
      <c r="O36" s="58" t="inlineStr">
        <is>
          <t>n/a</t>
        </is>
      </c>
      <c r="P36" s="58" t="inlineStr">
        <is>
          <t>n/a</t>
        </is>
      </c>
      <c r="Q36" s="58" t="inlineStr">
        <is>
          <t>n/a</t>
        </is>
      </c>
      <c r="R36" s="58" t="inlineStr">
        <is>
          <t>n/a</t>
        </is>
      </c>
      <c r="S36" s="58" t="inlineStr">
        <is>
          <t>n/a</t>
        </is>
      </c>
      <c r="T36" s="58" t="inlineStr">
        <is>
          <t>n/a</t>
        </is>
      </c>
    </row>
    <row r="37" ht="15" customHeight="1" s="39">
      <c r="A37" s="46" t="inlineStr">
        <is>
          <t>Unit Price (period-end)</t>
        </is>
      </c>
      <c r="B37" s="47" t="inlineStr">
        <is>
          <t>INR/unit</t>
        </is>
      </c>
      <c r="C37" s="59" t="n"/>
      <c r="D37" s="59" t="n"/>
      <c r="E37" s="59" t="n"/>
      <c r="F37" s="59" t="n"/>
      <c r="G37" s="59" t="n"/>
      <c r="H37" s="60" t="n">
        <v>128</v>
      </c>
      <c r="I37" s="60" t="n">
        <v>130.5</v>
      </c>
      <c r="J37" s="60" t="n">
        <v>151</v>
      </c>
      <c r="K37" s="49">
        <f>IFERROR((J37-I37)/I37,"")</f>
        <v/>
      </c>
      <c r="L37" s="58" t="inlineStr">
        <is>
          <t>n/a</t>
        </is>
      </c>
      <c r="M37" s="58" t="inlineStr">
        <is>
          <t>n/a</t>
        </is>
      </c>
      <c r="N37" s="58" t="inlineStr">
        <is>
          <t>n/a</t>
        </is>
      </c>
      <c r="O37" s="58" t="inlineStr">
        <is>
          <t>n/a</t>
        </is>
      </c>
      <c r="P37" s="58" t="inlineStr">
        <is>
          <t>n/a</t>
        </is>
      </c>
      <c r="Q37" s="58" t="inlineStr">
        <is>
          <t>n/a</t>
        </is>
      </c>
      <c r="R37" s="58" t="inlineStr">
        <is>
          <t>n/a</t>
        </is>
      </c>
      <c r="S37" s="58" t="inlineStr">
        <is>
          <t>n/a</t>
        </is>
      </c>
      <c r="T37" s="58" t="inlineStr">
        <is>
          <t>n/a</t>
        </is>
      </c>
    </row>
    <row r="38" ht="15" customHeight="1" s="39">
      <c r="A38" s="46" t="inlineStr">
        <is>
          <t>Market Capitalisation</t>
        </is>
      </c>
      <c r="B38" s="47" t="inlineStr">
        <is>
          <t>INR cr</t>
        </is>
      </c>
      <c r="C38" s="48">
        <f>IF(OR(C36="",C37=""),"",C36*C37/10)</f>
        <v/>
      </c>
      <c r="D38" s="48">
        <f>IF(OR(D36="",D37=""),"",D36*D37/10)</f>
        <v/>
      </c>
      <c r="E38" s="48">
        <f>IF(OR(E36="",E37=""),"",E36*E37/10)</f>
        <v/>
      </c>
      <c r="F38" s="48">
        <f>IF(OR(F36="",F37=""),"",F36*F37/10)</f>
        <v/>
      </c>
      <c r="G38" s="48">
        <f>IF(OR(G36="",G37=""),"",G36*G37/10)</f>
        <v/>
      </c>
      <c r="H38" s="48">
        <f>IF(OR(H36="",H37=""),"",H36*H37/10)</f>
        <v/>
      </c>
      <c r="I38" s="48">
        <f>IF(OR(I36="",I37=""),"",I36*I37/10)</f>
        <v/>
      </c>
      <c r="J38" s="48">
        <f>IF(OR(J36="",J37=""),"",J36*J37/10)</f>
        <v/>
      </c>
      <c r="K38" s="49">
        <f>IFERROR((J38-I38)/I38,"")</f>
        <v/>
      </c>
      <c r="L38" s="58" t="inlineStr">
        <is>
          <t>n/a</t>
        </is>
      </c>
      <c r="M38" s="58" t="inlineStr">
        <is>
          <t>n/a</t>
        </is>
      </c>
      <c r="N38" s="58" t="inlineStr">
        <is>
          <t>n/a</t>
        </is>
      </c>
      <c r="O38" s="58" t="inlineStr">
        <is>
          <t>n/a</t>
        </is>
      </c>
      <c r="P38" s="58" t="inlineStr">
        <is>
          <t>n/a</t>
        </is>
      </c>
      <c r="Q38" s="58" t="inlineStr">
        <is>
          <t>n/a</t>
        </is>
      </c>
      <c r="R38" s="58" t="inlineStr">
        <is>
          <t>n/a</t>
        </is>
      </c>
      <c r="S38" s="58" t="inlineStr">
        <is>
          <t>n/a</t>
        </is>
      </c>
      <c r="T38" s="58" t="inlineStr">
        <is>
          <t>n/a</t>
        </is>
      </c>
    </row>
    <row r="39" ht="15" customHeight="1" s="39">
      <c r="A39" s="46" t="inlineStr">
        <is>
          <t>Annual Distribution Yield</t>
        </is>
      </c>
      <c r="B39" s="47" t="inlineStr">
        <is>
          <t>%</t>
        </is>
      </c>
      <c r="C39" s="49">
        <f>IF(OR(C25="",C37="",N(C37)=0),"",C25/C37)</f>
        <v/>
      </c>
      <c r="D39" s="49">
        <f>IF(OR(D25="",D37="",N(D37)=0),"",D25/D37)</f>
        <v/>
      </c>
      <c r="E39" s="49">
        <f>IF(OR(E25="",E37="",N(E37)=0),"",E25/E37)</f>
        <v/>
      </c>
      <c r="F39" s="49">
        <f>IF(OR(F25="",F37="",N(F37)=0),"",F25/F37)</f>
        <v/>
      </c>
      <c r="G39" s="49">
        <f>IF(OR(G25="",G37="",N(G37)=0),"",G25/G37)</f>
        <v/>
      </c>
      <c r="H39" s="49">
        <f>IF(OR(H25="",H37="",N(H37)=0),"",H25/H37)</f>
        <v/>
      </c>
      <c r="I39" s="49">
        <f>IF(OR(I25="",I37="",N(I37)=0),"",I25/I37)</f>
        <v/>
      </c>
      <c r="J39" s="49">
        <f>IF(OR(J25="",J37="",N(J37)=0),"",J25/J37)</f>
        <v/>
      </c>
      <c r="L39" s="58" t="inlineStr">
        <is>
          <t>n/a</t>
        </is>
      </c>
      <c r="M39" s="58" t="inlineStr">
        <is>
          <t>n/a</t>
        </is>
      </c>
      <c r="N39" s="58" t="inlineStr">
        <is>
          <t>n/a</t>
        </is>
      </c>
      <c r="O39" s="58" t="inlineStr">
        <is>
          <t>n/a</t>
        </is>
      </c>
      <c r="P39" s="58" t="inlineStr">
        <is>
          <t>n/a</t>
        </is>
      </c>
      <c r="Q39" s="58" t="inlineStr">
        <is>
          <t>n/a</t>
        </is>
      </c>
      <c r="R39" s="58" t="inlineStr">
        <is>
          <t>n/a</t>
        </is>
      </c>
      <c r="S39" s="58" t="inlineStr">
        <is>
          <t>n/a</t>
        </is>
      </c>
      <c r="T39" s="58" t="inlineStr">
        <is>
          <t>n/a</t>
        </is>
      </c>
    </row>
    <row r="40" ht="15" customHeight="1" s="39">
      <c r="A40" s="46" t="inlineStr">
        <is>
          <t>Cost of Debt</t>
        </is>
      </c>
      <c r="B40" s="47" t="inlineStr">
        <is>
          <t>%</t>
        </is>
      </c>
      <c r="C40" s="61" t="n"/>
      <c r="D40" s="61" t="n"/>
      <c r="E40" s="61" t="n"/>
      <c r="F40" s="61" t="n"/>
      <c r="G40" s="61" t="n"/>
      <c r="H40" s="62" t="n">
        <v>0.08</v>
      </c>
      <c r="I40" s="62" t="n">
        <v>0.08</v>
      </c>
      <c r="J40" s="62" t="n">
        <v>0.075</v>
      </c>
      <c r="L40" s="58" t="inlineStr">
        <is>
          <t>n/a</t>
        </is>
      </c>
      <c r="M40" s="58" t="inlineStr">
        <is>
          <t>n/a</t>
        </is>
      </c>
      <c r="N40" s="58" t="inlineStr">
        <is>
          <t>n/a</t>
        </is>
      </c>
      <c r="O40" s="58" t="inlineStr">
        <is>
          <t>n/a</t>
        </is>
      </c>
      <c r="P40" s="58" t="inlineStr">
        <is>
          <t>n/a</t>
        </is>
      </c>
      <c r="Q40" s="58" t="inlineStr">
        <is>
          <t>n/a</t>
        </is>
      </c>
      <c r="R40" s="58" t="inlineStr">
        <is>
          <t>n/a</t>
        </is>
      </c>
      <c r="S40" s="58" t="inlineStr">
        <is>
          <t>n/a</t>
        </is>
      </c>
      <c r="T40" s="58" t="inlineStr">
        <is>
          <t>n/a</t>
        </is>
      </c>
    </row>
    <row r="41" ht="15" customHeight="1" s="39">
      <c r="A41" s="53" t="inlineStr">
        <is>
          <t>PORTFOLIO &amp; OPERATING METRICS  (consolidated)</t>
        </is>
      </c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</row>
    <row r="42" ht="15" customHeight="1" s="39">
      <c r="A42" s="46" t="inlineStr">
        <is>
          <t>Total Leasable Area (GLA)</t>
        </is>
      </c>
      <c r="B42" s="47" t="inlineStr">
        <is>
          <t>Msf</t>
        </is>
      </c>
      <c r="C42" s="70" t="n"/>
      <c r="D42" s="70" t="n"/>
      <c r="E42" s="70" t="n"/>
      <c r="F42" s="70" t="n"/>
      <c r="G42" s="70" t="n"/>
      <c r="H42" s="63" t="n">
        <v>9.9</v>
      </c>
      <c r="I42" s="63" t="n">
        <v>10.4</v>
      </c>
      <c r="J42" s="63" t="n">
        <v>11.9</v>
      </c>
      <c r="K42" s="49">
        <f>IFERROR((J42-I42)/I42,"")</f>
        <v/>
      </c>
      <c r="L42" s="58" t="inlineStr">
        <is>
          <t>n/a</t>
        </is>
      </c>
      <c r="M42" s="58" t="inlineStr">
        <is>
          <t>n/a</t>
        </is>
      </c>
      <c r="N42" s="58" t="inlineStr">
        <is>
          <t>n/a</t>
        </is>
      </c>
      <c r="O42" s="58" t="inlineStr">
        <is>
          <t>n/a</t>
        </is>
      </c>
      <c r="P42" s="58" t="inlineStr">
        <is>
          <t>n/a</t>
        </is>
      </c>
      <c r="Q42" s="58" t="inlineStr">
        <is>
          <t>n/a</t>
        </is>
      </c>
      <c r="R42" s="58" t="inlineStr">
        <is>
          <t>n/a</t>
        </is>
      </c>
      <c r="S42" s="58" t="inlineStr">
        <is>
          <t>n/a</t>
        </is>
      </c>
      <c r="T42" s="58" t="inlineStr">
        <is>
          <t>n/a</t>
        </is>
      </c>
    </row>
    <row r="43" ht="15" customHeight="1" s="39">
      <c r="A43" s="46" t="inlineStr">
        <is>
          <t>Operational Area</t>
        </is>
      </c>
      <c r="B43" s="47" t="inlineStr">
        <is>
          <t>Msf</t>
        </is>
      </c>
      <c r="C43" s="70" t="n"/>
      <c r="D43" s="70" t="n"/>
      <c r="E43" s="70" t="n"/>
      <c r="F43" s="70" t="n"/>
      <c r="G43" s="70" t="n"/>
      <c r="H43" s="63" t="n">
        <v>9.5</v>
      </c>
      <c r="I43" s="63" t="n">
        <v>10</v>
      </c>
      <c r="J43" s="63" t="n">
        <v>11.3</v>
      </c>
      <c r="K43" s="49">
        <f>IFERROR((J43-I43)/I43,"")</f>
        <v/>
      </c>
      <c r="L43" s="58" t="inlineStr">
        <is>
          <t>n/a</t>
        </is>
      </c>
      <c r="M43" s="58" t="inlineStr">
        <is>
          <t>n/a</t>
        </is>
      </c>
      <c r="N43" s="58" t="inlineStr">
        <is>
          <t>n/a</t>
        </is>
      </c>
      <c r="O43" s="58" t="inlineStr">
        <is>
          <t>n/a</t>
        </is>
      </c>
      <c r="P43" s="58" t="inlineStr">
        <is>
          <t>n/a</t>
        </is>
      </c>
      <c r="Q43" s="58" t="inlineStr">
        <is>
          <t>n/a</t>
        </is>
      </c>
      <c r="R43" s="58" t="inlineStr">
        <is>
          <t>n/a</t>
        </is>
      </c>
      <c r="S43" s="58" t="inlineStr">
        <is>
          <t>n/a</t>
        </is>
      </c>
      <c r="T43" s="58" t="inlineStr">
        <is>
          <t>n/a</t>
        </is>
      </c>
    </row>
    <row r="44" ht="15" customHeight="1" s="39">
      <c r="A44" s="46" t="inlineStr">
        <is>
          <t>Under Construction + Future Development</t>
        </is>
      </c>
      <c r="B44" s="47" t="inlineStr">
        <is>
          <t>Msf</t>
        </is>
      </c>
      <c r="C44" s="70" t="n"/>
      <c r="D44" s="70" t="n"/>
      <c r="E44" s="70" t="n"/>
      <c r="F44" s="70" t="n"/>
      <c r="G44" s="70" t="n"/>
      <c r="H44" s="70" t="n"/>
      <c r="I44" s="70" t="n"/>
      <c r="J44" s="70" t="n"/>
      <c r="K44" s="49">
        <f>IFERROR((J44-I44)/I44,"")</f>
        <v/>
      </c>
      <c r="L44" s="58" t="inlineStr">
        <is>
          <t>n/a</t>
        </is>
      </c>
      <c r="M44" s="58" t="inlineStr">
        <is>
          <t>n/a</t>
        </is>
      </c>
      <c r="N44" s="58" t="inlineStr">
        <is>
          <t>n/a</t>
        </is>
      </c>
      <c r="O44" s="58" t="inlineStr">
        <is>
          <t>n/a</t>
        </is>
      </c>
      <c r="P44" s="58" t="inlineStr">
        <is>
          <t>n/a</t>
        </is>
      </c>
      <c r="Q44" s="58" t="inlineStr">
        <is>
          <t>n/a</t>
        </is>
      </c>
      <c r="R44" s="58" t="inlineStr">
        <is>
          <t>n/a</t>
        </is>
      </c>
      <c r="S44" s="58" t="inlineStr">
        <is>
          <t>n/a</t>
        </is>
      </c>
      <c r="T44" s="58" t="inlineStr">
        <is>
          <t>n/a</t>
        </is>
      </c>
    </row>
    <row r="45" ht="15" customHeight="1" s="39">
      <c r="A45" s="46" t="inlineStr">
        <is>
          <t>Committed Occupancy</t>
        </is>
      </c>
      <c r="B45" s="47" t="inlineStr">
        <is>
          <t>%</t>
        </is>
      </c>
      <c r="C45" s="61" t="n"/>
      <c r="D45" s="61" t="n"/>
      <c r="E45" s="61" t="n"/>
      <c r="F45" s="61" t="n"/>
      <c r="G45" s="61" t="n"/>
      <c r="H45" s="62" t="n">
        <v>0.98</v>
      </c>
      <c r="I45" s="62" t="n">
        <v>0.97</v>
      </c>
      <c r="J45" s="62" t="n">
        <v>0.97</v>
      </c>
      <c r="L45" s="58" t="inlineStr">
        <is>
          <t>n/a</t>
        </is>
      </c>
      <c r="M45" s="58" t="inlineStr">
        <is>
          <t>n/a</t>
        </is>
      </c>
      <c r="N45" s="58" t="inlineStr">
        <is>
          <t>n/a</t>
        </is>
      </c>
      <c r="O45" s="58" t="inlineStr">
        <is>
          <t>n/a</t>
        </is>
      </c>
      <c r="P45" s="58" t="inlineStr">
        <is>
          <t>n/a</t>
        </is>
      </c>
      <c r="Q45" s="58" t="inlineStr">
        <is>
          <t>n/a</t>
        </is>
      </c>
      <c r="R45" s="58" t="inlineStr">
        <is>
          <t>n/a</t>
        </is>
      </c>
      <c r="S45" s="58" t="inlineStr">
        <is>
          <t>n/a</t>
        </is>
      </c>
      <c r="T45" s="58" t="inlineStr">
        <is>
          <t>n/a</t>
        </is>
      </c>
    </row>
    <row r="46" ht="15" customHeight="1" s="39">
      <c r="A46" s="46" t="inlineStr">
        <is>
          <t>In-place / Physical Occupancy</t>
        </is>
      </c>
      <c r="B46" s="47" t="inlineStr">
        <is>
          <t>%</t>
        </is>
      </c>
      <c r="C46" s="61" t="n"/>
      <c r="D46" s="61" t="n"/>
      <c r="E46" s="61" t="n"/>
      <c r="F46" s="61" t="n"/>
      <c r="G46" s="61" t="n"/>
      <c r="H46" s="62" t="n">
        <v>0.96</v>
      </c>
      <c r="I46" s="62" t="n">
        <v>0.97</v>
      </c>
      <c r="J46" s="62" t="n">
        <v>0.95</v>
      </c>
      <c r="L46" s="58" t="inlineStr">
        <is>
          <t>n/a</t>
        </is>
      </c>
      <c r="M46" s="58" t="inlineStr">
        <is>
          <t>n/a</t>
        </is>
      </c>
      <c r="N46" s="58" t="inlineStr">
        <is>
          <t>n/a</t>
        </is>
      </c>
      <c r="O46" s="58" t="inlineStr">
        <is>
          <t>n/a</t>
        </is>
      </c>
      <c r="P46" s="58" t="inlineStr">
        <is>
          <t>n/a</t>
        </is>
      </c>
      <c r="Q46" s="58" t="inlineStr">
        <is>
          <t>n/a</t>
        </is>
      </c>
      <c r="R46" s="58" t="inlineStr">
        <is>
          <t>n/a</t>
        </is>
      </c>
      <c r="S46" s="58" t="inlineStr">
        <is>
          <t>n/a</t>
        </is>
      </c>
      <c r="T46" s="58" t="inlineStr">
        <is>
          <t>n/a</t>
        </is>
      </c>
    </row>
    <row r="47" ht="15" customHeight="1" s="39">
      <c r="A47" s="46" t="inlineStr">
        <is>
          <t>WALE</t>
        </is>
      </c>
      <c r="B47" s="47" t="inlineStr">
        <is>
          <t>years</t>
        </is>
      </c>
      <c r="C47" s="70" t="n"/>
      <c r="D47" s="70" t="n"/>
      <c r="E47" s="70" t="n"/>
      <c r="F47" s="70" t="n"/>
      <c r="G47" s="70" t="n"/>
      <c r="H47" s="63" t="n">
        <v>5.1</v>
      </c>
      <c r="I47" s="63" t="n">
        <v>4.9</v>
      </c>
      <c r="J47" s="63" t="n">
        <v>4.7</v>
      </c>
      <c r="K47" s="49">
        <f>IFERROR((J47-I47)/I47,"")</f>
        <v/>
      </c>
      <c r="L47" s="58" t="inlineStr">
        <is>
          <t>n/a</t>
        </is>
      </c>
      <c r="M47" s="58" t="inlineStr">
        <is>
          <t>n/a</t>
        </is>
      </c>
      <c r="N47" s="58" t="inlineStr">
        <is>
          <t>n/a</t>
        </is>
      </c>
      <c r="O47" s="58" t="inlineStr">
        <is>
          <t>n/a</t>
        </is>
      </c>
      <c r="P47" s="58" t="inlineStr">
        <is>
          <t>n/a</t>
        </is>
      </c>
      <c r="Q47" s="58" t="inlineStr">
        <is>
          <t>n/a</t>
        </is>
      </c>
      <c r="R47" s="58" t="inlineStr">
        <is>
          <t>n/a</t>
        </is>
      </c>
      <c r="S47" s="58" t="inlineStr">
        <is>
          <t>n/a</t>
        </is>
      </c>
      <c r="T47" s="58" t="inlineStr">
        <is>
          <t>n/a</t>
        </is>
      </c>
    </row>
    <row r="48" ht="15" customHeight="1" s="39">
      <c r="A48" s="46" t="inlineStr">
        <is>
          <t>Number of Tenants</t>
        </is>
      </c>
      <c r="B48" s="47" t="inlineStr">
        <is>
          <t>count</t>
        </is>
      </c>
      <c r="C48" s="72" t="n"/>
      <c r="D48" s="72" t="n"/>
      <c r="E48" s="72" t="n"/>
      <c r="F48" s="72" t="n"/>
      <c r="G48" s="72" t="n"/>
      <c r="H48" s="64" t="n">
        <v>3000</v>
      </c>
      <c r="I48" s="64" t="n">
        <v>3000</v>
      </c>
      <c r="J48" s="64" t="n">
        <v>3200</v>
      </c>
      <c r="K48" s="49">
        <f>IFERROR((J48-I48)/I48,"")</f>
        <v/>
      </c>
      <c r="L48" s="58" t="inlineStr">
        <is>
          <t>n/a</t>
        </is>
      </c>
      <c r="M48" s="58" t="inlineStr">
        <is>
          <t>n/a</t>
        </is>
      </c>
      <c r="N48" s="58" t="inlineStr">
        <is>
          <t>n/a</t>
        </is>
      </c>
      <c r="O48" s="58" t="inlineStr">
        <is>
          <t>n/a</t>
        </is>
      </c>
      <c r="P48" s="58" t="inlineStr">
        <is>
          <t>n/a</t>
        </is>
      </c>
      <c r="Q48" s="58" t="inlineStr">
        <is>
          <t>n/a</t>
        </is>
      </c>
      <c r="R48" s="58" t="inlineStr">
        <is>
          <t>n/a</t>
        </is>
      </c>
      <c r="S48" s="58" t="inlineStr">
        <is>
          <t>n/a</t>
        </is>
      </c>
      <c r="T48" s="58" t="inlineStr">
        <is>
          <t>n/a</t>
        </is>
      </c>
    </row>
    <row r="49" ht="15" customHeight="1" s="39">
      <c r="A49" s="46" t="inlineStr">
        <is>
          <t>In-place Rent</t>
        </is>
      </c>
      <c r="B49" s="47" t="inlineStr">
        <is>
          <t>INR psf/mo</t>
        </is>
      </c>
      <c r="C49" s="70" t="n"/>
      <c r="D49" s="70" t="n"/>
      <c r="E49" s="70" t="n"/>
      <c r="F49" s="70" t="n"/>
      <c r="G49" s="70" t="n"/>
      <c r="H49" s="63" t="n">
        <v>127</v>
      </c>
      <c r="I49" s="63" t="n">
        <v>134</v>
      </c>
      <c r="J49" s="70" t="n"/>
      <c r="K49" s="49">
        <f>IFERROR((J49-I49)/I49,"")</f>
        <v/>
      </c>
      <c r="L49" s="58" t="inlineStr">
        <is>
          <t>n/a</t>
        </is>
      </c>
      <c r="M49" s="58" t="inlineStr">
        <is>
          <t>n/a</t>
        </is>
      </c>
      <c r="N49" s="58" t="inlineStr">
        <is>
          <t>n/a</t>
        </is>
      </c>
      <c r="O49" s="58" t="inlineStr">
        <is>
          <t>n/a</t>
        </is>
      </c>
      <c r="P49" s="58" t="inlineStr">
        <is>
          <t>n/a</t>
        </is>
      </c>
      <c r="Q49" s="58" t="inlineStr">
        <is>
          <t>n/a</t>
        </is>
      </c>
      <c r="R49" s="58" t="inlineStr">
        <is>
          <t>n/a</t>
        </is>
      </c>
      <c r="S49" s="58" t="inlineStr">
        <is>
          <t>n/a</t>
        </is>
      </c>
      <c r="T49" s="58" t="inlineStr">
        <is>
          <t>n/a</t>
        </is>
      </c>
    </row>
    <row r="52" ht="15" customHeight="1" s="39">
      <c r="A52" s="65" t="inlineStr">
        <is>
          <t>DEBT &amp; NDCF / DISTRIBUTION DETAIL   (consolidated; INR cr unless noted)</t>
        </is>
      </c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</row>
    <row r="53" ht="15" customHeight="1" s="39">
      <c r="A53" s="67" t="inlineStr">
        <is>
          <t>Metric</t>
        </is>
      </c>
      <c r="B53" s="68" t="inlineStr">
        <is>
          <t>Unit</t>
        </is>
      </c>
      <c r="C53" s="68" t="inlineStr">
        <is>
          <t>FY2019</t>
        </is>
      </c>
      <c r="D53" s="68" t="inlineStr">
        <is>
          <t>FY2020</t>
        </is>
      </c>
      <c r="E53" s="68" t="inlineStr">
        <is>
          <t>FY2021</t>
        </is>
      </c>
      <c r="F53" s="68" t="inlineStr">
        <is>
          <t>FY2022</t>
        </is>
      </c>
      <c r="G53" s="68" t="inlineStr">
        <is>
          <t>FY2023</t>
        </is>
      </c>
      <c r="H53" s="68" t="inlineStr">
        <is>
          <t>FY2024</t>
        </is>
      </c>
      <c r="I53" s="68" t="inlineStr">
        <is>
          <t>FY2025</t>
        </is>
      </c>
      <c r="J53" s="68" t="inlineStr">
        <is>
          <t>FY2026</t>
        </is>
      </c>
    </row>
    <row r="54" ht="15" customHeight="1" s="39">
      <c r="A54" s="69" t="inlineStr">
        <is>
          <t>Distribution composition (NDCF -&gt; unitholders)</t>
        </is>
      </c>
    </row>
    <row r="55" ht="15" customHeight="1" s="39">
      <c r="A55" s="46" t="inlineStr">
        <is>
          <t>Net Distributable Cash Flow (NDCF)</t>
        </is>
      </c>
      <c r="B55" s="47" t="inlineStr">
        <is>
          <t>INR cr</t>
        </is>
      </c>
      <c r="C55" s="48">
        <f>IF(N(C23)=0,IF(C23="","",C23),C23)</f>
        <v/>
      </c>
      <c r="D55" s="48">
        <f>IF(N(D23)=0,IF(D23="","",D23),D23)</f>
        <v/>
      </c>
      <c r="E55" s="48">
        <f>IF(N(E23)=0,IF(E23="","",E23),E23)</f>
        <v/>
      </c>
      <c r="F55" s="48">
        <f>IF(N(F23)=0,IF(F23="","",F23),F23)</f>
        <v/>
      </c>
      <c r="G55" s="48">
        <f>IF(N(G23)=0,IF(G23="","",G23),G23)</f>
        <v/>
      </c>
      <c r="H55" s="48">
        <f>IF(N(H23)=0,IF(H23="","",H23),H23)</f>
        <v/>
      </c>
      <c r="I55" s="48">
        <f>IF(N(I23)=0,IF(I23="","",I23),I23)</f>
        <v/>
      </c>
      <c r="J55" s="48">
        <f>IF(N(J23)=0,IF(J23="","",J23),J23)</f>
        <v/>
      </c>
    </row>
    <row r="56" ht="15" customHeight="1" s="39">
      <c r="A56" s="46" t="inlineStr">
        <is>
          <t>Total Distribution</t>
        </is>
      </c>
      <c r="B56" s="47" t="inlineStr">
        <is>
          <t>INR cr</t>
        </is>
      </c>
      <c r="C56" s="48">
        <f>IF(N(C24)=0,IF(C24="","",C24),C24)</f>
        <v/>
      </c>
      <c r="D56" s="48">
        <f>IF(N(D24)=0,IF(D24="","",D24),D24)</f>
        <v/>
      </c>
      <c r="E56" s="48">
        <f>IF(N(E24)=0,IF(E24="","",E24),E24)</f>
        <v/>
      </c>
      <c r="F56" s="48">
        <f>IF(N(F24)=0,IF(F24="","",F24),F24)</f>
        <v/>
      </c>
      <c r="G56" s="48">
        <f>IF(N(G24)=0,IF(G24="","",G24),G24)</f>
        <v/>
      </c>
      <c r="H56" s="48">
        <f>IF(N(H24)=0,IF(H24="","",H24),H24)</f>
        <v/>
      </c>
      <c r="I56" s="48">
        <f>IF(N(I24)=0,IF(I24="","",I24),I24)</f>
        <v/>
      </c>
      <c r="J56" s="48">
        <f>IF(N(J24)=0,IF(J24="","",J24),J24)</f>
        <v/>
      </c>
      <c r="S56" s="44">
        <f>A7</f>
        <v/>
      </c>
      <c r="T56" s="44">
        <f>B7</f>
        <v/>
      </c>
      <c r="U56" s="44">
        <f>H7</f>
        <v/>
      </c>
      <c r="V56" s="44">
        <f>I7</f>
        <v/>
      </c>
      <c r="W56" s="44">
        <f>J7</f>
        <v/>
      </c>
    </row>
    <row r="57" ht="15" customHeight="1" s="39">
      <c r="A57" s="46" t="inlineStr">
        <is>
          <t xml:space="preserve">  of which: Interest</t>
        </is>
      </c>
      <c r="B57" s="47" t="inlineStr">
        <is>
          <t>INR cr</t>
        </is>
      </c>
      <c r="C57" s="56" t="n"/>
      <c r="D57" s="56" t="n"/>
      <c r="E57" s="56" t="n"/>
      <c r="F57" s="56" t="n"/>
      <c r="G57" s="56" t="n"/>
      <c r="H57" s="56" t="n"/>
      <c r="I57" s="56" t="n"/>
      <c r="J57" s="56" t="n"/>
      <c r="S57" s="46">
        <f>A46</f>
        <v/>
      </c>
      <c r="T57" s="46">
        <f>B46</f>
        <v/>
      </c>
      <c r="U57" s="61">
        <f>H46*10</f>
        <v/>
      </c>
      <c r="V57" s="61" t="n">
        <v>8.800000000000001</v>
      </c>
      <c r="W57" s="61" t="n">
        <v>9.289999999999999</v>
      </c>
    </row>
    <row r="58" ht="15" customHeight="1" s="39">
      <c r="A58" s="46" t="inlineStr">
        <is>
          <t xml:space="preserve">  of which: Dividend</t>
        </is>
      </c>
      <c r="B58" s="47" t="inlineStr">
        <is>
          <t>INR cr</t>
        </is>
      </c>
      <c r="C58" s="56" t="n"/>
      <c r="D58" s="56" t="n"/>
      <c r="E58" s="56" t="n"/>
      <c r="F58" s="56" t="n"/>
      <c r="G58" s="56" t="n"/>
      <c r="H58" s="56" t="n"/>
      <c r="I58" s="56" t="n"/>
      <c r="J58" s="56" t="n"/>
      <c r="S58" s="46">
        <f>A47</f>
        <v/>
      </c>
      <c r="T58" s="46">
        <f>B47</f>
        <v/>
      </c>
      <c r="U58" s="70">
        <f>H47</f>
        <v/>
      </c>
      <c r="V58" s="70">
        <f>I47</f>
        <v/>
      </c>
      <c r="W58" s="70">
        <f>J47</f>
        <v/>
      </c>
    </row>
    <row r="59" ht="15" customHeight="1" s="39">
      <c r="A59" s="46" t="inlineStr">
        <is>
          <t xml:space="preserve">  of which: Return of capital (SPV/shareholder-loan repayment)</t>
        </is>
      </c>
      <c r="B59" s="47" t="inlineStr">
        <is>
          <t>INR cr</t>
        </is>
      </c>
      <c r="C59" s="56" t="n"/>
      <c r="D59" s="56" t="n"/>
      <c r="E59" s="56" t="n"/>
      <c r="F59" s="56" t="n"/>
      <c r="G59" s="56" t="n"/>
      <c r="H59" s="56" t="n"/>
      <c r="I59" s="56" t="n"/>
      <c r="J59" s="56" t="n"/>
    </row>
    <row r="60" ht="15" customHeight="1" s="39">
      <c r="A60" s="46" t="inlineStr">
        <is>
          <t xml:space="preserve">  of which: Other</t>
        </is>
      </c>
      <c r="B60" s="47" t="inlineStr">
        <is>
          <t>INR cr</t>
        </is>
      </c>
      <c r="C60" s="56" t="n"/>
      <c r="D60" s="56" t="n"/>
      <c r="E60" s="56" t="n"/>
      <c r="F60" s="56" t="n"/>
      <c r="G60" s="56" t="n"/>
      <c r="H60" s="56" t="n"/>
      <c r="I60" s="56" t="n"/>
      <c r="J60" s="56" t="n"/>
    </row>
    <row r="61" ht="15" customHeight="1" s="39">
      <c r="A61" s="46" t="inlineStr">
        <is>
          <t>Return-of-capital % of distribution</t>
        </is>
      </c>
      <c r="B61" s="47" t="inlineStr">
        <is>
          <t>%</t>
        </is>
      </c>
      <c r="C61" s="49">
        <f>IF(OR(C59="",C56="",N(C56)=0),"",C59/C56)</f>
        <v/>
      </c>
      <c r="D61" s="49">
        <f>IF(OR(D59="",D56="",N(D56)=0),"",D59/D56)</f>
        <v/>
      </c>
      <c r="E61" s="49">
        <f>IF(OR(E59="",E56="",N(E56)=0),"",E59/E56)</f>
        <v/>
      </c>
      <c r="F61" s="49">
        <f>IF(OR(F59="",F56="",N(F56)=0),"",F59/F56)</f>
        <v/>
      </c>
      <c r="G61" s="49">
        <f>IF(OR(G59="",G56="",N(G56)=0),"",G59/G56)</f>
        <v/>
      </c>
      <c r="H61" s="49">
        <f>IF(OR(H59="",H56="",N(H56)=0),"",H59/H56)</f>
        <v/>
      </c>
      <c r="I61" s="49">
        <f>IF(OR(I59="",I56="",N(I56)=0),"",I59/I56)</f>
        <v/>
      </c>
      <c r="J61" s="49">
        <f>IF(OR(J59="",J56="",N(J56)=0),"",J59/J56)</f>
        <v/>
      </c>
    </row>
    <row r="62" ht="15" customHeight="1" s="39">
      <c r="A62" s="46" t="inlineStr">
        <is>
          <t>Distribution per Unit (DPU)</t>
        </is>
      </c>
      <c r="B62" s="47" t="inlineStr">
        <is>
          <t>INR/unit</t>
        </is>
      </c>
      <c r="C62" s="50">
        <f>IF(N(C25)=0,IF(C25="","",C25),C25)</f>
        <v/>
      </c>
      <c r="D62" s="50">
        <f>IF(N(D25)=0,IF(D25="","",D25),D25)</f>
        <v/>
      </c>
      <c r="E62" s="50">
        <f>IF(N(E25)=0,IF(E25="","",E25),E25)</f>
        <v/>
      </c>
      <c r="F62" s="50">
        <f>IF(N(F25)=0,IF(F25="","",F25),F25)</f>
        <v/>
      </c>
      <c r="G62" s="50">
        <f>IF(N(G25)=0,IF(G25="","",G25),G25)</f>
        <v/>
      </c>
      <c r="H62" s="50">
        <f>IF(N(H25)=0,IF(H25="","",H25),H25)</f>
        <v/>
      </c>
      <c r="I62" s="50">
        <f>IF(N(I25)=0,IF(I25="","",I25),I25)</f>
        <v/>
      </c>
      <c r="J62" s="50">
        <f>IF(N(J25)=0,IF(J25="","",J25),J25)</f>
        <v/>
      </c>
    </row>
    <row r="63" ht="15" customHeight="1" s="39">
      <c r="A63" s="46" t="inlineStr">
        <is>
          <t xml:space="preserve">  DPU: Interest</t>
        </is>
      </c>
      <c r="B63" s="47" t="inlineStr">
        <is>
          <t>INR/unit</t>
        </is>
      </c>
      <c r="C63" s="59" t="n"/>
      <c r="D63" s="59" t="n"/>
      <c r="E63" s="59" t="n"/>
      <c r="F63" s="59" t="n"/>
      <c r="G63" s="59" t="n"/>
      <c r="H63" s="59" t="n"/>
      <c r="I63" s="59" t="n"/>
      <c r="J63" s="59" t="n"/>
    </row>
    <row r="64" ht="15" customHeight="1" s="39">
      <c r="A64" s="46" t="inlineStr">
        <is>
          <t xml:space="preserve">  DPU: Dividend</t>
        </is>
      </c>
      <c r="B64" s="47" t="inlineStr">
        <is>
          <t>INR/unit</t>
        </is>
      </c>
      <c r="C64" s="59" t="n"/>
      <c r="D64" s="59" t="n"/>
      <c r="E64" s="59" t="n"/>
      <c r="F64" s="59" t="n"/>
      <c r="G64" s="59" t="n"/>
      <c r="H64" s="59" t="n"/>
      <c r="I64" s="59" t="n"/>
      <c r="J64" s="59" t="n"/>
    </row>
    <row r="65" ht="15" customHeight="1" s="39">
      <c r="A65" s="46" t="inlineStr">
        <is>
          <t xml:space="preserve">  DPU: Return of capital</t>
        </is>
      </c>
      <c r="B65" s="47" t="inlineStr">
        <is>
          <t>INR/unit</t>
        </is>
      </c>
      <c r="C65" s="59" t="n"/>
      <c r="D65" s="59" t="n"/>
      <c r="E65" s="59" t="n"/>
      <c r="F65" s="59" t="n"/>
      <c r="G65" s="59" t="n"/>
      <c r="H65" s="59" t="n"/>
      <c r="I65" s="59" t="n"/>
      <c r="J65" s="59" t="n"/>
    </row>
    <row r="66" ht="15" customHeight="1" s="39">
      <c r="A66" s="46" t="inlineStr">
        <is>
          <t xml:space="preserve">  DPU: Other</t>
        </is>
      </c>
      <c r="B66" s="47" t="inlineStr">
        <is>
          <t>INR/unit</t>
        </is>
      </c>
      <c r="C66" s="59" t="n"/>
      <c r="D66" s="59" t="n"/>
      <c r="E66" s="59" t="n"/>
      <c r="F66" s="59" t="n"/>
      <c r="G66" s="59" t="n"/>
      <c r="H66" s="59" t="n"/>
      <c r="I66" s="59" t="n"/>
      <c r="J66" s="59" t="n"/>
    </row>
    <row r="67" ht="15" customHeight="1" s="39">
      <c r="A67" s="69" t="inlineStr">
        <is>
          <t>Debt &amp; leverage profile</t>
        </is>
      </c>
    </row>
    <row r="68" ht="15" customHeight="1" s="39">
      <c r="A68" s="46" t="inlineStr">
        <is>
          <t>Gross Debt - external (banks/NCDs/LRD)</t>
        </is>
      </c>
      <c r="B68" s="47" t="inlineStr">
        <is>
          <t>INR cr</t>
        </is>
      </c>
      <c r="C68" s="48">
        <f>IF(C29="","",C29)</f>
        <v/>
      </c>
      <c r="D68" s="48">
        <f>IF(D29="","",D29)</f>
        <v/>
      </c>
      <c r="E68" s="48">
        <f>IF(E29="","",E29)</f>
        <v/>
      </c>
      <c r="F68" s="48">
        <f>IF(F29="","",F29)</f>
        <v/>
      </c>
      <c r="G68" s="48">
        <f>IF(G29="","",G29)</f>
        <v/>
      </c>
      <c r="H68" s="57" t="n">
        <v>4263.531</v>
      </c>
      <c r="I68" s="57" t="n">
        <v>5328.55</v>
      </c>
      <c r="J68" s="57" t="n">
        <v>6197.23</v>
      </c>
    </row>
    <row r="69" ht="15" customHeight="1" s="39">
      <c r="A69" s="46" t="inlineStr">
        <is>
          <t>Shareholder / unitholder loans (Trust -&gt; SPVs)</t>
        </is>
      </c>
      <c r="B69" s="47" t="inlineStr">
        <is>
          <t>INR cr</t>
        </is>
      </c>
      <c r="C69" s="56" t="n"/>
      <c r="D69" s="56" t="n"/>
      <c r="E69" s="56" t="n"/>
      <c r="F69" s="56" t="n"/>
      <c r="G69" s="56" t="n"/>
      <c r="H69" s="57" t="n">
        <v>3005.518</v>
      </c>
      <c r="I69" s="57" t="n">
        <v>4151.07</v>
      </c>
      <c r="J69" s="57" t="n">
        <v>4785.45</v>
      </c>
    </row>
    <row r="70" ht="15" customHeight="1" s="39">
      <c r="A70" s="46" t="inlineStr">
        <is>
          <t>Cash &amp; Cash Equivalents</t>
        </is>
      </c>
      <c r="B70" s="47" t="inlineStr">
        <is>
          <t>INR cr</t>
        </is>
      </c>
      <c r="C70" s="48">
        <f>IF(N(C30)=0,IF(C30="","",C30),C30)</f>
        <v/>
      </c>
      <c r="D70" s="48">
        <f>IF(N(D30)=0,IF(D30="","",D30),D30)</f>
        <v/>
      </c>
      <c r="E70" s="48">
        <f>IF(N(E30)=0,IF(E30="","",E30),E30)</f>
        <v/>
      </c>
      <c r="F70" s="48">
        <f>IF(N(F30)=0,IF(F30="","",F30),F30)</f>
        <v/>
      </c>
      <c r="G70" s="48">
        <f>IF(N(G30)=0,IF(G30="","",G30),G30)</f>
        <v/>
      </c>
      <c r="H70" s="48">
        <f>IF(N(H30)=0,IF(H30="","",H30),H30)</f>
        <v/>
      </c>
      <c r="I70" s="48">
        <f>IF(N(I30)=0,IF(I30="","",I30),I30)</f>
        <v/>
      </c>
      <c r="J70" s="48">
        <f>IF(N(J30)=0,IF(J30="","",J30),J30)</f>
        <v/>
      </c>
    </row>
    <row r="71" ht="15" customHeight="1" s="39">
      <c r="A71" s="46" t="inlineStr">
        <is>
          <t>Net Debt</t>
        </is>
      </c>
      <c r="B71" s="47" t="inlineStr">
        <is>
          <t>INR cr</t>
        </is>
      </c>
      <c r="C71" s="48">
        <f>IF(N(C31)=0,IF(C31="","",C31),C31)</f>
        <v/>
      </c>
      <c r="D71" s="48">
        <f>IF(N(D31)=0,IF(D31="","",D31),D31)</f>
        <v/>
      </c>
      <c r="E71" s="48">
        <f>IF(N(E31)=0,IF(E31="","",E31),E31)</f>
        <v/>
      </c>
      <c r="F71" s="48">
        <f>IF(N(F31)=0,IF(F31="","",F31),F31)</f>
        <v/>
      </c>
      <c r="G71" s="48">
        <f>IF(N(G31)=0,IF(G31="","",G31),G31)</f>
        <v/>
      </c>
      <c r="H71" s="48">
        <f>IF(N(H31)=0,IF(H31="","",H31),H31)</f>
        <v/>
      </c>
      <c r="I71" s="48">
        <f>IF(N(I31)=0,IF(I31="","",I31),I31)</f>
        <v/>
      </c>
      <c r="J71" s="48">
        <f>IF(N(J31)=0,IF(J31="","",J31),J31)</f>
        <v/>
      </c>
    </row>
    <row r="72" ht="15" customHeight="1" s="39">
      <c r="A72" s="46" t="inlineStr">
        <is>
          <t>Gross Asset Value (GAV)</t>
        </is>
      </c>
      <c r="B72" s="47" t="inlineStr">
        <is>
          <t>INR cr</t>
        </is>
      </c>
      <c r="C72" s="48">
        <f>IF(N(C28)=0,IF(C28="","",C28),C28)</f>
        <v/>
      </c>
      <c r="D72" s="48">
        <f>IF(N(D28)=0,IF(D28="","",D28),D28)</f>
        <v/>
      </c>
      <c r="E72" s="48">
        <f>IF(N(E28)=0,IF(E28="","",E28),E28)</f>
        <v/>
      </c>
      <c r="F72" s="48">
        <f>IF(N(F28)=0,IF(F28="","",F28),F28)</f>
        <v/>
      </c>
      <c r="G72" s="48">
        <f>IF(N(G28)=0,IF(G28="","",G28),G28)</f>
        <v/>
      </c>
      <c r="H72" s="48">
        <f>IF(N(H28)=0,IF(H28="","",H28),H28)</f>
        <v/>
      </c>
      <c r="I72" s="48">
        <f>IF(N(I28)=0,IF(I28="","",I28),I28)</f>
        <v/>
      </c>
      <c r="J72" s="48">
        <f>IF(N(J28)=0,IF(J28="","",J28),J28)</f>
        <v/>
      </c>
    </row>
    <row r="73" ht="15" customHeight="1" s="39">
      <c r="A73" s="46" t="inlineStr">
        <is>
          <t>Loan-to-Value (LTV)</t>
        </is>
      </c>
      <c r="B73" s="47" t="inlineStr">
        <is>
          <t>%</t>
        </is>
      </c>
      <c r="C73" s="49">
        <f>IF(N(C33)=0,IF(C33="","",C33),C33)</f>
        <v/>
      </c>
      <c r="D73" s="49">
        <f>IF(N(D33)=0,IF(D33="","",D33),D33)</f>
        <v/>
      </c>
      <c r="E73" s="49">
        <f>IF(N(E33)=0,IF(E33="","",E33),E33)</f>
        <v/>
      </c>
      <c r="F73" s="49">
        <f>IF(N(F33)=0,IF(F33="","",F33),F33)</f>
        <v/>
      </c>
      <c r="G73" s="49">
        <f>IF(N(G33)=0,IF(G33="","",G33),G33)</f>
        <v/>
      </c>
      <c r="H73" s="49">
        <f>IF(N(H33)=0,IF(H33="","",H33),H33)</f>
        <v/>
      </c>
      <c r="I73" s="49">
        <f>IF(N(I33)=0,IF(I33="","",I33),I33)</f>
        <v/>
      </c>
      <c r="J73" s="49">
        <f>IF(N(J33)=0,IF(J33="","",J33),J33)</f>
        <v/>
      </c>
    </row>
    <row r="74" ht="15" customHeight="1" s="39">
      <c r="A74" s="46" t="inlineStr">
        <is>
          <t>Cost of Debt (wtd avg)</t>
        </is>
      </c>
      <c r="B74" s="47" t="inlineStr">
        <is>
          <t>%</t>
        </is>
      </c>
      <c r="C74" s="49">
        <f>IF(N(C40)=0,IF(C40="","",C40),C40)</f>
        <v/>
      </c>
      <c r="D74" s="49">
        <f>IF(N(D40)=0,IF(D40="","",D40),D40)</f>
        <v/>
      </c>
      <c r="E74" s="49">
        <f>IF(N(E40)=0,IF(E40="","",E40),E40)</f>
        <v/>
      </c>
      <c r="F74" s="49">
        <f>IF(N(F40)=0,IF(F40="","",F40),F40)</f>
        <v/>
      </c>
      <c r="G74" s="49">
        <f>IF(N(G40)=0,IF(G40="","",G40),G40)</f>
        <v/>
      </c>
      <c r="H74" s="49">
        <f>IF(N(H40)=0,IF(H40="","",H40),H40)</f>
        <v/>
      </c>
      <c r="I74" s="49">
        <f>IF(N(I40)=0,IF(I40="","",I40),I40)</f>
        <v/>
      </c>
      <c r="J74" s="49">
        <f>IF(N(J40)=0,IF(J40="","",J40),J40)</f>
        <v/>
      </c>
    </row>
    <row r="75" ht="15" customHeight="1" s="39">
      <c r="A75" s="46" t="inlineStr">
        <is>
          <t>% Floating rate</t>
        </is>
      </c>
      <c r="B75" s="47" t="inlineStr">
        <is>
          <t>%</t>
        </is>
      </c>
      <c r="C75" s="61" t="n"/>
      <c r="D75" s="61" t="n"/>
      <c r="E75" s="61" t="n"/>
      <c r="F75" s="61" t="n"/>
      <c r="G75" s="61" t="n"/>
      <c r="H75" s="62" t="n">
        <v>0.74</v>
      </c>
      <c r="I75" s="62" t="n">
        <v>0.5600000000000001</v>
      </c>
      <c r="J75" s="62" t="n">
        <v>0.51</v>
      </c>
    </row>
    <row r="76" ht="15" customHeight="1" s="39">
      <c r="A76" s="46" t="inlineStr">
        <is>
          <t>Wtd-avg debt maturity</t>
        </is>
      </c>
      <c r="B76" s="47" t="inlineStr">
        <is>
          <t>years</t>
        </is>
      </c>
      <c r="C76" s="70" t="n"/>
      <c r="D76" s="70" t="n"/>
      <c r="E76" s="70" t="n"/>
      <c r="F76" s="70" t="n"/>
      <c r="G76" s="70" t="n"/>
      <c r="H76" s="70" t="n"/>
      <c r="I76" s="70" t="n"/>
      <c r="J76" s="70" t="n"/>
    </row>
    <row r="77" ht="15" customHeight="1" s="39">
      <c r="A77" s="46" t="inlineStr">
        <is>
          <t>Undrawn debt headroom</t>
        </is>
      </c>
      <c r="B77" s="47" t="inlineStr">
        <is>
          <t>INR cr</t>
        </is>
      </c>
      <c r="C77" s="56" t="n"/>
      <c r="D77" s="56" t="n"/>
      <c r="E77" s="56" t="n"/>
      <c r="F77" s="56" t="n"/>
      <c r="G77" s="56" t="n"/>
      <c r="H77" s="56" t="n"/>
      <c r="I77" s="56" t="n"/>
      <c r="J77" s="56" t="n"/>
    </row>
    <row r="78" ht="15" customHeight="1" s="39">
      <c r="A78" s="46" t="inlineStr">
        <is>
          <t>Interest cover (NOI / Finance cost)</t>
        </is>
      </c>
      <c r="B78" s="47" t="inlineStr">
        <is>
          <t>x</t>
        </is>
      </c>
      <c r="C78" s="71">
        <f>IF(OR(C13="",N(C17)=0),"",C13/C17)</f>
        <v/>
      </c>
      <c r="D78" s="71">
        <f>IF(OR(D13="",N(D17)=0),"",D13/D17)</f>
        <v/>
      </c>
      <c r="E78" s="71">
        <f>IF(OR(E13="",N(E17)=0),"",E13/E17)</f>
        <v/>
      </c>
      <c r="F78" s="71">
        <f>IF(OR(F13="",N(F17)=0),"",F13/F17)</f>
        <v/>
      </c>
      <c r="G78" s="71">
        <f>IF(OR(G13="",N(G17)=0),"",G13/G17)</f>
        <v/>
      </c>
      <c r="H78" s="71">
        <f>IF(OR(H13="",N(H17)=0),"",H13/H17)</f>
        <v/>
      </c>
      <c r="I78" s="71">
        <f>IF(OR(I13="",N(I17)=0),"",I13/I17)</f>
        <v/>
      </c>
      <c r="J78" s="71">
        <f>IF(OR(J13="",N(J17)=0),"",J13/J17)</f>
        <v/>
      </c>
    </row>
    <row r="80" ht="15" customHeight="1" s="39">
      <c r="A80" s="43" t="inlineStr">
        <is>
          <t>Distribution-component split is shown where the issuer disclosed it (often per-unit for Q4 only in older years); blanks = not separately disclosed.</t>
        </is>
      </c>
    </row>
  </sheetData>
  <hyperlinks>
    <hyperlink xmlns:r="http://schemas.openxmlformats.org/officeDocument/2006/relationships" ref="H9" display="file:///Users/ishan/Downloads/INDIAN%20REITS/Nexus/NXST-Condensed-Consolidated-FS-March-2024.pdf" r:id="rId1"/>
    <hyperlink xmlns:r="http://schemas.openxmlformats.org/officeDocument/2006/relationships" ref="I9" location="page=5" display="file:///Users/ishan/Downloads/INDIAN%20REITS/Nexus/NXST-Consolidated-Financial-Results-Q4-FY26.pdf#page=5" r:id="rId2"/>
    <hyperlink xmlns:r="http://schemas.openxmlformats.org/officeDocument/2006/relationships" ref="J9" location="page=5" display="file:///Users/ishan/Downloads/INDIAN%20REITS/Nexus/NXST-Consolidated-Financial-Results-Q4-FY26.pdf#page=5" r:id="rId3"/>
    <hyperlink xmlns:r="http://schemas.openxmlformats.org/officeDocument/2006/relationships" ref="H10" location="page=8" display="file:///Users/ishan/Downloads/INDIAN%20REITS/Nexus/NXST-Condensed-Consolidated-FS-March-2024.pdf#page=8" r:id="rId4"/>
    <hyperlink xmlns:r="http://schemas.openxmlformats.org/officeDocument/2006/relationships" ref="I10" location="page=6" display="file:///Users/ishan/Downloads/INDIAN%20REITS/Nexus/NXST-Consolidated-Financial-Results-Q4-FY26.pdf#page=6" r:id="rId5"/>
    <hyperlink xmlns:r="http://schemas.openxmlformats.org/officeDocument/2006/relationships" ref="J10" location="page=6" display="file:///Users/ishan/Downloads/INDIAN%20REITS/Nexus/NXST-Consolidated-Financial-Results-Q4-FY26.pdf#page=6" r:id="rId6"/>
    <hyperlink xmlns:r="http://schemas.openxmlformats.org/officeDocument/2006/relationships" ref="Q10" location="page=8" display="file:///Users/ishan/Downloads/INDIAN%20REITS/Nexus/NXST-Condensed-Standalone-FS-March-2024.pdf#page=8" r:id="rId7"/>
    <hyperlink xmlns:r="http://schemas.openxmlformats.org/officeDocument/2006/relationships" ref="R10" location="page=3" display="file:///Users/ishan/Downloads/INDIAN%20REITS/Nexus/NXST-Standalone-Financial-Results-Q4-FY26.pdf#page=3" r:id="rId8"/>
    <hyperlink xmlns:r="http://schemas.openxmlformats.org/officeDocument/2006/relationships" ref="S10" location="page=3" display="file:///Users/ishan/Downloads/INDIAN%20REITS/Nexus/NXST-Standalone-Financial-Results-Q4-FY26.pdf#page=3" r:id="rId9"/>
    <hyperlink xmlns:r="http://schemas.openxmlformats.org/officeDocument/2006/relationships" ref="H12" location="page=8" display="file:///Users/ishan/Downloads/INDIAN%20REITS/Nexus/NXST-Condensed-Consolidated-FS-March-2024.pdf#page=8" r:id="rId10"/>
    <hyperlink xmlns:r="http://schemas.openxmlformats.org/officeDocument/2006/relationships" ref="I12" location="page=5" display="file:///Users/ishan/Downloads/INDIAN%20REITS/Nexus/NXST-Consolidated-Financial-Results-Q4-FY26.pdf#page=5" r:id="rId11"/>
    <hyperlink xmlns:r="http://schemas.openxmlformats.org/officeDocument/2006/relationships" ref="J12" location="page=5" display="file:///Users/ishan/Downloads/INDIAN%20REITS/Nexus/NXST-Consolidated-Financial-Results-Q4-FY26.pdf#page=5" r:id="rId12"/>
    <hyperlink xmlns:r="http://schemas.openxmlformats.org/officeDocument/2006/relationships" ref="R12" location="page=3" display="file:///Users/ishan/Downloads/INDIAN%20REITS/Nexus/NXST-Standalone-Financial-Results-Q4-FY26.pdf#page=3" r:id="rId13"/>
    <hyperlink xmlns:r="http://schemas.openxmlformats.org/officeDocument/2006/relationships" ref="S12" location="page=3" display="file:///Users/ishan/Downloads/INDIAN%20REITS/Nexus/NXST-Standalone-Financial-Results-Q4-FY26.pdf#page=3" r:id="rId14"/>
    <hyperlink xmlns:r="http://schemas.openxmlformats.org/officeDocument/2006/relationships" ref="H13" display="file:///Users/ishan/Downloads/INDIAN%20REITS/Nexus/NXST-Condensed-Consolidated-FS-March-2024.pdf" r:id="rId15"/>
    <hyperlink xmlns:r="http://schemas.openxmlformats.org/officeDocument/2006/relationships" ref="I13" display="file:///Users/ishan/Downloads/INDIAN%20REITS/Nexus/NXST-Consolidated-Financial-Results-Q4-FY26.pdf" r:id="rId16"/>
    <hyperlink xmlns:r="http://schemas.openxmlformats.org/officeDocument/2006/relationships" ref="J13" display="file:///Users/ishan/Downloads/INDIAN%20REITS/Nexus/NXST-Consolidated-Financial-Results-Q4-FY26.pdf" r:id="rId17"/>
    <hyperlink xmlns:r="http://schemas.openxmlformats.org/officeDocument/2006/relationships" ref="H15" location="page=8" display="file:///Users/ishan/Downloads/INDIAN%20REITS/Nexus/NXST-Condensed-Consolidated-FS-March-2024.pdf#page=8" r:id="rId18"/>
    <hyperlink xmlns:r="http://schemas.openxmlformats.org/officeDocument/2006/relationships" ref="I15" location="page=5" display="file:///Users/ishan/Downloads/INDIAN%20REITS/Nexus/NXST-Consolidated-Financial-Results-Q4-FY26.pdf#page=5" r:id="rId19"/>
    <hyperlink xmlns:r="http://schemas.openxmlformats.org/officeDocument/2006/relationships" ref="J15" location="page=5" display="file:///Users/ishan/Downloads/INDIAN%20REITS/Nexus/NXST-Consolidated-Financial-Results-Q4-FY26.pdf#page=5" r:id="rId20"/>
    <hyperlink xmlns:r="http://schemas.openxmlformats.org/officeDocument/2006/relationships" ref="Q15" location="page=8" display="file:///Users/ishan/Downloads/INDIAN%20REITS/Nexus/NXST-Condensed-Standalone-FS-March-2024.pdf#page=8" r:id="rId21"/>
    <hyperlink xmlns:r="http://schemas.openxmlformats.org/officeDocument/2006/relationships" ref="R15" location="page=3" display="file:///Users/ishan/Downloads/INDIAN%20REITS/Nexus/NXST-Standalone-Financial-Results-Q4-FY26.pdf#page=3" r:id="rId22"/>
    <hyperlink xmlns:r="http://schemas.openxmlformats.org/officeDocument/2006/relationships" ref="S15" location="page=3" display="file:///Users/ishan/Downloads/INDIAN%20REITS/Nexus/NXST-Standalone-Financial-Results-Q4-FY26.pdf#page=3" r:id="rId23"/>
    <hyperlink xmlns:r="http://schemas.openxmlformats.org/officeDocument/2006/relationships" ref="H17" location="page=8" display="file:///Users/ishan/Downloads/INDIAN%20REITS/Nexus/NXST-Condensed-Consolidated-FS-March-2024.pdf#page=8" r:id="rId24"/>
    <hyperlink xmlns:r="http://schemas.openxmlformats.org/officeDocument/2006/relationships" ref="I17" location="page=5" display="file:///Users/ishan/Downloads/INDIAN%20REITS/Nexus/NXST-Consolidated-Financial-Results-Q4-FY26.pdf#page=5" r:id="rId25"/>
    <hyperlink xmlns:r="http://schemas.openxmlformats.org/officeDocument/2006/relationships" ref="J17" location="page=5" display="file:///Users/ishan/Downloads/INDIAN%20REITS/Nexus/NXST-Consolidated-Financial-Results-Q4-FY26.pdf#page=5" r:id="rId26"/>
    <hyperlink xmlns:r="http://schemas.openxmlformats.org/officeDocument/2006/relationships" ref="Q17" location="page=8" display="file:///Users/ishan/Downloads/INDIAN%20REITS/Nexus/NXST-Condensed-Standalone-FS-March-2024.pdf#page=8" r:id="rId27"/>
    <hyperlink xmlns:r="http://schemas.openxmlformats.org/officeDocument/2006/relationships" ref="R17" location="page=3" display="file:///Users/ishan/Downloads/INDIAN%20REITS/Nexus/NXST-Standalone-Financial-Results-Q4-FY26.pdf#page=3" r:id="rId28"/>
    <hyperlink xmlns:r="http://schemas.openxmlformats.org/officeDocument/2006/relationships" ref="S17" location="page=3" display="file:///Users/ishan/Downloads/INDIAN%20REITS/Nexus/NXST-Standalone-Financial-Results-Q4-FY26.pdf#page=3" r:id="rId29"/>
    <hyperlink xmlns:r="http://schemas.openxmlformats.org/officeDocument/2006/relationships" ref="H18" location="page=8" display="file:///Users/ishan/Downloads/INDIAN%20REITS/Nexus/NXST-Condensed-Consolidated-FS-March-2024.pdf#page=8" r:id="rId30"/>
    <hyperlink xmlns:r="http://schemas.openxmlformats.org/officeDocument/2006/relationships" ref="I18" location="page=5" display="file:///Users/ishan/Downloads/INDIAN%20REITS/Nexus/NXST-Consolidated-Financial-Results-Q4-FY26.pdf#page=5" r:id="rId31"/>
    <hyperlink xmlns:r="http://schemas.openxmlformats.org/officeDocument/2006/relationships" ref="J18" location="page=5" display="file:///Users/ishan/Downloads/INDIAN%20REITS/Nexus/NXST-Consolidated-Financial-Results-Q4-FY26.pdf#page=5" r:id="rId32"/>
    <hyperlink xmlns:r="http://schemas.openxmlformats.org/officeDocument/2006/relationships" ref="H19" location="page=9" display="file:///Users/ishan/Downloads/INDIAN%20REITS/Nexus/NXST-Condensed-Consolidated-FS-March-2024.pdf#page=9" r:id="rId33"/>
    <hyperlink xmlns:r="http://schemas.openxmlformats.org/officeDocument/2006/relationships" ref="I19" location="page=7" display="file:///Users/ishan/Downloads/INDIAN%20REITS/Nexus/NXST-Consolidated-Financial-Results-Q4-FY26.pdf#page=7" r:id="rId34"/>
    <hyperlink xmlns:r="http://schemas.openxmlformats.org/officeDocument/2006/relationships" ref="J19" location="page=7" display="file:///Users/ishan/Downloads/INDIAN%20REITS/Nexus/NXST-Consolidated-Financial-Results-Q4-FY26.pdf#page=7" r:id="rId35"/>
    <hyperlink xmlns:r="http://schemas.openxmlformats.org/officeDocument/2006/relationships" ref="Q19" location="page=8" display="file:///Users/ishan/Downloads/INDIAN%20REITS/Nexus/NXST-Condensed-Standalone-FS-March-2024.pdf#page=8" r:id="rId36"/>
    <hyperlink xmlns:r="http://schemas.openxmlformats.org/officeDocument/2006/relationships" ref="R19" location="page=4" display="file:///Users/ishan/Downloads/INDIAN%20REITS/Nexus/NXST-Standalone-Financial-Results-Q4-FY26.pdf#page=4" r:id="rId37"/>
    <hyperlink xmlns:r="http://schemas.openxmlformats.org/officeDocument/2006/relationships" ref="S19" location="page=4" display="file:///Users/ishan/Downloads/INDIAN%20REITS/Nexus/NXST-Standalone-Financial-Results-Q4-FY26.pdf#page=4" r:id="rId38"/>
    <hyperlink xmlns:r="http://schemas.openxmlformats.org/officeDocument/2006/relationships" ref="H20" location="page=8" display="file:///Users/ishan/Downloads/INDIAN%20REITS/Nexus/NXST-Condensed-Consolidated-FS-March-2024.pdf#page=8" r:id="rId39"/>
    <hyperlink xmlns:r="http://schemas.openxmlformats.org/officeDocument/2006/relationships" ref="I20" location="page=5" display="file:///Users/ishan/Downloads/INDIAN%20REITS/Nexus/NXST-Consolidated-Financial-Results-Q4-FY26.pdf#page=5" r:id="rId40"/>
    <hyperlink xmlns:r="http://schemas.openxmlformats.org/officeDocument/2006/relationships" ref="J20" location="page=5" display="file:///Users/ishan/Downloads/INDIAN%20REITS/Nexus/NXST-Consolidated-Financial-Results-Q4-FY26.pdf#page=5" r:id="rId41"/>
    <hyperlink xmlns:r="http://schemas.openxmlformats.org/officeDocument/2006/relationships" ref="Q20" location="page=8" display="file:///Users/ishan/Downloads/INDIAN%20REITS/Nexus/NXST-Condensed-Standalone-FS-March-2024.pdf#page=8" r:id="rId42"/>
    <hyperlink xmlns:r="http://schemas.openxmlformats.org/officeDocument/2006/relationships" ref="R20" location="page=3" display="file:///Users/ishan/Downloads/INDIAN%20REITS/Nexus/NXST-Standalone-Financial-Results-Q4-FY26.pdf#page=3" r:id="rId43"/>
    <hyperlink xmlns:r="http://schemas.openxmlformats.org/officeDocument/2006/relationships" ref="S20" location="page=3" display="file:///Users/ishan/Downloads/INDIAN%20REITS/Nexus/NXST-Standalone-Financial-Results-Q4-FY26.pdf#page=3" r:id="rId44"/>
    <hyperlink xmlns:r="http://schemas.openxmlformats.org/officeDocument/2006/relationships" ref="H23" location="page=14" display="file:///Users/ishan/Downloads/INDIAN%20REITS/Nexus/NXST-Condensed-Consolidated-FS-March-2024.pdf#page=14" r:id="rId45"/>
    <hyperlink xmlns:r="http://schemas.openxmlformats.org/officeDocument/2006/relationships" ref="I23" location="page=12" display="file:///Users/ishan/Downloads/INDIAN%20REITS/Nexus/NXST-Consolidated-Financial-Results-Q4-FY26.pdf#page=12" r:id="rId46"/>
    <hyperlink xmlns:r="http://schemas.openxmlformats.org/officeDocument/2006/relationships" ref="J23" location="page=11" display="file:///Users/ishan/Downloads/INDIAN%20REITS/Nexus/NXST-Consolidated-Financial-Results-Q4-FY26.pdf#page=11" r:id="rId47"/>
    <hyperlink xmlns:r="http://schemas.openxmlformats.org/officeDocument/2006/relationships" ref="H24" display="file:///Users/ishan/Downloads/INDIAN%20REITS/Nexus/NXST-Condensed-Consolidated-FS-March-2024.pdf" r:id="rId48"/>
    <hyperlink xmlns:r="http://schemas.openxmlformats.org/officeDocument/2006/relationships" ref="I24" display="file:///Users/ishan/Downloads/INDIAN%20REITS/Nexus/NXST-Consolidated-Financial-Results-Q4-FY26.pdf" r:id="rId49"/>
    <hyperlink xmlns:r="http://schemas.openxmlformats.org/officeDocument/2006/relationships" ref="J24" location="page=11" display="file:///Users/ishan/Downloads/INDIAN%20REITS/Nexus/NXST-Consolidated-Financial-Results-Q4-FY26.pdf#page=11" r:id="rId50"/>
    <hyperlink xmlns:r="http://schemas.openxmlformats.org/officeDocument/2006/relationships" ref="H25" location="page=8" display="file:///Users/ishan/Downloads/INDIAN%20REITS/Nexus/NXST-Condensed-Consolidated-FS-March-2024.pdf#page=8" r:id="rId51"/>
    <hyperlink xmlns:r="http://schemas.openxmlformats.org/officeDocument/2006/relationships" ref="I25" display="file:///Users/ishan/Downloads/INDIAN%20REITS/Nexus/NXST-Consolidated-Financial-Results-Q4-FY26.pdf" r:id="rId52"/>
    <hyperlink xmlns:r="http://schemas.openxmlformats.org/officeDocument/2006/relationships" ref="J25" location="page=11" display="file:///Users/ishan/Downloads/INDIAN%20REITS/Nexus/NXST-Consolidated-Financial-Results-Q4-FY26.pdf#page=11" r:id="rId53"/>
    <hyperlink xmlns:r="http://schemas.openxmlformats.org/officeDocument/2006/relationships" ref="H28" display="file:///Users/ishan/Downloads/INDIAN%20REITS/Nexus/NXST-Condensed-Consolidated-FS-March-2024.pdf" r:id="rId54"/>
    <hyperlink xmlns:r="http://schemas.openxmlformats.org/officeDocument/2006/relationships" ref="I28" location="page=14" display="file:///Users/ishan/Downloads/INDIAN%20REITS/Nexus/Condensed-Consolidated-Financial-Statements-FY25-Q4.pdf#page=14" r:id="rId55"/>
    <hyperlink xmlns:r="http://schemas.openxmlformats.org/officeDocument/2006/relationships" ref="J28" location="page=108" display="file:///Users/ishan/Downloads/INDIAN%20REITS/Nexus/Detailed-Valuation-Report-Q4-FY26.pdf#page=108" r:id="rId56"/>
    <hyperlink xmlns:r="http://schemas.openxmlformats.org/officeDocument/2006/relationships" ref="H29" location="page=6" display="file:///Users/ishan/Downloads/INDIAN%20REITS/Nexus/NXST-Condensed-Consolidated-FS-March-2024.pdf#page=6" r:id="rId57"/>
    <hyperlink xmlns:r="http://schemas.openxmlformats.org/officeDocument/2006/relationships" ref="I29" location="page=6" display="file:///Users/ishan/Downloads/INDIAN%20REITS/Nexus/NXST-Consolidated-Financial-Results-Q4-FY26.pdf#page=6" r:id="rId58"/>
    <hyperlink xmlns:r="http://schemas.openxmlformats.org/officeDocument/2006/relationships" ref="J29" location="page=6" display="file:///Users/ishan/Downloads/INDIAN%20REITS/Nexus/NXST-Consolidated-Financial-Results-Q4-FY26.pdf#page=6" r:id="rId59"/>
    <hyperlink xmlns:r="http://schemas.openxmlformats.org/officeDocument/2006/relationships" ref="Q29" location="page=4" display="file:///Users/ishan/Downloads/INDIAN%20REITS/Nexus/NXST-Condensed-Standalone-FS-March-2024.pdf#page=4" r:id="rId60"/>
    <hyperlink xmlns:r="http://schemas.openxmlformats.org/officeDocument/2006/relationships" ref="R29" location="page=4" display="file:///Users/ishan/Downloads/INDIAN%20REITS/Nexus/NXST-Standalone-Financial-Results-Q4-FY26.pdf#page=4" r:id="rId61"/>
    <hyperlink xmlns:r="http://schemas.openxmlformats.org/officeDocument/2006/relationships" ref="S29" location="page=4" display="file:///Users/ishan/Downloads/INDIAN%20REITS/Nexus/NXST-Standalone-Financial-Results-Q4-FY26.pdf#page=4" r:id="rId62"/>
    <hyperlink xmlns:r="http://schemas.openxmlformats.org/officeDocument/2006/relationships" ref="H30" location="page=6" display="file:///Users/ishan/Downloads/INDIAN%20REITS/Nexus/NXST-Condensed-Consolidated-FS-March-2024.pdf#page=6" r:id="rId63"/>
    <hyperlink xmlns:r="http://schemas.openxmlformats.org/officeDocument/2006/relationships" ref="I30" location="page=6" display="file:///Users/ishan/Downloads/INDIAN%20REITS/Nexus/NXST-Consolidated-Financial-Results-Q4-FY26.pdf#page=6" r:id="rId64"/>
    <hyperlink xmlns:r="http://schemas.openxmlformats.org/officeDocument/2006/relationships" ref="J30" location="page=6" display="file:///Users/ishan/Downloads/INDIAN%20REITS/Nexus/NXST-Consolidated-Financial-Results-Q4-FY26.pdf#page=6" r:id="rId65"/>
    <hyperlink xmlns:r="http://schemas.openxmlformats.org/officeDocument/2006/relationships" ref="Q30" location="page=4" display="file:///Users/ishan/Downloads/INDIAN%20REITS/Nexus/NXST-Condensed-Standalone-FS-March-2024.pdf#page=4" r:id="rId66"/>
    <hyperlink xmlns:r="http://schemas.openxmlformats.org/officeDocument/2006/relationships" ref="R30" location="page=4" display="file:///Users/ishan/Downloads/INDIAN%20REITS/Nexus/NXST-Standalone-Financial-Results-Q4-FY26.pdf#page=4" r:id="rId67"/>
    <hyperlink xmlns:r="http://schemas.openxmlformats.org/officeDocument/2006/relationships" ref="S30" location="page=4" display="file:///Users/ishan/Downloads/INDIAN%20REITS/Nexus/NXST-Standalone-Financial-Results-Q4-FY26.pdf#page=4" r:id="rId68"/>
    <hyperlink xmlns:r="http://schemas.openxmlformats.org/officeDocument/2006/relationships" ref="H32" location="page=6" display="file:///Users/ishan/Downloads/INDIAN%20REITS/Nexus/NXST-Condensed-Consolidated-FS-March-2024.pdf#page=6" r:id="rId69"/>
    <hyperlink xmlns:r="http://schemas.openxmlformats.org/officeDocument/2006/relationships" ref="I32" display="file:///Users/ishan/Downloads/INDIAN%20REITS/Nexus/NXST-Consolidated-Financial-Results-Q4-FY26.pdf" r:id="rId70"/>
    <hyperlink xmlns:r="http://schemas.openxmlformats.org/officeDocument/2006/relationships" ref="J32" display="file:///Users/ishan/Downloads/INDIAN%20REITS/Nexus/NXST-Consolidated-Financial-Results-Q4-FY26.pdf" r:id="rId71"/>
    <hyperlink xmlns:r="http://schemas.openxmlformats.org/officeDocument/2006/relationships" ref="Q32" location="page=4" display="file:///Users/ishan/Downloads/INDIAN%20REITS/Nexus/NXST-Condensed-Standalone-FS-March-2024.pdf#page=4" r:id="rId72"/>
    <hyperlink xmlns:r="http://schemas.openxmlformats.org/officeDocument/2006/relationships" ref="R32" display="file:///Users/ishan/Downloads/INDIAN%20REITS/Nexus/NXST-Standalone-Financial-Results-Q4-FY26.pdf" r:id="rId73"/>
    <hyperlink xmlns:r="http://schemas.openxmlformats.org/officeDocument/2006/relationships" ref="S32" location="page=4" display="file:///Users/ishan/Downloads/INDIAN%20REITS/Nexus/NXST-Standalone-Financial-Results-Q4-FY26.pdf#page=4" r:id="rId74"/>
    <hyperlink xmlns:r="http://schemas.openxmlformats.org/officeDocument/2006/relationships" ref="H34" display="file:///Users/ishan/Downloads/INDIAN%20REITS/Nexus/NXST-Condensed-Consolidated-FS-March-2024.pdf" r:id="rId75"/>
    <hyperlink xmlns:r="http://schemas.openxmlformats.org/officeDocument/2006/relationships" ref="I34" location="page=8" display="file:///Users/ishan/Downloads/INDIAN%20REITS/Nexus/NXST-Consolidated-Financial-Results-Q4-FY26.pdf#page=8" r:id="rId76"/>
    <hyperlink xmlns:r="http://schemas.openxmlformats.org/officeDocument/2006/relationships" ref="J34" location="page=8" display="file:///Users/ishan/Downloads/INDIAN%20REITS/Nexus/NXST-Consolidated-Financial-Results-Q4-FY26.pdf#page=8" r:id="rId77"/>
    <hyperlink xmlns:r="http://schemas.openxmlformats.org/officeDocument/2006/relationships" ref="H36" location="page=8" display="file:///Users/ishan/Downloads/INDIAN%20REITS/Nexus/NXST-Condensed-Consolidated-FS-March-2024.pdf#page=8" r:id="rId78"/>
    <hyperlink xmlns:r="http://schemas.openxmlformats.org/officeDocument/2006/relationships" ref="I36" location="page=8" display="file:///Users/ishan/Downloads/INDIAN%20REITS/Nexus/NXST-Consolidated-Financial-Results-Q4-FY26.pdf#page=8" r:id="rId79"/>
    <hyperlink xmlns:r="http://schemas.openxmlformats.org/officeDocument/2006/relationships" ref="J36" location="page=8" display="file:///Users/ishan/Downloads/INDIAN%20REITS/Nexus/NXST-Consolidated-Financial-Results-Q4-FY26.pdf#page=8" r:id="rId80"/>
    <hyperlink xmlns:r="http://schemas.openxmlformats.org/officeDocument/2006/relationships" ref="H37" display="file:///Users/ishan/Downloads/INDIAN%20REITS/REIT_Tableau_Ready_1.xlsx" r:id="rId81"/>
    <hyperlink xmlns:r="http://schemas.openxmlformats.org/officeDocument/2006/relationships" ref="I37" display="file:///Users/ishan/Downloads/INDIAN%20REITS/REIT_Tableau_Ready_1.xlsx" r:id="rId82"/>
    <hyperlink xmlns:r="http://schemas.openxmlformats.org/officeDocument/2006/relationships" ref="J37" display="file:///Users/ishan/Downloads/INDIAN%20REITS/REIT_Tableau_Ready_1.xlsx" r:id="rId83"/>
    <hyperlink xmlns:r="http://schemas.openxmlformats.org/officeDocument/2006/relationships" ref="H40" location="page=33" display="file:///Users/ishan/Downloads/INDIAN%20REITS/Nexus/Earnings-Update-Q4-FY24-2.pdf#page=33" r:id="rId84"/>
    <hyperlink xmlns:r="http://schemas.openxmlformats.org/officeDocument/2006/relationships" ref="I40" location="page=22" display="file:///Users/ishan/Downloads/INDIAN%20REITS/Nexus/Earning-Call-Transcript_Q4-FY25_vf.pdf#page=22" r:id="rId85"/>
    <hyperlink xmlns:r="http://schemas.openxmlformats.org/officeDocument/2006/relationships" ref="J40" location="page=30" display="file:///Users/ishan/Downloads/INDIAN%20REITS/Nexus/Half-Yearly-Report-FY-2026.pdf#page=30" r:id="rId86"/>
    <hyperlink xmlns:r="http://schemas.openxmlformats.org/officeDocument/2006/relationships" ref="H42" location="page=39" display="file:///Users/ishan/Downloads/INDIAN%20REITS/Nexus/Earnings-Update-Q4-FY24-2.pdf#page=39" r:id="rId87"/>
    <hyperlink xmlns:r="http://schemas.openxmlformats.org/officeDocument/2006/relationships" ref="I42" location="page=28" display="file:///Users/ishan/Downloads/INDIAN%20REITS/Nexus/Earning-Call-Transcript_Q4-FY25_vf.pdf#page=28" r:id="rId88"/>
    <hyperlink xmlns:r="http://schemas.openxmlformats.org/officeDocument/2006/relationships" ref="J42" location="page=2025" display="file:///Users/ishan/Downloads/INDIAN%20REITS/Nexus/Half-Yearly-Report-FY-2026.pdf#page=2025" r:id="rId89"/>
    <hyperlink xmlns:r="http://schemas.openxmlformats.org/officeDocument/2006/relationships" ref="H43" display="file:///Users/ishan/Downloads/INDIAN%20REITS/Nexus/Earnings-Update-Q4-FY24-2.pdf" r:id="rId90"/>
    <hyperlink xmlns:r="http://schemas.openxmlformats.org/officeDocument/2006/relationships" ref="I43" display="file:///Users/ishan/Downloads/INDIAN%20REITS/Nexus/Earning-Call-Transcript_Q4-FY25_vf.pdf" r:id="rId91"/>
    <hyperlink xmlns:r="http://schemas.openxmlformats.org/officeDocument/2006/relationships" ref="J43" location="page=108" display="file:///Users/ishan/Downloads/INDIAN%20REITS/Nexus/Detailed-Valuation-Report-Q4-FY26.pdf#page=108" r:id="rId92"/>
    <hyperlink xmlns:r="http://schemas.openxmlformats.org/officeDocument/2006/relationships" ref="H45" location="page=14" display="file:///Users/ishan/Downloads/INDIAN%20REITS/Nexus/Earnings-Update-Q4-FY24-2.pdf#page=14" r:id="rId93"/>
    <hyperlink xmlns:r="http://schemas.openxmlformats.org/officeDocument/2006/relationships" ref="I45" location="page=28" display="file:///Users/ishan/Downloads/INDIAN%20REITS/Nexus/Earning-Call-Transcript_Q4-FY25_vf.pdf#page=28" r:id="rId94"/>
    <hyperlink xmlns:r="http://schemas.openxmlformats.org/officeDocument/2006/relationships" ref="J45" location="page=2025" display="file:///Users/ishan/Downloads/INDIAN%20REITS/Nexus/Half-Yearly-Report-FY-2026.pdf#page=2025" r:id="rId95"/>
    <hyperlink xmlns:r="http://schemas.openxmlformats.org/officeDocument/2006/relationships" ref="H46" display="file:///Users/ishan/Downloads/INDIAN%20REITS/Nexus/Earnings-Update-Q4-FY24-2.pdf" r:id="rId96"/>
    <hyperlink xmlns:r="http://schemas.openxmlformats.org/officeDocument/2006/relationships" ref="I46" location="page=28" display="file:///Users/ishan/Downloads/INDIAN%20REITS/Nexus/Earning-Call-Transcript_Q4-FY25_vf.pdf#page=28" r:id="rId97"/>
    <hyperlink xmlns:r="http://schemas.openxmlformats.org/officeDocument/2006/relationships" ref="J46" location="page=2025" display="file:///Users/ishan/Downloads/INDIAN%20REITS/Nexus/Half-Yearly-Report-FY-2026.pdf#page=2025" r:id="rId98"/>
    <hyperlink xmlns:r="http://schemas.openxmlformats.org/officeDocument/2006/relationships" ref="H47" location="page=14" display="file:///Users/ishan/Downloads/INDIAN%20REITS/Nexus/Earnings-Update-Q4-FY24-2.pdf#page=14" r:id="rId99"/>
    <hyperlink xmlns:r="http://schemas.openxmlformats.org/officeDocument/2006/relationships" ref="I47" location="page=28" display="file:///Users/ishan/Downloads/INDIAN%20REITS/Nexus/Earning-Call-Transcript_Q4-FY25_vf.pdf#page=28" r:id="rId100"/>
    <hyperlink xmlns:r="http://schemas.openxmlformats.org/officeDocument/2006/relationships" ref="J47" location="page=2025" display="file:///Users/ishan/Downloads/INDIAN%20REITS/Nexus/Half-Yearly-Report-FY-2026.pdf#page=2025" r:id="rId101"/>
    <hyperlink xmlns:r="http://schemas.openxmlformats.org/officeDocument/2006/relationships" ref="H48" location="page=39" display="file:///Users/ishan/Downloads/INDIAN%20REITS/Nexus/Earnings-Update-Q4-FY24-2.pdf#page=39" r:id="rId102"/>
    <hyperlink xmlns:r="http://schemas.openxmlformats.org/officeDocument/2006/relationships" ref="I48" location="page=28" display="file:///Users/ishan/Downloads/INDIAN%20REITS/Nexus/Earning-Call-Transcript_Q4-FY25_vf.pdf#page=28" r:id="rId103"/>
    <hyperlink xmlns:r="http://schemas.openxmlformats.org/officeDocument/2006/relationships" ref="J48" display="file:///Users/ishan/Downloads/INDIAN%20REITS/Nexus/Half-Yearly-Report-FY-2026.pdf" r:id="rId104"/>
    <hyperlink xmlns:r="http://schemas.openxmlformats.org/officeDocument/2006/relationships" ref="H49" display="file:///Users/ishan/Downloads/INDIAN%20REITS/Nexus/Earnings-Update-Q4-FY24-2.pdf" r:id="rId105"/>
    <hyperlink xmlns:r="http://schemas.openxmlformats.org/officeDocument/2006/relationships" ref="I49" location="page=32" display="file:///Users/ishan/Downloads/INDIAN%20REITS/Nexus/Earning-Call-Transcript_Q4-FY25_vf.pdf#page=32" r:id="rId106"/>
    <hyperlink xmlns:r="http://schemas.openxmlformats.org/officeDocument/2006/relationships" ref="H68" display="file:///Users/ishan/Downloads/INDIAN%20REITS/Nexus/NXST-Condensed-Consolidated-FS-March-2024.pdf" r:id="rId107"/>
    <hyperlink xmlns:r="http://schemas.openxmlformats.org/officeDocument/2006/relationships" ref="I68" display="file:///Users/ishan/Downloads/INDIAN%20REITS/Nexus/NXST-Consolidated-Financial-Results-Q4-FY26.pdf" r:id="rId108"/>
    <hyperlink xmlns:r="http://schemas.openxmlformats.org/officeDocument/2006/relationships" ref="J68" display="file:///Users/ishan/Downloads/INDIAN%20REITS/Nexus/NXST-Consolidated-Financial-Results-Q4-FY26.pdf" r:id="rId109"/>
    <hyperlink xmlns:r="http://schemas.openxmlformats.org/officeDocument/2006/relationships" ref="H69" display="file:///Users/ishan/Downloads/INDIAN%20REITS/Nexus/NXST-Condensed-Standalone-FS-March-2024.pdf" r:id="rId110"/>
    <hyperlink xmlns:r="http://schemas.openxmlformats.org/officeDocument/2006/relationships" ref="I69" location="page=6" display="file:///Users/ishan/Downloads/INDIAN%20REITS/Nexus/Condensed-Standalone-Financial-Statements-FY25-Q4.pdf#page=6" r:id="rId111"/>
    <hyperlink xmlns:r="http://schemas.openxmlformats.org/officeDocument/2006/relationships" ref="J69" display="file:///Users/ishan/Downloads/INDIAN%20REITS/Nexus/NXST-Standalone-Financial-Results-Q4-FY26.pdf" r:id="rId112"/>
    <hyperlink xmlns:r="http://schemas.openxmlformats.org/officeDocument/2006/relationships" ref="H75" display="file:///Users/ishan/Downloads/INDIAN%20REITS/Nexus/Earnings-Update-Q4-FY24-2.pdf" r:id="rId113"/>
    <hyperlink xmlns:r="http://schemas.openxmlformats.org/officeDocument/2006/relationships" ref="I75" display="file:///Users/ishan/Downloads/INDIAN%20REITS/Nexus/Earning-Call-Transcript_Q4-FY25_vf.pdf" r:id="rId114"/>
    <hyperlink xmlns:r="http://schemas.openxmlformats.org/officeDocument/2006/relationships" ref="J75" display="file:///Users/ishan/Downloads/INDIAN%20REITS/Nexus/Half-Yearly-Report-FY-2026.pdf" r:id="rId115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drawing xmlns:r="http://schemas.openxmlformats.org/officeDocument/2006/relationships" r:id="rId116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AB80"/>
  <sheetViews>
    <sheetView showFormulas="0" showGridLines="0" showRowColHeaders="1" showZeros="1" rightToLeft="0" tabSelected="0" showOutlineSymbols="1" defaultGridColor="1" view="normal" topLeftCell="A1" colorId="64" zoomScale="65" zoomScaleNormal="65" zoomScalePageLayoutView="100" workbookViewId="0">
      <pane xSplit="2" ySplit="7" topLeftCell="C14" activePane="bottomRight" state="frozen"/>
      <selection pane="topLeft" activeCell="A1" activeCellId="0" sqref="A1"/>
      <selection pane="topRight" activeCell="C1" activeCellId="0" sqref="C1"/>
      <selection pane="bottomLeft" activeCell="A14" activeCellId="0" sqref="A14"/>
      <selection pane="bottomRight" activeCell="S56" activeCellId="0" sqref="S56"/>
    </sheetView>
  </sheetViews>
  <sheetFormatPr baseColWidth="8" defaultColWidth="8.43359375" defaultRowHeight="15" customHeight="0" zeroHeight="0" outlineLevelRow="0"/>
  <cols>
    <col width="34" customWidth="1" style="38" min="1" max="1"/>
    <col width="9" customWidth="1" style="38" min="2" max="2"/>
    <col width="9.52" customWidth="1" style="38" min="3" max="10"/>
    <col width="7" customWidth="1" style="38" min="11" max="11"/>
    <col width="9.52" customWidth="1" style="38" min="12" max="19"/>
    <col width="7" customWidth="1" style="38" min="20" max="20"/>
  </cols>
  <sheetData>
    <row r="1" ht="15" customHeight="1" s="39">
      <c r="A1" s="40" t="inlineStr">
        <is>
          <t>Knowledge Realty Trust (KRT) - Key Financials &amp; Operating Metrics</t>
        </is>
      </c>
    </row>
    <row r="2" ht="15" customHeight="1" s="39">
      <c r="A2" s="43" t="inlineStr">
        <is>
          <t>Sponsor: Sattva Group / Blackstone.  All INR figures in INR crore (cr) unless stated.  1 crore = 10 million.  FY ends 31 March.</t>
        </is>
      </c>
    </row>
    <row r="3" ht="15" customHeight="1" s="39">
      <c r="A3" s="43" t="inlineStr">
        <is>
          <t>Hover a cell for its Source (report + page + original figure).  Grey italic = auto-calculated.  YoY% = FY2026 vs FY2025.</t>
        </is>
      </c>
    </row>
    <row r="6" ht="15" customHeight="1" s="39">
      <c r="C6" s="52" t="inlineStr">
        <is>
          <t>CONSOLIDATED</t>
        </is>
      </c>
      <c r="L6" s="52" t="inlineStr">
        <is>
          <t>STANDALONE</t>
        </is>
      </c>
    </row>
    <row r="7" ht="15" customHeight="1" s="39">
      <c r="A7" s="44" t="inlineStr">
        <is>
          <t>Metric</t>
        </is>
      </c>
      <c r="B7" s="45" t="inlineStr">
        <is>
          <t>Unit</t>
        </is>
      </c>
      <c r="C7" s="45" t="inlineStr">
        <is>
          <t>FY2019</t>
        </is>
      </c>
      <c r="D7" s="45" t="inlineStr">
        <is>
          <t>FY2020</t>
        </is>
      </c>
      <c r="E7" s="45" t="inlineStr">
        <is>
          <t>FY2021</t>
        </is>
      </c>
      <c r="F7" s="45" t="inlineStr">
        <is>
          <t>FY2022</t>
        </is>
      </c>
      <c r="G7" s="45" t="inlineStr">
        <is>
          <t>FY2023</t>
        </is>
      </c>
      <c r="H7" s="45" t="inlineStr">
        <is>
          <t>FY2024</t>
        </is>
      </c>
      <c r="I7" s="45" t="inlineStr">
        <is>
          <t>FY2025</t>
        </is>
      </c>
      <c r="J7" s="45" t="inlineStr">
        <is>
          <t>FY2026</t>
        </is>
      </c>
      <c r="K7" s="45" t="inlineStr">
        <is>
          <t>YoY%</t>
        </is>
      </c>
      <c r="L7" s="45" t="inlineStr">
        <is>
          <t>FY2019</t>
        </is>
      </c>
      <c r="M7" s="45" t="inlineStr">
        <is>
          <t>FY2020</t>
        </is>
      </c>
      <c r="N7" s="45" t="inlineStr">
        <is>
          <t>FY2021</t>
        </is>
      </c>
      <c r="O7" s="45" t="inlineStr">
        <is>
          <t>FY2022</t>
        </is>
      </c>
      <c r="P7" s="45" t="inlineStr">
        <is>
          <t>FY2023</t>
        </is>
      </c>
      <c r="Q7" s="45" t="inlineStr">
        <is>
          <t>FY2024</t>
        </is>
      </c>
      <c r="R7" s="45" t="inlineStr">
        <is>
          <t>FY2025</t>
        </is>
      </c>
      <c r="S7" s="45" t="inlineStr">
        <is>
          <t>FY2026</t>
        </is>
      </c>
      <c r="T7" s="45" t="inlineStr">
        <is>
          <t>YoY%</t>
        </is>
      </c>
    </row>
    <row r="8" ht="15" customHeight="1" s="39">
      <c r="A8" s="53" t="inlineStr">
        <is>
          <t>INCOME STATEMENT</t>
        </is>
      </c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</row>
    <row r="9" ht="15" customHeight="1" s="39">
      <c r="A9" s="46" t="inlineStr">
        <is>
          <t>Revenue from Operations</t>
        </is>
      </c>
      <c r="B9" s="47" t="inlineStr">
        <is>
          <t>INR cr</t>
        </is>
      </c>
      <c r="C9" s="56" t="n"/>
      <c r="D9" s="56" t="n"/>
      <c r="E9" s="56" t="n"/>
      <c r="F9" s="56" t="n"/>
      <c r="G9" s="56" t="n"/>
      <c r="H9" s="56" t="n"/>
      <c r="I9" s="57" t="n">
        <v>0</v>
      </c>
      <c r="J9" s="57" t="n">
        <v>3046.628</v>
      </c>
      <c r="K9" s="49">
        <f>IFERROR((J9-I9)/I9,"")</f>
        <v/>
      </c>
      <c r="L9" s="56" t="n"/>
      <c r="M9" s="56" t="n"/>
      <c r="N9" s="56" t="n"/>
      <c r="O9" s="56" t="n"/>
      <c r="P9" s="56" t="n"/>
      <c r="Q9" s="56" t="n"/>
      <c r="R9" s="56" t="n"/>
      <c r="S9" s="56" t="n"/>
      <c r="T9" s="49">
        <f>IFERROR((S9-R9)/R9,"")</f>
        <v/>
      </c>
    </row>
    <row r="10" ht="15" customHeight="1" s="39">
      <c r="A10" s="46" t="inlineStr">
        <is>
          <t>Other Income</t>
        </is>
      </c>
      <c r="B10" s="47" t="inlineStr">
        <is>
          <t>INR cr</t>
        </is>
      </c>
      <c r="C10" s="56" t="n"/>
      <c r="D10" s="56" t="n"/>
      <c r="E10" s="56" t="n"/>
      <c r="F10" s="56" t="n"/>
      <c r="G10" s="56" t="n"/>
      <c r="H10" s="56" t="n"/>
      <c r="I10" s="56" t="n"/>
      <c r="J10" s="57" t="n">
        <v>43.982</v>
      </c>
      <c r="K10" s="49">
        <f>IFERROR((J10-I10)/I10,"")</f>
        <v/>
      </c>
      <c r="L10" s="56" t="n"/>
      <c r="M10" s="56" t="n"/>
      <c r="N10" s="56" t="n"/>
      <c r="O10" s="56" t="n"/>
      <c r="P10" s="56" t="n"/>
      <c r="Q10" s="56" t="n"/>
      <c r="R10" s="56" t="n"/>
      <c r="S10" s="57" t="n">
        <v>7.2</v>
      </c>
      <c r="T10" s="49">
        <f>IFERROR((S10-R10)/R10,"")</f>
        <v/>
      </c>
    </row>
    <row r="11" ht="15" customHeight="1" s="39">
      <c r="A11" s="46" t="inlineStr">
        <is>
          <t>Total Income</t>
        </is>
      </c>
      <c r="B11" s="47" t="inlineStr">
        <is>
          <t>INR cr</t>
        </is>
      </c>
      <c r="C11" s="48">
        <f>IF(AND(C9="",C10=""),"",N(C9)+N(C10))</f>
        <v/>
      </c>
      <c r="D11" s="48">
        <f>IF(AND(D9="",D10=""),"",N(D9)+N(D10))</f>
        <v/>
      </c>
      <c r="E11" s="48">
        <f>IF(AND(E9="",E10=""),"",N(E9)+N(E10))</f>
        <v/>
      </c>
      <c r="F11" s="48">
        <f>IF(AND(F9="",F10=""),"",N(F9)+N(F10))</f>
        <v/>
      </c>
      <c r="G11" s="48">
        <f>IF(AND(G9="",G10=""),"",N(G9)+N(G10))</f>
        <v/>
      </c>
      <c r="H11" s="48">
        <f>IF(AND(H9="",H10=""),"",N(H9)+N(H10))</f>
        <v/>
      </c>
      <c r="I11" s="48">
        <f>IF(AND(I9="",I10=""),"",N(I9)+N(I10))</f>
        <v/>
      </c>
      <c r="J11" s="48">
        <f>IF(AND(J9="",J10=""),"",N(J9)+N(J10))</f>
        <v/>
      </c>
      <c r="K11" s="49">
        <f>IFERROR((J11-I11)/I11,"")</f>
        <v/>
      </c>
      <c r="L11" s="48">
        <f>IF(AND(L9="",L10=""),"",N(L9)+N(L10))</f>
        <v/>
      </c>
      <c r="M11" s="48">
        <f>IF(AND(M9="",M10=""),"",N(M9)+N(M10))</f>
        <v/>
      </c>
      <c r="N11" s="48">
        <f>IF(AND(N9="",N10=""),"",N(N9)+N(N10))</f>
        <v/>
      </c>
      <c r="O11" s="48">
        <f>IF(AND(O9="",O10=""),"",N(O9)+N(O10))</f>
        <v/>
      </c>
      <c r="P11" s="48">
        <f>IF(AND(P9="",P10=""),"",N(P9)+N(P10))</f>
        <v/>
      </c>
      <c r="Q11" s="48">
        <f>IF(AND(Q9="",Q10=""),"",N(Q9)+N(Q10))</f>
        <v/>
      </c>
      <c r="R11" s="48">
        <f>IF(AND(R9="",R10=""),"",N(R9)+N(R10))</f>
        <v/>
      </c>
      <c r="S11" s="48">
        <f>IF(AND(S9="",S10=""),"",N(S9)+N(S10))</f>
        <v/>
      </c>
      <c r="T11" s="49">
        <f>IFERROR((S11-R11)/R11,"")</f>
        <v/>
      </c>
    </row>
    <row r="12" ht="15" customHeight="1" s="39">
      <c r="A12" s="46" t="inlineStr">
        <is>
          <t>Property / Operating Expenses</t>
        </is>
      </c>
      <c r="B12" s="47" t="inlineStr">
        <is>
          <t>INR cr</t>
        </is>
      </c>
      <c r="C12" s="56" t="n"/>
      <c r="D12" s="56" t="n"/>
      <c r="E12" s="56" t="n"/>
      <c r="F12" s="56" t="n"/>
      <c r="G12" s="56" t="n"/>
      <c r="H12" s="56" t="n"/>
      <c r="I12" s="56" t="n"/>
      <c r="J12" s="57" t="n">
        <v>271.098</v>
      </c>
      <c r="K12" s="49">
        <f>IFERROR((J12-I12)/I12,"")</f>
        <v/>
      </c>
      <c r="L12" s="56" t="n"/>
      <c r="M12" s="56" t="n"/>
      <c r="N12" s="56" t="n"/>
      <c r="O12" s="56" t="n"/>
      <c r="P12" s="56" t="n"/>
      <c r="Q12" s="56" t="n"/>
      <c r="R12" s="56" t="n"/>
      <c r="S12" s="56" t="n"/>
      <c r="T12" s="49">
        <f>IFERROR((S12-R12)/R12,"")</f>
        <v/>
      </c>
    </row>
    <row r="13" ht="15" customHeight="1" s="39">
      <c r="A13" s="46" t="inlineStr">
        <is>
          <t>Net Operating Income (NOI)</t>
        </is>
      </c>
      <c r="B13" s="47" t="inlineStr">
        <is>
          <t>INR cr</t>
        </is>
      </c>
      <c r="C13" s="56" t="n"/>
      <c r="D13" s="56" t="n"/>
      <c r="E13" s="56" t="n"/>
      <c r="F13" s="56" t="n"/>
      <c r="G13" s="56" t="n"/>
      <c r="H13" s="56" t="n"/>
      <c r="I13" s="56" t="n"/>
      <c r="J13" s="57" t="n">
        <v>2694.076</v>
      </c>
      <c r="K13" s="49">
        <f>IFERROR((J13-I13)/I13,"")</f>
        <v/>
      </c>
      <c r="L13" s="56" t="n"/>
      <c r="M13" s="56" t="n"/>
      <c r="N13" s="56" t="n"/>
      <c r="O13" s="56" t="n"/>
      <c r="P13" s="56" t="n"/>
      <c r="Q13" s="56" t="n"/>
      <c r="R13" s="56" t="n"/>
      <c r="S13" s="56" t="n"/>
      <c r="T13" s="49">
        <f>IFERROR((S13-R13)/R13,"")</f>
        <v/>
      </c>
    </row>
    <row r="14" ht="15" customHeight="1" s="39">
      <c r="A14" s="46" t="inlineStr">
        <is>
          <t>NOI Margin</t>
        </is>
      </c>
      <c r="B14" s="47" t="inlineStr">
        <is>
          <t>%</t>
        </is>
      </c>
      <c r="C14" s="49">
        <f>IF(OR(C13="",C9="",N(C9)=0),"",C13/C9)</f>
        <v/>
      </c>
      <c r="D14" s="49">
        <f>IF(OR(D13="",D9="",N(D9)=0),"",D13/D9)</f>
        <v/>
      </c>
      <c r="E14" s="49">
        <f>IF(OR(E13="",E9="",N(E9)=0),"",E13/E9)</f>
        <v/>
      </c>
      <c r="F14" s="49">
        <f>IF(OR(F13="",F9="",N(F9)=0),"",F13/F9)</f>
        <v/>
      </c>
      <c r="G14" s="49">
        <f>IF(OR(G13="",G9="",N(G9)=0),"",G13/G9)</f>
        <v/>
      </c>
      <c r="H14" s="49">
        <f>IF(OR(H13="",H9="",N(H9)=0),"",H13/H9)</f>
        <v/>
      </c>
      <c r="I14" s="49">
        <f>IF(OR(I13="",I9="",N(I9)=0),"",I13/I9)</f>
        <v/>
      </c>
      <c r="J14" s="49">
        <f>IF(OR(J13="",J9="",N(J9)=0),"",J13/J9)</f>
        <v/>
      </c>
      <c r="L14" s="49">
        <f>IF(OR(L13="",L9="",N(L9)=0),"",L13/L9)</f>
        <v/>
      </c>
      <c r="M14" s="49">
        <f>IF(OR(M13="",M9="",N(M9)=0),"",M13/M9)</f>
        <v/>
      </c>
      <c r="N14" s="49">
        <f>IF(OR(N13="",N9="",N(N9)=0),"",N13/N9)</f>
        <v/>
      </c>
      <c r="O14" s="49">
        <f>IF(OR(O13="",O9="",N(O9)=0),"",O13/O9)</f>
        <v/>
      </c>
      <c r="P14" s="49">
        <f>IF(OR(P13="",P9="",N(P9)=0),"",P13/P9)</f>
        <v/>
      </c>
      <c r="Q14" s="49">
        <f>IF(OR(Q13="",Q9="",N(Q9)=0),"",Q13/Q9)</f>
        <v/>
      </c>
      <c r="R14" s="49">
        <f>IF(OR(R13="",R9="",N(R9)=0),"",R13/R9)</f>
        <v/>
      </c>
      <c r="S14" s="49">
        <f>IF(OR(S13="",S9="",N(S9)=0),"",S13/S9)</f>
        <v/>
      </c>
    </row>
    <row r="15" ht="15" customHeight="1" s="39">
      <c r="A15" s="46" t="inlineStr">
        <is>
          <t>EBITDA</t>
        </is>
      </c>
      <c r="B15" s="47" t="inlineStr">
        <is>
          <t>INR cr</t>
        </is>
      </c>
      <c r="C15" s="56" t="n"/>
      <c r="D15" s="56" t="n"/>
      <c r="E15" s="56" t="n"/>
      <c r="F15" s="56" t="n"/>
      <c r="G15" s="56" t="n"/>
      <c r="H15" s="56" t="n"/>
      <c r="I15" s="56" t="n"/>
      <c r="J15" s="57" t="n">
        <v>2532.579</v>
      </c>
      <c r="K15" s="49">
        <f>IFERROR((J15-I15)/I15,"")</f>
        <v/>
      </c>
      <c r="L15" s="56" t="n"/>
      <c r="M15" s="56" t="n"/>
      <c r="N15" s="56" t="n"/>
      <c r="O15" s="56" t="n"/>
      <c r="P15" s="56" t="n"/>
      <c r="Q15" s="56" t="n"/>
      <c r="R15" s="56" t="n"/>
      <c r="S15" s="57" t="n">
        <v>2519.71</v>
      </c>
      <c r="T15" s="49">
        <f>IFERROR((S15-R15)/R15,"")</f>
        <v/>
      </c>
    </row>
    <row r="16" ht="15" customHeight="1" s="39">
      <c r="A16" s="46" t="inlineStr">
        <is>
          <t>EBITDA Margin</t>
        </is>
      </c>
      <c r="B16" s="47" t="inlineStr">
        <is>
          <t>%</t>
        </is>
      </c>
      <c r="C16" s="49">
        <f>IF(OR(C15="",C9="",N(C9)=0),"",C15/C9)</f>
        <v/>
      </c>
      <c r="D16" s="49">
        <f>IF(OR(D15="",D9="",N(D9)=0),"",D15/D9)</f>
        <v/>
      </c>
      <c r="E16" s="49">
        <f>IF(OR(E15="",E9="",N(E9)=0),"",E15/E9)</f>
        <v/>
      </c>
      <c r="F16" s="49">
        <f>IF(OR(F15="",F9="",N(F9)=0),"",F15/F9)</f>
        <v/>
      </c>
      <c r="G16" s="49">
        <f>IF(OR(G15="",G9="",N(G9)=0),"",G15/G9)</f>
        <v/>
      </c>
      <c r="H16" s="49">
        <f>IF(OR(H15="",H9="",N(H9)=0),"",H15/H9)</f>
        <v/>
      </c>
      <c r="I16" s="49">
        <f>IF(OR(I15="",I9="",N(I9)=0),"",I15/I9)</f>
        <v/>
      </c>
      <c r="J16" s="49">
        <f>IF(OR(J15="",J9="",N(J9)=0),"",J15/J9)</f>
        <v/>
      </c>
      <c r="L16" s="49">
        <f>IF(OR(L15="",L9="",N(L9)=0),"",L15/L9)</f>
        <v/>
      </c>
      <c r="M16" s="49">
        <f>IF(OR(M15="",M9="",N(M9)=0),"",M15/M9)</f>
        <v/>
      </c>
      <c r="N16" s="49">
        <f>IF(OR(N15="",N9="",N(N9)=0),"",N15/N9)</f>
        <v/>
      </c>
      <c r="O16" s="49">
        <f>IF(OR(O15="",O9="",N(O9)=0),"",O15/O9)</f>
        <v/>
      </c>
      <c r="P16" s="49">
        <f>IF(OR(P15="",P9="",N(P9)=0),"",P15/P9)</f>
        <v/>
      </c>
      <c r="Q16" s="49">
        <f>IF(OR(Q15="",Q9="",N(Q9)=0),"",Q15/Q9)</f>
        <v/>
      </c>
      <c r="R16" s="49">
        <f>IF(OR(R15="",R9="",N(R9)=0),"",R15/R9)</f>
        <v/>
      </c>
      <c r="S16" s="49">
        <f>IF(OR(S15="",S9="",N(S9)=0),"",S15/S9)</f>
        <v/>
      </c>
    </row>
    <row r="17" ht="15" customHeight="1" s="39">
      <c r="A17" s="46" t="inlineStr">
        <is>
          <t>Finance Costs</t>
        </is>
      </c>
      <c r="B17" s="47" t="inlineStr">
        <is>
          <t>INR cr</t>
        </is>
      </c>
      <c r="C17" s="56" t="n"/>
      <c r="D17" s="56" t="n"/>
      <c r="E17" s="56" t="n"/>
      <c r="F17" s="56" t="n"/>
      <c r="G17" s="56" t="n"/>
      <c r="H17" s="56" t="n"/>
      <c r="I17" s="56" t="n"/>
      <c r="J17" s="57" t="n">
        <v>681.952</v>
      </c>
      <c r="K17" s="49">
        <f>IFERROR((J17-I17)/I17,"")</f>
        <v/>
      </c>
      <c r="L17" s="56" t="n"/>
      <c r="M17" s="56" t="n"/>
      <c r="N17" s="56" t="n"/>
      <c r="O17" s="56" t="n"/>
      <c r="P17" s="56" t="n"/>
      <c r="Q17" s="56" t="n"/>
      <c r="R17" s="56" t="n"/>
      <c r="S17" s="57" t="n">
        <v>128.154</v>
      </c>
      <c r="T17" s="49">
        <f>IFERROR((S17-R17)/R17,"")</f>
        <v/>
      </c>
    </row>
    <row r="18" ht="15" customHeight="1" s="39">
      <c r="A18" s="46" t="inlineStr">
        <is>
          <t>Depreciation &amp; Amortisation</t>
        </is>
      </c>
      <c r="B18" s="47" t="inlineStr">
        <is>
          <t>INR cr</t>
        </is>
      </c>
      <c r="C18" s="56" t="n"/>
      <c r="D18" s="56" t="n"/>
      <c r="E18" s="56" t="n"/>
      <c r="F18" s="56" t="n"/>
      <c r="G18" s="56" t="n"/>
      <c r="H18" s="56" t="n"/>
      <c r="I18" s="56" t="n"/>
      <c r="J18" s="57" t="n">
        <v>1050.479</v>
      </c>
      <c r="K18" s="49">
        <f>IFERROR((J18-I18)/I18,"")</f>
        <v/>
      </c>
      <c r="L18" s="56" t="n"/>
      <c r="M18" s="56" t="n"/>
      <c r="N18" s="56" t="n"/>
      <c r="O18" s="56" t="n"/>
      <c r="P18" s="56" t="n"/>
      <c r="Q18" s="56" t="n"/>
      <c r="R18" s="56" t="n"/>
      <c r="S18" s="57" t="n">
        <v>0</v>
      </c>
      <c r="T18" s="49">
        <f>IFERROR((S18-R18)/R18,"")</f>
        <v/>
      </c>
    </row>
    <row r="19" ht="15" customHeight="1" s="39">
      <c r="A19" s="46" t="inlineStr">
        <is>
          <t>Profit Before Tax (PBT)</t>
        </is>
      </c>
      <c r="B19" s="47" t="inlineStr">
        <is>
          <t>INR cr</t>
        </is>
      </c>
      <c r="C19" s="56" t="n"/>
      <c r="D19" s="56" t="n"/>
      <c r="E19" s="56" t="n"/>
      <c r="F19" s="56" t="n"/>
      <c r="G19" s="56" t="n"/>
      <c r="H19" s="56" t="n"/>
      <c r="I19" s="56" t="n"/>
      <c r="J19" s="57" t="n">
        <v>800.148</v>
      </c>
      <c r="K19" s="49">
        <f>IFERROR((J19-I19)/I19,"")</f>
        <v/>
      </c>
      <c r="L19" s="56" t="n"/>
      <c r="M19" s="56" t="n"/>
      <c r="N19" s="56" t="n"/>
      <c r="O19" s="56" t="n"/>
      <c r="P19" s="56" t="n"/>
      <c r="Q19" s="56" t="n"/>
      <c r="R19" s="56" t="n"/>
      <c r="S19" s="57" t="n">
        <v>2391.556</v>
      </c>
      <c r="T19" s="49">
        <f>IFERROR((S19-R19)/R19,"")</f>
        <v/>
      </c>
    </row>
    <row r="20" ht="15" customHeight="1" s="39">
      <c r="A20" s="46" t="inlineStr">
        <is>
          <t>Profit After Tax (PAT)</t>
        </is>
      </c>
      <c r="B20" s="47" t="inlineStr">
        <is>
          <t>INR cr</t>
        </is>
      </c>
      <c r="C20" s="56" t="n"/>
      <c r="D20" s="56" t="n"/>
      <c r="E20" s="56" t="n"/>
      <c r="F20" s="56" t="n"/>
      <c r="G20" s="56" t="n"/>
      <c r="H20" s="56" t="n"/>
      <c r="I20" s="56" t="n"/>
      <c r="J20" s="57" t="n">
        <v>375.436</v>
      </c>
      <c r="K20" s="49">
        <f>IFERROR((J20-I20)/I20,"")</f>
        <v/>
      </c>
      <c r="L20" s="56" t="n"/>
      <c r="M20" s="56" t="n"/>
      <c r="N20" s="56" t="n"/>
      <c r="O20" s="56" t="n"/>
      <c r="P20" s="56" t="n"/>
      <c r="Q20" s="56" t="n"/>
      <c r="R20" s="56" t="n"/>
      <c r="S20" s="57" t="n">
        <v>2390.63</v>
      </c>
      <c r="T20" s="49">
        <f>IFERROR((S20-R20)/R20,"")</f>
        <v/>
      </c>
    </row>
    <row r="21" ht="15" customHeight="1" s="39">
      <c r="A21" s="46" t="inlineStr">
        <is>
          <t>PAT Margin</t>
        </is>
      </c>
      <c r="B21" s="47" t="inlineStr">
        <is>
          <t>%</t>
        </is>
      </c>
      <c r="C21" s="49">
        <f>IF(OR(C20="",C9="",N(C9)=0),"",C20/C9)</f>
        <v/>
      </c>
      <c r="D21" s="49">
        <f>IF(OR(D20="",D9="",N(D9)=0),"",D20/D9)</f>
        <v/>
      </c>
      <c r="E21" s="49">
        <f>IF(OR(E20="",E9="",N(E9)=0),"",E20/E9)</f>
        <v/>
      </c>
      <c r="F21" s="49">
        <f>IF(OR(F20="",F9="",N(F9)=0),"",F20/F9)</f>
        <v/>
      </c>
      <c r="G21" s="49">
        <f>IF(OR(G20="",G9="",N(G9)=0),"",G20/G9)</f>
        <v/>
      </c>
      <c r="H21" s="49">
        <f>IF(OR(H20="",H9="",N(H9)=0),"",H20/H9)</f>
        <v/>
      </c>
      <c r="I21" s="49">
        <f>IF(OR(I20="",I9="",N(I9)=0),"",I20/I9)</f>
        <v/>
      </c>
      <c r="J21" s="49">
        <f>IF(OR(J20="",J9="",N(J9)=0),"",J20/J9)</f>
        <v/>
      </c>
      <c r="L21" s="49">
        <f>IF(OR(L20="",L9="",N(L9)=0),"",L20/L9)</f>
        <v/>
      </c>
      <c r="M21" s="49">
        <f>IF(OR(M20="",M9="",N(M9)=0),"",M20/M9)</f>
        <v/>
      </c>
      <c r="N21" s="49">
        <f>IF(OR(N20="",N9="",N(N9)=0),"",N20/N9)</f>
        <v/>
      </c>
      <c r="O21" s="49">
        <f>IF(OR(O20="",O9="",N(O9)=0),"",O20/O9)</f>
        <v/>
      </c>
      <c r="P21" s="49">
        <f>IF(OR(P20="",P9="",N(P9)=0),"",P20/P9)</f>
        <v/>
      </c>
      <c r="Q21" s="49">
        <f>IF(OR(Q20="",Q9="",N(Q9)=0),"",Q20/Q9)</f>
        <v/>
      </c>
      <c r="R21" s="49">
        <f>IF(OR(R20="",R9="",N(R9)=0),"",R20/R9)</f>
        <v/>
      </c>
      <c r="S21" s="49">
        <f>IF(OR(S20="",S9="",N(S9)=0),"",S20/S9)</f>
        <v/>
      </c>
    </row>
    <row r="22" ht="15" customHeight="1" s="39">
      <c r="A22" s="53" t="inlineStr">
        <is>
          <t>DISTRIBUTIONS &amp; CASH FLOW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</row>
    <row r="23" ht="15" customHeight="1" s="39">
      <c r="A23" s="46" t="inlineStr">
        <is>
          <t>Net Distributable Cash Flow (NDCF)</t>
        </is>
      </c>
      <c r="B23" s="47" t="inlineStr">
        <is>
          <t>INR cr</t>
        </is>
      </c>
      <c r="C23" s="56" t="n"/>
      <c r="D23" s="56" t="n"/>
      <c r="E23" s="56" t="n"/>
      <c r="F23" s="56" t="n"/>
      <c r="G23" s="56" t="n"/>
      <c r="H23" s="56" t="n"/>
      <c r="I23" s="56" t="n"/>
      <c r="J23" s="57" t="n">
        <v>2101.972</v>
      </c>
      <c r="K23" s="49">
        <f>IFERROR((J23-I23)/I23,"")</f>
        <v/>
      </c>
      <c r="L23" s="58" t="inlineStr">
        <is>
          <t>n/a</t>
        </is>
      </c>
      <c r="M23" s="58" t="inlineStr">
        <is>
          <t>n/a</t>
        </is>
      </c>
      <c r="N23" s="58" t="inlineStr">
        <is>
          <t>n/a</t>
        </is>
      </c>
      <c r="O23" s="58" t="inlineStr">
        <is>
          <t>n/a</t>
        </is>
      </c>
      <c r="P23" s="58" t="inlineStr">
        <is>
          <t>n/a</t>
        </is>
      </c>
      <c r="Q23" s="58" t="inlineStr">
        <is>
          <t>n/a</t>
        </is>
      </c>
      <c r="R23" s="58" t="inlineStr">
        <is>
          <t>n/a</t>
        </is>
      </c>
      <c r="S23" s="58" t="inlineStr">
        <is>
          <t>n/a</t>
        </is>
      </c>
      <c r="T23" s="58" t="inlineStr">
        <is>
          <t>n/a</t>
        </is>
      </c>
    </row>
    <row r="24" ht="15" customHeight="1" s="39">
      <c r="A24" s="46" t="inlineStr">
        <is>
          <t>Total Distribution</t>
        </is>
      </c>
      <c r="B24" s="47" t="inlineStr">
        <is>
          <t>INR cr</t>
        </is>
      </c>
      <c r="C24" s="56" t="n"/>
      <c r="D24" s="56" t="n"/>
      <c r="E24" s="56" t="n"/>
      <c r="F24" s="56" t="n"/>
      <c r="G24" s="56" t="n"/>
      <c r="H24" s="56" t="n"/>
      <c r="I24" s="56" t="n"/>
      <c r="J24" s="57" t="n">
        <v>2101.919</v>
      </c>
      <c r="K24" s="49">
        <f>IFERROR((J24-I24)/I24,"")</f>
        <v/>
      </c>
      <c r="L24" s="58" t="inlineStr">
        <is>
          <t>n/a</t>
        </is>
      </c>
      <c r="M24" s="58" t="inlineStr">
        <is>
          <t>n/a</t>
        </is>
      </c>
      <c r="N24" s="58" t="inlineStr">
        <is>
          <t>n/a</t>
        </is>
      </c>
      <c r="O24" s="58" t="inlineStr">
        <is>
          <t>n/a</t>
        </is>
      </c>
      <c r="P24" s="58" t="inlineStr">
        <is>
          <t>n/a</t>
        </is>
      </c>
      <c r="Q24" s="58" t="inlineStr">
        <is>
          <t>n/a</t>
        </is>
      </c>
      <c r="R24" s="58" t="inlineStr">
        <is>
          <t>n/a</t>
        </is>
      </c>
      <c r="S24" s="58" t="inlineStr">
        <is>
          <t>n/a</t>
        </is>
      </c>
      <c r="T24" s="58" t="inlineStr">
        <is>
          <t>n/a</t>
        </is>
      </c>
    </row>
    <row r="25" ht="15" customHeight="1" s="39">
      <c r="A25" s="46" t="inlineStr">
        <is>
          <t>Distribution per Unit (DPU)</t>
        </is>
      </c>
      <c r="B25" s="47" t="inlineStr">
        <is>
          <t>INR/unit</t>
        </is>
      </c>
      <c r="C25" s="59" t="n"/>
      <c r="D25" s="59" t="n"/>
      <c r="E25" s="59" t="n"/>
      <c r="F25" s="59" t="n"/>
      <c r="G25" s="59" t="n"/>
      <c r="H25" s="59" t="n"/>
      <c r="I25" s="59" t="n"/>
      <c r="J25" s="60" t="n">
        <v>4.74</v>
      </c>
      <c r="K25" s="49">
        <f>IFERROR((J25-I25)/I25,"")</f>
        <v/>
      </c>
      <c r="L25" s="58" t="inlineStr">
        <is>
          <t>n/a</t>
        </is>
      </c>
      <c r="M25" s="58" t="inlineStr">
        <is>
          <t>n/a</t>
        </is>
      </c>
      <c r="N25" s="58" t="inlineStr">
        <is>
          <t>n/a</t>
        </is>
      </c>
      <c r="O25" s="58" t="inlineStr">
        <is>
          <t>n/a</t>
        </is>
      </c>
      <c r="P25" s="58" t="inlineStr">
        <is>
          <t>n/a</t>
        </is>
      </c>
      <c r="Q25" s="58" t="inlineStr">
        <is>
          <t>n/a</t>
        </is>
      </c>
      <c r="R25" s="58" t="inlineStr">
        <is>
          <t>n/a</t>
        </is>
      </c>
      <c r="S25" s="58" t="inlineStr">
        <is>
          <t>n/a</t>
        </is>
      </c>
      <c r="T25" s="58" t="inlineStr">
        <is>
          <t>n/a</t>
        </is>
      </c>
    </row>
    <row r="26" ht="15" customHeight="1" s="39">
      <c r="A26" s="46" t="inlineStr">
        <is>
          <t>NDCF Payout Ratio</t>
        </is>
      </c>
      <c r="B26" s="47" t="inlineStr">
        <is>
          <t>%</t>
        </is>
      </c>
      <c r="C26" s="49">
        <f>IF(OR(C24="",C23="",N(C23)=0),"",C24/C23)</f>
        <v/>
      </c>
      <c r="D26" s="49">
        <f>IF(OR(D24="",D23="",N(D23)=0),"",D24/D23)</f>
        <v/>
      </c>
      <c r="E26" s="49">
        <f>IF(OR(E24="",E23="",N(E23)=0),"",E24/E23)</f>
        <v/>
      </c>
      <c r="F26" s="49">
        <f>IF(OR(F24="",F23="",N(F23)=0),"",F24/F23)</f>
        <v/>
      </c>
      <c r="G26" s="49">
        <f>IF(OR(G24="",G23="",N(G23)=0),"",G24/G23)</f>
        <v/>
      </c>
      <c r="H26" s="49">
        <f>IF(OR(H24="",H23="",N(H23)=0),"",H24/H23)</f>
        <v/>
      </c>
      <c r="I26" s="49">
        <f>IF(OR(I24="",I23="",N(I23)=0),"",I24/I23)</f>
        <v/>
      </c>
      <c r="J26" s="49">
        <f>IF(OR(J24="",J23="",N(J23)=0),"",J24/J23)</f>
        <v/>
      </c>
      <c r="L26" s="58" t="inlineStr">
        <is>
          <t>n/a</t>
        </is>
      </c>
      <c r="M26" s="58" t="inlineStr">
        <is>
          <t>n/a</t>
        </is>
      </c>
      <c r="N26" s="58" t="inlineStr">
        <is>
          <t>n/a</t>
        </is>
      </c>
      <c r="O26" s="58" t="inlineStr">
        <is>
          <t>n/a</t>
        </is>
      </c>
      <c r="P26" s="58" t="inlineStr">
        <is>
          <t>n/a</t>
        </is>
      </c>
      <c r="Q26" s="58" t="inlineStr">
        <is>
          <t>n/a</t>
        </is>
      </c>
      <c r="R26" s="58" t="inlineStr">
        <is>
          <t>n/a</t>
        </is>
      </c>
      <c r="S26" s="58" t="inlineStr">
        <is>
          <t>n/a</t>
        </is>
      </c>
      <c r="T26" s="58" t="inlineStr">
        <is>
          <t>n/a</t>
        </is>
      </c>
    </row>
    <row r="27" ht="15" customHeight="1" s="39">
      <c r="A27" s="53" t="inlineStr">
        <is>
          <t>BALANCE SHEET &amp; LEVERAGE</t>
        </is>
      </c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</row>
    <row r="28" ht="15" customHeight="1" s="39">
      <c r="A28" s="46" t="inlineStr">
        <is>
          <t>Gross Asset Value (GAV) / AUM</t>
        </is>
      </c>
      <c r="B28" s="47" t="inlineStr">
        <is>
          <t>INR cr</t>
        </is>
      </c>
      <c r="C28" s="56" t="n"/>
      <c r="D28" s="56" t="n"/>
      <c r="E28" s="56" t="n"/>
      <c r="F28" s="56" t="n"/>
      <c r="G28" s="56" t="n"/>
      <c r="H28" s="56" t="n"/>
      <c r="I28" s="56" t="n"/>
      <c r="J28" s="57" t="n">
        <v>67411.10000000001</v>
      </c>
      <c r="K28" s="49">
        <f>IFERROR((J28-I28)/I28,"")</f>
        <v/>
      </c>
      <c r="L28" s="58" t="inlineStr">
        <is>
          <t>n/a</t>
        </is>
      </c>
      <c r="M28" s="58" t="inlineStr">
        <is>
          <t>n/a</t>
        </is>
      </c>
      <c r="N28" s="58" t="inlineStr">
        <is>
          <t>n/a</t>
        </is>
      </c>
      <c r="O28" s="58" t="inlineStr">
        <is>
          <t>n/a</t>
        </is>
      </c>
      <c r="P28" s="58" t="inlineStr">
        <is>
          <t>n/a</t>
        </is>
      </c>
      <c r="Q28" s="58" t="inlineStr">
        <is>
          <t>n/a</t>
        </is>
      </c>
      <c r="R28" s="58" t="inlineStr">
        <is>
          <t>n/a</t>
        </is>
      </c>
      <c r="S28" s="58" t="inlineStr">
        <is>
          <t>n/a</t>
        </is>
      </c>
      <c r="T28" s="58" t="inlineStr">
        <is>
          <t>n/a</t>
        </is>
      </c>
    </row>
    <row r="29" ht="15" customHeight="1" s="39">
      <c r="A29" s="46" t="inlineStr">
        <is>
          <t>Gross Debt</t>
        </is>
      </c>
      <c r="B29" s="47" t="inlineStr">
        <is>
          <t>INR cr</t>
        </is>
      </c>
      <c r="C29" s="56" t="n"/>
      <c r="D29" s="56" t="n"/>
      <c r="E29" s="56" t="n"/>
      <c r="F29" s="56" t="n"/>
      <c r="G29" s="56" t="n"/>
      <c r="H29" s="56" t="n"/>
      <c r="I29" s="56" t="n"/>
      <c r="J29" s="57" t="n">
        <v>12358.644</v>
      </c>
      <c r="K29" s="49">
        <f>IFERROR((J29-I29)/I29,"")</f>
        <v/>
      </c>
      <c r="L29" s="56" t="n"/>
      <c r="M29" s="56" t="n"/>
      <c r="N29" s="56" t="n"/>
      <c r="O29" s="56" t="n"/>
      <c r="P29" s="56" t="n"/>
      <c r="Q29" s="56" t="n"/>
      <c r="R29" s="56" t="n"/>
      <c r="S29" s="57" t="n">
        <v>4153.742</v>
      </c>
      <c r="T29" s="49">
        <f>IFERROR((S29-R29)/R29,"")</f>
        <v/>
      </c>
    </row>
    <row r="30" ht="15" customHeight="1" s="39">
      <c r="A30" s="46" t="inlineStr">
        <is>
          <t>Cash &amp; Cash Equivalents</t>
        </is>
      </c>
      <c r="B30" s="47" t="inlineStr">
        <is>
          <t>INR cr</t>
        </is>
      </c>
      <c r="C30" s="56" t="n"/>
      <c r="D30" s="56" t="n"/>
      <c r="E30" s="56" t="n"/>
      <c r="F30" s="56" t="n"/>
      <c r="G30" s="56" t="n"/>
      <c r="H30" s="56" t="n"/>
      <c r="I30" s="56" t="n"/>
      <c r="J30" s="57" t="n">
        <v>626.553</v>
      </c>
      <c r="K30" s="49">
        <f>IFERROR((J30-I30)/I30,"")</f>
        <v/>
      </c>
      <c r="L30" s="56" t="n"/>
      <c r="M30" s="56" t="n"/>
      <c r="N30" s="56" t="n"/>
      <c r="O30" s="56" t="n"/>
      <c r="P30" s="56" t="n"/>
      <c r="Q30" s="56" t="n"/>
      <c r="R30" s="56" t="n"/>
      <c r="S30" s="57" t="n">
        <v>13.655</v>
      </c>
      <c r="T30" s="49">
        <f>IFERROR((S30-R30)/R30,"")</f>
        <v/>
      </c>
    </row>
    <row r="31" ht="15" customHeight="1" s="39">
      <c r="A31" s="46" t="inlineStr">
        <is>
          <t>Net Debt</t>
        </is>
      </c>
      <c r="B31" s="47" t="inlineStr">
        <is>
          <t>INR cr</t>
        </is>
      </c>
      <c r="C31" s="48">
        <f>IF(C29="","",C29-N(C30))</f>
        <v/>
      </c>
      <c r="D31" s="48">
        <f>IF(D29="","",D29-N(D30))</f>
        <v/>
      </c>
      <c r="E31" s="48">
        <f>IF(E29="","",E29-N(E30))</f>
        <v/>
      </c>
      <c r="F31" s="48">
        <f>IF(F29="","",F29-N(F30))</f>
        <v/>
      </c>
      <c r="G31" s="48">
        <f>IF(G29="","",G29-N(G30))</f>
        <v/>
      </c>
      <c r="H31" s="48">
        <f>IF(H29="","",H29-N(H30))</f>
        <v/>
      </c>
      <c r="I31" s="48">
        <f>IF(I29="","",I29-N(I30))</f>
        <v/>
      </c>
      <c r="J31" s="48">
        <f>IF(J29="","",J29-N(J30))</f>
        <v/>
      </c>
      <c r="K31" s="49">
        <f>IFERROR((J31-I31)/I31,"")</f>
        <v/>
      </c>
      <c r="L31" s="48">
        <f>IF(L29="","",L29-N(L30))</f>
        <v/>
      </c>
      <c r="M31" s="48">
        <f>IF(M29="","",M29-N(M30))</f>
        <v/>
      </c>
      <c r="N31" s="48">
        <f>IF(N29="","",N29-N(N30))</f>
        <v/>
      </c>
      <c r="O31" s="48">
        <f>IF(O29="","",O29-N(O30))</f>
        <v/>
      </c>
      <c r="P31" s="48">
        <f>IF(P29="","",P29-N(P30))</f>
        <v/>
      </c>
      <c r="Q31" s="48">
        <f>IF(Q29="","",Q29-N(Q30))</f>
        <v/>
      </c>
      <c r="R31" s="48">
        <f>IF(R29="","",R29-N(R30))</f>
        <v/>
      </c>
      <c r="S31" s="48">
        <f>IF(S29="","",S29-N(S30))</f>
        <v/>
      </c>
      <c r="T31" s="49">
        <f>IFERROR((S31-R31)/R31,"")</f>
        <v/>
      </c>
    </row>
    <row r="32" ht="15" customHeight="1" s="39">
      <c r="A32" s="46" t="inlineStr">
        <is>
          <t>Net Worth / Unitholders Equity</t>
        </is>
      </c>
      <c r="B32" s="47" t="inlineStr">
        <is>
          <t>INR cr</t>
        </is>
      </c>
      <c r="C32" s="56" t="n"/>
      <c r="D32" s="56" t="n"/>
      <c r="E32" s="56" t="n"/>
      <c r="F32" s="56" t="n"/>
      <c r="G32" s="56" t="n"/>
      <c r="H32" s="56" t="n"/>
      <c r="I32" s="56" t="n"/>
      <c r="J32" s="57" t="n">
        <v>43187.295</v>
      </c>
      <c r="K32" s="49">
        <f>IFERROR((J32-I32)/I32,"")</f>
        <v/>
      </c>
      <c r="L32" s="56" t="n"/>
      <c r="M32" s="56" t="n"/>
      <c r="N32" s="56" t="n"/>
      <c r="O32" s="56" t="n"/>
      <c r="P32" s="56" t="n"/>
      <c r="Q32" s="56" t="n"/>
      <c r="R32" s="56" t="n"/>
      <c r="S32" s="57" t="n">
        <v>45202.077</v>
      </c>
      <c r="T32" s="49">
        <f>IFERROR((S32-R32)/R32,"")</f>
        <v/>
      </c>
    </row>
    <row r="33" ht="15" customHeight="1" s="39">
      <c r="A33" s="46" t="inlineStr">
        <is>
          <t>Loan-to-Value (LTV)</t>
        </is>
      </c>
      <c r="B33" s="47" t="inlineStr">
        <is>
          <t>%</t>
        </is>
      </c>
      <c r="C33" s="49">
        <f>IF(OR(C31="",C28="",N(C28)=0),"",C31/C28)</f>
        <v/>
      </c>
      <c r="D33" s="49">
        <f>IF(OR(D31="",D28="",N(D28)=0),"",D31/D28)</f>
        <v/>
      </c>
      <c r="E33" s="49">
        <f>IF(OR(E31="",E28="",N(E28)=0),"",E31/E28)</f>
        <v/>
      </c>
      <c r="F33" s="49">
        <f>IF(OR(F31="",F28="",N(F28)=0),"",F31/F28)</f>
        <v/>
      </c>
      <c r="G33" s="49">
        <f>IF(OR(G31="",G28="",N(G28)=0),"",G31/G28)</f>
        <v/>
      </c>
      <c r="H33" s="49">
        <f>IF(OR(H31="",H28="",N(H28)=0),"",H31/H28)</f>
        <v/>
      </c>
      <c r="I33" s="49">
        <f>IF(OR(I31="",I28="",N(I28)=0),"",I31/I28)</f>
        <v/>
      </c>
      <c r="J33" s="49">
        <f>IF(OR(J31="",J28="",N(J28)=0),"",J31/J28)</f>
        <v/>
      </c>
      <c r="L33" s="49">
        <f>IF(OR(L31="",L28="",N(L28)=0),"",L31/L28)</f>
        <v/>
      </c>
      <c r="M33" s="49">
        <f>IF(OR(M31="",M28="",N(M28)=0),"",M31/M28)</f>
        <v/>
      </c>
      <c r="N33" s="49">
        <f>IF(OR(N31="",N28="",N(N28)=0),"",N31/N28)</f>
        <v/>
      </c>
      <c r="O33" s="49">
        <f>IF(OR(O31="",O28="",N(O28)=0),"",O31/O28)</f>
        <v/>
      </c>
      <c r="P33" s="49">
        <f>IF(OR(P31="",P28="",N(P28)=0),"",P31/P28)</f>
        <v/>
      </c>
      <c r="Q33" s="49">
        <f>IF(OR(Q31="",Q28="",N(Q28)=0),"",Q31/Q28)</f>
        <v/>
      </c>
      <c r="R33" s="49">
        <f>IF(OR(R31="",R28="",N(R28)=0),"",R31/R28)</f>
        <v/>
      </c>
      <c r="S33" s="49">
        <f>IF(OR(S31="",S28="",N(S28)=0),"",S31/S28)</f>
        <v/>
      </c>
    </row>
    <row r="34" ht="15" customHeight="1" s="39">
      <c r="A34" s="46" t="inlineStr">
        <is>
          <t>NAV per Unit</t>
        </is>
      </c>
      <c r="B34" s="47" t="inlineStr">
        <is>
          <t>INR/unit</t>
        </is>
      </c>
      <c r="C34" s="59" t="n"/>
      <c r="D34" s="59" t="n"/>
      <c r="E34" s="59" t="n"/>
      <c r="F34" s="59" t="n"/>
      <c r="G34" s="59" t="n"/>
      <c r="H34" s="59" t="n"/>
      <c r="I34" s="59" t="n"/>
      <c r="J34" s="60" t="n">
        <v>123.61</v>
      </c>
      <c r="K34" s="49">
        <f>IFERROR((J34-I34)/I34,"")</f>
        <v/>
      </c>
      <c r="L34" s="58" t="inlineStr">
        <is>
          <t>n/a</t>
        </is>
      </c>
      <c r="M34" s="58" t="inlineStr">
        <is>
          <t>n/a</t>
        </is>
      </c>
      <c r="N34" s="58" t="inlineStr">
        <is>
          <t>n/a</t>
        </is>
      </c>
      <c r="O34" s="58" t="inlineStr">
        <is>
          <t>n/a</t>
        </is>
      </c>
      <c r="P34" s="58" t="inlineStr">
        <is>
          <t>n/a</t>
        </is>
      </c>
      <c r="Q34" s="58" t="inlineStr">
        <is>
          <t>n/a</t>
        </is>
      </c>
      <c r="R34" s="58" t="inlineStr">
        <is>
          <t>n/a</t>
        </is>
      </c>
      <c r="S34" s="58" t="inlineStr">
        <is>
          <t>n/a</t>
        </is>
      </c>
      <c r="T34" s="58" t="inlineStr">
        <is>
          <t>n/a</t>
        </is>
      </c>
    </row>
    <row r="35" ht="15" customHeight="1" s="39">
      <c r="A35" s="53" t="inlineStr">
        <is>
          <t>MARKET DATA</t>
        </is>
      </c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</row>
    <row r="36" ht="15" customHeight="1" s="39">
      <c r="A36" s="46" t="inlineStr">
        <is>
          <t>Units Outstanding</t>
        </is>
      </c>
      <c r="B36" s="47" t="inlineStr">
        <is>
          <t>mn units</t>
        </is>
      </c>
      <c r="C36" s="59" t="n"/>
      <c r="D36" s="59" t="n"/>
      <c r="E36" s="59" t="n"/>
      <c r="F36" s="59" t="n"/>
      <c r="G36" s="59" t="n"/>
      <c r="H36" s="59" t="n"/>
      <c r="I36" s="59" t="n"/>
      <c r="J36" s="60" t="n">
        <v>4434.4</v>
      </c>
      <c r="K36" s="49">
        <f>IFERROR((J36-I36)/I36,"")</f>
        <v/>
      </c>
      <c r="L36" s="58" t="inlineStr">
        <is>
          <t>n/a</t>
        </is>
      </c>
      <c r="M36" s="58" t="inlineStr">
        <is>
          <t>n/a</t>
        </is>
      </c>
      <c r="N36" s="58" t="inlineStr">
        <is>
          <t>n/a</t>
        </is>
      </c>
      <c r="O36" s="58" t="inlineStr">
        <is>
          <t>n/a</t>
        </is>
      </c>
      <c r="P36" s="58" t="inlineStr">
        <is>
          <t>n/a</t>
        </is>
      </c>
      <c r="Q36" s="58" t="inlineStr">
        <is>
          <t>n/a</t>
        </is>
      </c>
      <c r="R36" s="58" t="inlineStr">
        <is>
          <t>n/a</t>
        </is>
      </c>
      <c r="S36" s="58" t="inlineStr">
        <is>
          <t>n/a</t>
        </is>
      </c>
      <c r="T36" s="58" t="inlineStr">
        <is>
          <t>n/a</t>
        </is>
      </c>
    </row>
    <row r="37" ht="15" customHeight="1" s="39">
      <c r="A37" s="46" t="inlineStr">
        <is>
          <t>Unit Price (period-end)</t>
        </is>
      </c>
      <c r="B37" s="47" t="inlineStr">
        <is>
          <t>INR/unit</t>
        </is>
      </c>
      <c r="C37" s="59" t="n"/>
      <c r="D37" s="59" t="n"/>
      <c r="E37" s="59" t="n"/>
      <c r="F37" s="59" t="n"/>
      <c r="G37" s="59" t="n"/>
      <c r="H37" s="59" t="n"/>
      <c r="I37" s="59" t="n"/>
      <c r="J37" s="60" t="n">
        <v>113.54</v>
      </c>
      <c r="K37" s="49">
        <f>IFERROR((J37-I37)/I37,"")</f>
        <v/>
      </c>
      <c r="L37" s="58" t="inlineStr">
        <is>
          <t>n/a</t>
        </is>
      </c>
      <c r="M37" s="58" t="inlineStr">
        <is>
          <t>n/a</t>
        </is>
      </c>
      <c r="N37" s="58" t="inlineStr">
        <is>
          <t>n/a</t>
        </is>
      </c>
      <c r="O37" s="58" t="inlineStr">
        <is>
          <t>n/a</t>
        </is>
      </c>
      <c r="P37" s="58" t="inlineStr">
        <is>
          <t>n/a</t>
        </is>
      </c>
      <c r="Q37" s="58" t="inlineStr">
        <is>
          <t>n/a</t>
        </is>
      </c>
      <c r="R37" s="58" t="inlineStr">
        <is>
          <t>n/a</t>
        </is>
      </c>
      <c r="S37" s="58" t="inlineStr">
        <is>
          <t>n/a</t>
        </is>
      </c>
      <c r="T37" s="58" t="inlineStr">
        <is>
          <t>n/a</t>
        </is>
      </c>
    </row>
    <row r="38" ht="15" customHeight="1" s="39">
      <c r="A38" s="46" t="inlineStr">
        <is>
          <t>Market Capitalisation</t>
        </is>
      </c>
      <c r="B38" s="47" t="inlineStr">
        <is>
          <t>INR cr</t>
        </is>
      </c>
      <c r="C38" s="48">
        <f>IF(OR(C36="",C37=""),"",C36*C37/10)</f>
        <v/>
      </c>
      <c r="D38" s="48">
        <f>IF(OR(D36="",D37=""),"",D36*D37/10)</f>
        <v/>
      </c>
      <c r="E38" s="48">
        <f>IF(OR(E36="",E37=""),"",E36*E37/10)</f>
        <v/>
      </c>
      <c r="F38" s="48">
        <f>IF(OR(F36="",F37=""),"",F36*F37/10)</f>
        <v/>
      </c>
      <c r="G38" s="48">
        <f>IF(OR(G36="",G37=""),"",G36*G37/10)</f>
        <v/>
      </c>
      <c r="H38" s="48">
        <f>IF(OR(H36="",H37=""),"",H36*H37/10)</f>
        <v/>
      </c>
      <c r="I38" s="48">
        <f>IF(OR(I36="",I37=""),"",I36*I37/10)</f>
        <v/>
      </c>
      <c r="J38" s="48">
        <f>IF(OR(J36="",J37=""),"",J36*J37/10)</f>
        <v/>
      </c>
      <c r="K38" s="49">
        <f>IFERROR((J38-I38)/I38,"")</f>
        <v/>
      </c>
      <c r="L38" s="58" t="inlineStr">
        <is>
          <t>n/a</t>
        </is>
      </c>
      <c r="M38" s="58" t="inlineStr">
        <is>
          <t>n/a</t>
        </is>
      </c>
      <c r="N38" s="58" t="inlineStr">
        <is>
          <t>n/a</t>
        </is>
      </c>
      <c r="O38" s="58" t="inlineStr">
        <is>
          <t>n/a</t>
        </is>
      </c>
      <c r="P38" s="58" t="inlineStr">
        <is>
          <t>n/a</t>
        </is>
      </c>
      <c r="Q38" s="58" t="inlineStr">
        <is>
          <t>n/a</t>
        </is>
      </c>
      <c r="R38" s="58" t="inlineStr">
        <is>
          <t>n/a</t>
        </is>
      </c>
      <c r="S38" s="58" t="inlineStr">
        <is>
          <t>n/a</t>
        </is>
      </c>
      <c r="T38" s="58" t="inlineStr">
        <is>
          <t>n/a</t>
        </is>
      </c>
    </row>
    <row r="39" ht="15" customHeight="1" s="39">
      <c r="A39" s="46" t="inlineStr">
        <is>
          <t>Annual Distribution Yield</t>
        </is>
      </c>
      <c r="B39" s="47" t="inlineStr">
        <is>
          <t>%</t>
        </is>
      </c>
      <c r="C39" s="49">
        <f>IF(OR(C25="",C37="",N(C37)=0),"",C25/C37)</f>
        <v/>
      </c>
      <c r="D39" s="49">
        <f>IF(OR(D25="",D37="",N(D37)=0),"",D25/D37)</f>
        <v/>
      </c>
      <c r="E39" s="49">
        <f>IF(OR(E25="",E37="",N(E37)=0),"",E25/E37)</f>
        <v/>
      </c>
      <c r="F39" s="49">
        <f>IF(OR(F25="",F37="",N(F37)=0),"",F25/F37)</f>
        <v/>
      </c>
      <c r="G39" s="49">
        <f>IF(OR(G25="",G37="",N(G37)=0),"",G25/G37)</f>
        <v/>
      </c>
      <c r="H39" s="49">
        <f>IF(OR(H25="",H37="",N(H37)=0),"",H25/H37)</f>
        <v/>
      </c>
      <c r="I39" s="49">
        <f>IF(OR(I25="",I37="",N(I37)=0),"",I25/I37)</f>
        <v/>
      </c>
      <c r="J39" s="49">
        <f>IF(OR(J25="",J37="",N(J37)=0),"",J25/J37)</f>
        <v/>
      </c>
      <c r="L39" s="58" t="inlineStr">
        <is>
          <t>n/a</t>
        </is>
      </c>
      <c r="M39" s="58" t="inlineStr">
        <is>
          <t>n/a</t>
        </is>
      </c>
      <c r="N39" s="58" t="inlineStr">
        <is>
          <t>n/a</t>
        </is>
      </c>
      <c r="O39" s="58" t="inlineStr">
        <is>
          <t>n/a</t>
        </is>
      </c>
      <c r="P39" s="58" t="inlineStr">
        <is>
          <t>n/a</t>
        </is>
      </c>
      <c r="Q39" s="58" t="inlineStr">
        <is>
          <t>n/a</t>
        </is>
      </c>
      <c r="R39" s="58" t="inlineStr">
        <is>
          <t>n/a</t>
        </is>
      </c>
      <c r="S39" s="58" t="inlineStr">
        <is>
          <t>n/a</t>
        </is>
      </c>
      <c r="T39" s="58" t="inlineStr">
        <is>
          <t>n/a</t>
        </is>
      </c>
    </row>
    <row r="40" ht="15" customHeight="1" s="39">
      <c r="A40" s="46" t="inlineStr">
        <is>
          <t>Cost of Debt</t>
        </is>
      </c>
      <c r="B40" s="47" t="inlineStr">
        <is>
          <t>%</t>
        </is>
      </c>
      <c r="C40" s="61" t="n"/>
      <c r="D40" s="61" t="n"/>
      <c r="E40" s="61" t="n"/>
      <c r="F40" s="61" t="n"/>
      <c r="G40" s="61" t="n"/>
      <c r="H40" s="61" t="n"/>
      <c r="I40" s="61" t="n"/>
      <c r="J40" s="62" t="n">
        <v>0.07199999999999999</v>
      </c>
      <c r="L40" s="58" t="inlineStr">
        <is>
          <t>n/a</t>
        </is>
      </c>
      <c r="M40" s="58" t="inlineStr">
        <is>
          <t>n/a</t>
        </is>
      </c>
      <c r="N40" s="58" t="inlineStr">
        <is>
          <t>n/a</t>
        </is>
      </c>
      <c r="O40" s="58" t="inlineStr">
        <is>
          <t>n/a</t>
        </is>
      </c>
      <c r="P40" s="58" t="inlineStr">
        <is>
          <t>n/a</t>
        </is>
      </c>
      <c r="Q40" s="58" t="inlineStr">
        <is>
          <t>n/a</t>
        </is>
      </c>
      <c r="R40" s="58" t="inlineStr">
        <is>
          <t>n/a</t>
        </is>
      </c>
      <c r="S40" s="58" t="inlineStr">
        <is>
          <t>n/a</t>
        </is>
      </c>
      <c r="T40" s="58" t="inlineStr">
        <is>
          <t>n/a</t>
        </is>
      </c>
    </row>
    <row r="41" ht="15" customHeight="1" s="39">
      <c r="A41" s="53" t="inlineStr">
        <is>
          <t>PORTFOLIO &amp; OPERATING METRICS  (consolidated)</t>
        </is>
      </c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</row>
    <row r="42" ht="15" customHeight="1" s="39">
      <c r="A42" s="46" t="inlineStr">
        <is>
          <t>Total Leasable Area (GLA)</t>
        </is>
      </c>
      <c r="B42" s="47" t="inlineStr">
        <is>
          <t>Msf</t>
        </is>
      </c>
      <c r="C42" s="70" t="n"/>
      <c r="D42" s="70" t="n"/>
      <c r="E42" s="70" t="n"/>
      <c r="F42" s="70" t="n"/>
      <c r="G42" s="70" t="n"/>
      <c r="H42" s="70" t="n"/>
      <c r="I42" s="70" t="n"/>
      <c r="J42" s="63" t="n">
        <v>46.5</v>
      </c>
      <c r="K42" s="49">
        <f>IFERROR((J42-I42)/I42,"")</f>
        <v/>
      </c>
      <c r="L42" s="58" t="inlineStr">
        <is>
          <t>n/a</t>
        </is>
      </c>
      <c r="M42" s="58" t="inlineStr">
        <is>
          <t>n/a</t>
        </is>
      </c>
      <c r="N42" s="58" t="inlineStr">
        <is>
          <t>n/a</t>
        </is>
      </c>
      <c r="O42" s="58" t="inlineStr">
        <is>
          <t>n/a</t>
        </is>
      </c>
      <c r="P42" s="58" t="inlineStr">
        <is>
          <t>n/a</t>
        </is>
      </c>
      <c r="Q42" s="58" t="inlineStr">
        <is>
          <t>n/a</t>
        </is>
      </c>
      <c r="R42" s="58" t="inlineStr">
        <is>
          <t>n/a</t>
        </is>
      </c>
      <c r="S42" s="58" t="inlineStr">
        <is>
          <t>n/a</t>
        </is>
      </c>
      <c r="T42" s="58" t="inlineStr">
        <is>
          <t>n/a</t>
        </is>
      </c>
    </row>
    <row r="43" ht="15" customHeight="1" s="39">
      <c r="A43" s="46" t="inlineStr">
        <is>
          <t>Operational Area</t>
        </is>
      </c>
      <c r="B43" s="47" t="inlineStr">
        <is>
          <t>Msf</t>
        </is>
      </c>
      <c r="C43" s="70" t="n"/>
      <c r="D43" s="70" t="n"/>
      <c r="E43" s="70" t="n"/>
      <c r="F43" s="70" t="n"/>
      <c r="G43" s="70" t="n"/>
      <c r="H43" s="70" t="n"/>
      <c r="I43" s="70" t="n"/>
      <c r="J43" s="63" t="n">
        <v>37.2</v>
      </c>
      <c r="K43" s="49">
        <f>IFERROR((J43-I43)/I43,"")</f>
        <v/>
      </c>
      <c r="L43" s="58" t="inlineStr">
        <is>
          <t>n/a</t>
        </is>
      </c>
      <c r="M43" s="58" t="inlineStr">
        <is>
          <t>n/a</t>
        </is>
      </c>
      <c r="N43" s="58" t="inlineStr">
        <is>
          <t>n/a</t>
        </is>
      </c>
      <c r="O43" s="58" t="inlineStr">
        <is>
          <t>n/a</t>
        </is>
      </c>
      <c r="P43" s="58" t="inlineStr">
        <is>
          <t>n/a</t>
        </is>
      </c>
      <c r="Q43" s="58" t="inlineStr">
        <is>
          <t>n/a</t>
        </is>
      </c>
      <c r="R43" s="58" t="inlineStr">
        <is>
          <t>n/a</t>
        </is>
      </c>
      <c r="S43" s="58" t="inlineStr">
        <is>
          <t>n/a</t>
        </is>
      </c>
      <c r="T43" s="58" t="inlineStr">
        <is>
          <t>n/a</t>
        </is>
      </c>
    </row>
    <row r="44" ht="15" customHeight="1" s="39">
      <c r="A44" s="46" t="inlineStr">
        <is>
          <t>Under Construction + Future Development</t>
        </is>
      </c>
      <c r="B44" s="47" t="inlineStr">
        <is>
          <t>Msf</t>
        </is>
      </c>
      <c r="C44" s="70" t="n"/>
      <c r="D44" s="70" t="n"/>
      <c r="E44" s="70" t="n"/>
      <c r="F44" s="70" t="n"/>
      <c r="G44" s="70" t="n"/>
      <c r="H44" s="70" t="n"/>
      <c r="I44" s="70" t="n"/>
      <c r="J44" s="63" t="n">
        <v>9.199999999999999</v>
      </c>
      <c r="K44" s="49">
        <f>IFERROR((J44-I44)/I44,"")</f>
        <v/>
      </c>
      <c r="L44" s="58" t="inlineStr">
        <is>
          <t>n/a</t>
        </is>
      </c>
      <c r="M44" s="58" t="inlineStr">
        <is>
          <t>n/a</t>
        </is>
      </c>
      <c r="N44" s="58" t="inlineStr">
        <is>
          <t>n/a</t>
        </is>
      </c>
      <c r="O44" s="58" t="inlineStr">
        <is>
          <t>n/a</t>
        </is>
      </c>
      <c r="P44" s="58" t="inlineStr">
        <is>
          <t>n/a</t>
        </is>
      </c>
      <c r="Q44" s="58" t="inlineStr">
        <is>
          <t>n/a</t>
        </is>
      </c>
      <c r="R44" s="58" t="inlineStr">
        <is>
          <t>n/a</t>
        </is>
      </c>
      <c r="S44" s="58" t="inlineStr">
        <is>
          <t>n/a</t>
        </is>
      </c>
      <c r="T44" s="58" t="inlineStr">
        <is>
          <t>n/a</t>
        </is>
      </c>
    </row>
    <row r="45" ht="15" customHeight="1" s="39">
      <c r="A45" s="46" t="inlineStr">
        <is>
          <t>Committed Occupancy</t>
        </is>
      </c>
      <c r="B45" s="47" t="inlineStr">
        <is>
          <t>%</t>
        </is>
      </c>
      <c r="C45" s="61" t="n"/>
      <c r="D45" s="61" t="n"/>
      <c r="E45" s="61" t="n"/>
      <c r="F45" s="61" t="n"/>
      <c r="G45" s="61" t="n"/>
      <c r="H45" s="61" t="n"/>
      <c r="I45" s="61" t="n"/>
      <c r="J45" s="62" t="n">
        <v>0.92</v>
      </c>
      <c r="L45" s="58" t="inlineStr">
        <is>
          <t>n/a</t>
        </is>
      </c>
      <c r="M45" s="58" t="inlineStr">
        <is>
          <t>n/a</t>
        </is>
      </c>
      <c r="N45" s="58" t="inlineStr">
        <is>
          <t>n/a</t>
        </is>
      </c>
      <c r="O45" s="58" t="inlineStr">
        <is>
          <t>n/a</t>
        </is>
      </c>
      <c r="P45" s="58" t="inlineStr">
        <is>
          <t>n/a</t>
        </is>
      </c>
      <c r="Q45" s="58" t="inlineStr">
        <is>
          <t>n/a</t>
        </is>
      </c>
      <c r="R45" s="58" t="inlineStr">
        <is>
          <t>n/a</t>
        </is>
      </c>
      <c r="S45" s="58" t="inlineStr">
        <is>
          <t>n/a</t>
        </is>
      </c>
      <c r="T45" s="58" t="inlineStr">
        <is>
          <t>n/a</t>
        </is>
      </c>
    </row>
    <row r="46" ht="15" customHeight="1" s="39">
      <c r="A46" s="46" t="inlineStr">
        <is>
          <t>In-place / Physical Occupancy</t>
        </is>
      </c>
      <c r="B46" s="47" t="inlineStr">
        <is>
          <t>%</t>
        </is>
      </c>
      <c r="C46" s="61" t="n"/>
      <c r="D46" s="61" t="n"/>
      <c r="E46" s="61" t="n"/>
      <c r="F46" s="61" t="n"/>
      <c r="G46" s="61" t="n"/>
      <c r="H46" s="61" t="n"/>
      <c r="I46" s="61" t="n"/>
      <c r="J46" s="61" t="n"/>
      <c r="L46" s="58" t="inlineStr">
        <is>
          <t>n/a</t>
        </is>
      </c>
      <c r="M46" s="58" t="inlineStr">
        <is>
          <t>n/a</t>
        </is>
      </c>
      <c r="N46" s="58" t="inlineStr">
        <is>
          <t>n/a</t>
        </is>
      </c>
      <c r="O46" s="58" t="inlineStr">
        <is>
          <t>n/a</t>
        </is>
      </c>
      <c r="P46" s="58" t="inlineStr">
        <is>
          <t>n/a</t>
        </is>
      </c>
      <c r="Q46" s="58" t="inlineStr">
        <is>
          <t>n/a</t>
        </is>
      </c>
      <c r="R46" s="58" t="inlineStr">
        <is>
          <t>n/a</t>
        </is>
      </c>
      <c r="S46" s="58" t="inlineStr">
        <is>
          <t>n/a</t>
        </is>
      </c>
      <c r="T46" s="58" t="inlineStr">
        <is>
          <t>n/a</t>
        </is>
      </c>
    </row>
    <row r="47" ht="15" customHeight="1" s="39">
      <c r="A47" s="46" t="inlineStr">
        <is>
          <t>WALE</t>
        </is>
      </c>
      <c r="B47" s="47" t="inlineStr">
        <is>
          <t>years</t>
        </is>
      </c>
      <c r="C47" s="70" t="n"/>
      <c r="D47" s="70" t="n"/>
      <c r="E47" s="70" t="n"/>
      <c r="F47" s="70" t="n"/>
      <c r="G47" s="70" t="n"/>
      <c r="H47" s="70" t="n"/>
      <c r="I47" s="70" t="n"/>
      <c r="J47" s="63" t="n">
        <v>8</v>
      </c>
      <c r="K47" s="49">
        <f>IFERROR((J47-I47)/I47,"")</f>
        <v/>
      </c>
      <c r="L47" s="58" t="inlineStr">
        <is>
          <t>n/a</t>
        </is>
      </c>
      <c r="M47" s="58" t="inlineStr">
        <is>
          <t>n/a</t>
        </is>
      </c>
      <c r="N47" s="58" t="inlineStr">
        <is>
          <t>n/a</t>
        </is>
      </c>
      <c r="O47" s="58" t="inlineStr">
        <is>
          <t>n/a</t>
        </is>
      </c>
      <c r="P47" s="58" t="inlineStr">
        <is>
          <t>n/a</t>
        </is>
      </c>
      <c r="Q47" s="58" t="inlineStr">
        <is>
          <t>n/a</t>
        </is>
      </c>
      <c r="R47" s="58" t="inlineStr">
        <is>
          <t>n/a</t>
        </is>
      </c>
      <c r="S47" s="58" t="inlineStr">
        <is>
          <t>n/a</t>
        </is>
      </c>
      <c r="T47" s="58" t="inlineStr">
        <is>
          <t>n/a</t>
        </is>
      </c>
    </row>
    <row r="48" ht="15" customHeight="1" s="39">
      <c r="A48" s="46" t="inlineStr">
        <is>
          <t>Number of Tenants</t>
        </is>
      </c>
      <c r="B48" s="47" t="inlineStr">
        <is>
          <t>count</t>
        </is>
      </c>
      <c r="C48" s="72" t="n"/>
      <c r="D48" s="72" t="n"/>
      <c r="E48" s="72" t="n"/>
      <c r="F48" s="72" t="n"/>
      <c r="G48" s="72" t="n"/>
      <c r="H48" s="72" t="n"/>
      <c r="I48" s="72" t="n"/>
      <c r="J48" s="64" t="n">
        <v>475</v>
      </c>
      <c r="K48" s="49">
        <f>IFERROR((J48-I48)/I48,"")</f>
        <v/>
      </c>
      <c r="L48" s="58" t="inlineStr">
        <is>
          <t>n/a</t>
        </is>
      </c>
      <c r="M48" s="58" t="inlineStr">
        <is>
          <t>n/a</t>
        </is>
      </c>
      <c r="N48" s="58" t="inlineStr">
        <is>
          <t>n/a</t>
        </is>
      </c>
      <c r="O48" s="58" t="inlineStr">
        <is>
          <t>n/a</t>
        </is>
      </c>
      <c r="P48" s="58" t="inlineStr">
        <is>
          <t>n/a</t>
        </is>
      </c>
      <c r="Q48" s="58" t="inlineStr">
        <is>
          <t>n/a</t>
        </is>
      </c>
      <c r="R48" s="58" t="inlineStr">
        <is>
          <t>n/a</t>
        </is>
      </c>
      <c r="S48" s="58" t="inlineStr">
        <is>
          <t>n/a</t>
        </is>
      </c>
      <c r="T48" s="58" t="inlineStr">
        <is>
          <t>n/a</t>
        </is>
      </c>
    </row>
    <row r="49" ht="15" customHeight="1" s="39">
      <c r="A49" s="46" t="inlineStr">
        <is>
          <t>In-place Rent</t>
        </is>
      </c>
      <c r="B49" s="47" t="inlineStr">
        <is>
          <t>INR psf/mo</t>
        </is>
      </c>
      <c r="C49" s="70" t="n"/>
      <c r="D49" s="70" t="n"/>
      <c r="E49" s="70" t="n"/>
      <c r="F49" s="70" t="n"/>
      <c r="G49" s="70" t="n"/>
      <c r="H49" s="70" t="n"/>
      <c r="I49" s="70" t="n"/>
      <c r="J49" s="63" t="n">
        <v>97</v>
      </c>
      <c r="K49" s="49">
        <f>IFERROR((J49-I49)/I49,"")</f>
        <v/>
      </c>
      <c r="L49" s="58" t="inlineStr">
        <is>
          <t>n/a</t>
        </is>
      </c>
      <c r="M49" s="58" t="inlineStr">
        <is>
          <t>n/a</t>
        </is>
      </c>
      <c r="N49" s="58" t="inlineStr">
        <is>
          <t>n/a</t>
        </is>
      </c>
      <c r="O49" s="58" t="inlineStr">
        <is>
          <t>n/a</t>
        </is>
      </c>
      <c r="P49" s="58" t="inlineStr">
        <is>
          <t>n/a</t>
        </is>
      </c>
      <c r="Q49" s="58" t="inlineStr">
        <is>
          <t>n/a</t>
        </is>
      </c>
      <c r="R49" s="58" t="inlineStr">
        <is>
          <t>n/a</t>
        </is>
      </c>
      <c r="S49" s="58" t="inlineStr">
        <is>
          <t>n/a</t>
        </is>
      </c>
      <c r="T49" s="58" t="inlineStr">
        <is>
          <t>n/a</t>
        </is>
      </c>
    </row>
    <row r="52" ht="15" customHeight="1" s="39">
      <c r="A52" s="65" t="inlineStr">
        <is>
          <t>DEBT &amp; NDCF / DISTRIBUTION DETAIL   (consolidated; INR cr unless noted)</t>
        </is>
      </c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</row>
    <row r="53" ht="15" customHeight="1" s="39">
      <c r="A53" s="67" t="inlineStr">
        <is>
          <t>Metric</t>
        </is>
      </c>
      <c r="B53" s="68" t="inlineStr">
        <is>
          <t>Unit</t>
        </is>
      </c>
      <c r="C53" s="68" t="inlineStr">
        <is>
          <t>FY2019</t>
        </is>
      </c>
      <c r="D53" s="68" t="inlineStr">
        <is>
          <t>FY2020</t>
        </is>
      </c>
      <c r="E53" s="68" t="inlineStr">
        <is>
          <t>FY2021</t>
        </is>
      </c>
      <c r="F53" s="68" t="inlineStr">
        <is>
          <t>FY2022</t>
        </is>
      </c>
      <c r="G53" s="68" t="inlineStr">
        <is>
          <t>FY2023</t>
        </is>
      </c>
      <c r="H53" s="68" t="inlineStr">
        <is>
          <t>FY2024</t>
        </is>
      </c>
      <c r="I53" s="68" t="inlineStr">
        <is>
          <t>FY2025</t>
        </is>
      </c>
      <c r="J53" s="68" t="inlineStr">
        <is>
          <t>FY2026</t>
        </is>
      </c>
    </row>
    <row r="54" ht="15" customHeight="1" s="39">
      <c r="A54" s="69" t="inlineStr">
        <is>
          <t>Distribution composition (NDCF -&gt; unitholders)</t>
        </is>
      </c>
    </row>
    <row r="55" ht="15" customHeight="1" s="39">
      <c r="A55" s="46" t="inlineStr">
        <is>
          <t>Net Distributable Cash Flow (NDCF)</t>
        </is>
      </c>
      <c r="B55" s="47" t="inlineStr">
        <is>
          <t>INR cr</t>
        </is>
      </c>
      <c r="C55" s="48">
        <f>IF(N(C23)=0,IF(C23="","",C23),C23)</f>
        <v/>
      </c>
      <c r="D55" s="48">
        <f>IF(N(D23)=0,IF(D23="","",D23),D23)</f>
        <v/>
      </c>
      <c r="E55" s="48">
        <f>IF(N(E23)=0,IF(E23="","",E23),E23)</f>
        <v/>
      </c>
      <c r="F55" s="48">
        <f>IF(N(F23)=0,IF(F23="","",F23),F23)</f>
        <v/>
      </c>
      <c r="G55" s="48">
        <f>IF(N(G23)=0,IF(G23="","",G23),G23)</f>
        <v/>
      </c>
      <c r="H55" s="48">
        <f>IF(N(H23)=0,IF(H23="","",H23),H23)</f>
        <v/>
      </c>
      <c r="I55" s="48">
        <f>IF(N(I23)=0,IF(I23="","",I23),I23)</f>
        <v/>
      </c>
      <c r="J55" s="48">
        <f>IF(N(J23)=0,IF(J23="","",J23),J23)</f>
        <v/>
      </c>
    </row>
    <row r="56" ht="15" customHeight="1" s="39">
      <c r="A56" s="46" t="inlineStr">
        <is>
          <t>Total Distribution</t>
        </is>
      </c>
      <c r="B56" s="47" t="inlineStr">
        <is>
          <t>INR cr</t>
        </is>
      </c>
      <c r="C56" s="48">
        <f>IF(N(C24)=0,IF(C24="","",C24),C24)</f>
        <v/>
      </c>
      <c r="D56" s="48">
        <f>IF(N(D24)=0,IF(D24="","",D24),D24)</f>
        <v/>
      </c>
      <c r="E56" s="48">
        <f>IF(N(E24)=0,IF(E24="","",E24),E24)</f>
        <v/>
      </c>
      <c r="F56" s="48">
        <f>IF(N(F24)=0,IF(F24="","",F24),F24)</f>
        <v/>
      </c>
      <c r="G56" s="48">
        <f>IF(N(G24)=0,IF(G24="","",G24),G24)</f>
        <v/>
      </c>
      <c r="H56" s="48">
        <f>IF(N(H24)=0,IF(H24="","",H24),H24)</f>
        <v/>
      </c>
      <c r="I56" s="48">
        <f>IF(N(I24)=0,IF(I24="","",I24),I24)</f>
        <v/>
      </c>
      <c r="J56" s="48">
        <f>IF(N(J24)=0,IF(J24="","",J24),J24)</f>
        <v/>
      </c>
      <c r="S56" s="44">
        <f>A7</f>
        <v/>
      </c>
      <c r="T56" s="44">
        <f>B7</f>
        <v/>
      </c>
      <c r="U56" s="44">
        <f>C7</f>
        <v/>
      </c>
      <c r="V56" s="44">
        <f>D7</f>
        <v/>
      </c>
      <c r="W56" s="44">
        <f>E7</f>
        <v/>
      </c>
      <c r="X56" s="44">
        <f>F7</f>
        <v/>
      </c>
      <c r="Y56" s="44">
        <f>G7</f>
        <v/>
      </c>
      <c r="Z56" s="44">
        <f>H7</f>
        <v/>
      </c>
      <c r="AA56" s="44">
        <f>I7</f>
        <v/>
      </c>
      <c r="AB56" s="44">
        <f>J7</f>
        <v/>
      </c>
    </row>
    <row r="57" ht="15" customHeight="1" s="39">
      <c r="A57" s="46" t="inlineStr">
        <is>
          <t xml:space="preserve">  of which: Interest</t>
        </is>
      </c>
      <c r="B57" s="47" t="inlineStr">
        <is>
          <t>INR cr</t>
        </is>
      </c>
      <c r="C57" s="56" t="n"/>
      <c r="D57" s="56" t="n"/>
      <c r="E57" s="56" t="n"/>
      <c r="F57" s="56" t="n"/>
      <c r="G57" s="56" t="n"/>
      <c r="H57" s="56" t="n"/>
      <c r="I57" s="56" t="n"/>
      <c r="J57" s="56" t="n"/>
      <c r="S57" s="46">
        <f>A46</f>
        <v/>
      </c>
      <c r="T57" s="46">
        <f>B46</f>
        <v/>
      </c>
      <c r="U57" s="61">
        <f>C46*10</f>
        <v/>
      </c>
      <c r="V57" s="61">
        <f>D46*10</f>
        <v/>
      </c>
      <c r="W57" s="61">
        <f>E46*10</f>
        <v/>
      </c>
      <c r="X57" s="61">
        <f>F46*10</f>
        <v/>
      </c>
      <c r="Y57" s="61">
        <f>G46*10</f>
        <v/>
      </c>
      <c r="Z57" s="61">
        <f>H46*10</f>
        <v/>
      </c>
      <c r="AA57" s="61">
        <f>I46*10</f>
        <v/>
      </c>
      <c r="AB57" s="61">
        <f>J46*10</f>
        <v/>
      </c>
    </row>
    <row r="58" ht="15" customHeight="1" s="39">
      <c r="A58" s="46" t="inlineStr">
        <is>
          <t xml:space="preserve">  of which: Dividend</t>
        </is>
      </c>
      <c r="B58" s="47" t="inlineStr">
        <is>
          <t>INR cr</t>
        </is>
      </c>
      <c r="C58" s="56" t="n"/>
      <c r="D58" s="56" t="n"/>
      <c r="E58" s="56" t="n"/>
      <c r="F58" s="56" t="n"/>
      <c r="G58" s="56" t="n"/>
      <c r="H58" s="56" t="n"/>
      <c r="I58" s="56" t="n"/>
      <c r="J58" s="56" t="n"/>
      <c r="S58" s="46">
        <f>A47</f>
        <v/>
      </c>
      <c r="T58" s="46">
        <f>B47</f>
        <v/>
      </c>
      <c r="U58" s="70">
        <f>C47</f>
        <v/>
      </c>
      <c r="V58" s="70">
        <f>D47</f>
        <v/>
      </c>
      <c r="W58" s="70">
        <f>E47</f>
        <v/>
      </c>
      <c r="X58" s="70">
        <f>F47</f>
        <v/>
      </c>
      <c r="Y58" s="70">
        <f>G47</f>
        <v/>
      </c>
      <c r="Z58" s="70">
        <f>H47</f>
        <v/>
      </c>
      <c r="AA58" s="70">
        <f>I47</f>
        <v/>
      </c>
      <c r="AB58" s="70">
        <f>J47</f>
        <v/>
      </c>
    </row>
    <row r="59" ht="15" customHeight="1" s="39">
      <c r="A59" s="46" t="inlineStr">
        <is>
          <t xml:space="preserve">  of which: Return of capital (SPV/shareholder-loan repayment)</t>
        </is>
      </c>
      <c r="B59" s="47" t="inlineStr">
        <is>
          <t>INR cr</t>
        </is>
      </c>
      <c r="C59" s="56" t="n"/>
      <c r="D59" s="56" t="n"/>
      <c r="E59" s="56" t="n"/>
      <c r="F59" s="56" t="n"/>
      <c r="G59" s="56" t="n"/>
      <c r="H59" s="56" t="n"/>
      <c r="I59" s="56" t="n"/>
      <c r="J59" s="56" t="n"/>
    </row>
    <row r="60" ht="15" customHeight="1" s="39">
      <c r="A60" s="46" t="inlineStr">
        <is>
          <t xml:space="preserve">  of which: Other</t>
        </is>
      </c>
      <c r="B60" s="47" t="inlineStr">
        <is>
          <t>INR cr</t>
        </is>
      </c>
      <c r="C60" s="56" t="n"/>
      <c r="D60" s="56" t="n"/>
      <c r="E60" s="56" t="n"/>
      <c r="F60" s="56" t="n"/>
      <c r="G60" s="56" t="n"/>
      <c r="H60" s="56" t="n"/>
      <c r="I60" s="56" t="n"/>
      <c r="J60" s="56" t="n"/>
    </row>
    <row r="61" ht="15" customHeight="1" s="39">
      <c r="A61" s="46" t="inlineStr">
        <is>
          <t>Return-of-capital % of distribution</t>
        </is>
      </c>
      <c r="B61" s="47" t="inlineStr">
        <is>
          <t>%</t>
        </is>
      </c>
      <c r="C61" s="49">
        <f>IF(OR(C59="",C56="",N(C56)=0),"",C59/C56)</f>
        <v/>
      </c>
      <c r="D61" s="49">
        <f>IF(OR(D59="",D56="",N(D56)=0),"",D59/D56)</f>
        <v/>
      </c>
      <c r="E61" s="49">
        <f>IF(OR(E59="",E56="",N(E56)=0),"",E59/E56)</f>
        <v/>
      </c>
      <c r="F61" s="49">
        <f>IF(OR(F59="",F56="",N(F56)=0),"",F59/F56)</f>
        <v/>
      </c>
      <c r="G61" s="49">
        <f>IF(OR(G59="",G56="",N(G56)=0),"",G59/G56)</f>
        <v/>
      </c>
      <c r="H61" s="49">
        <f>IF(OR(H59="",H56="",N(H56)=0),"",H59/H56)</f>
        <v/>
      </c>
      <c r="I61" s="49">
        <f>IF(OR(I59="",I56="",N(I56)=0),"",I59/I56)</f>
        <v/>
      </c>
      <c r="J61" s="49">
        <f>IF(OR(J59="",J56="",N(J56)=0),"",J59/J56)</f>
        <v/>
      </c>
    </row>
    <row r="62" ht="15" customHeight="1" s="39">
      <c r="A62" s="46" t="inlineStr">
        <is>
          <t>Distribution per Unit (DPU)</t>
        </is>
      </c>
      <c r="B62" s="47" t="inlineStr">
        <is>
          <t>INR/unit</t>
        </is>
      </c>
      <c r="C62" s="50">
        <f>IF(N(C25)=0,IF(C25="","",C25),C25)</f>
        <v/>
      </c>
      <c r="D62" s="50">
        <f>IF(N(D25)=0,IF(D25="","",D25),D25)</f>
        <v/>
      </c>
      <c r="E62" s="50">
        <f>IF(N(E25)=0,IF(E25="","",E25),E25)</f>
        <v/>
      </c>
      <c r="F62" s="50">
        <f>IF(N(F25)=0,IF(F25="","",F25),F25)</f>
        <v/>
      </c>
      <c r="G62" s="50">
        <f>IF(N(G25)=0,IF(G25="","",G25),G25)</f>
        <v/>
      </c>
      <c r="H62" s="50">
        <f>IF(N(H25)=0,IF(H25="","",H25),H25)</f>
        <v/>
      </c>
      <c r="I62" s="50">
        <f>IF(N(I25)=0,IF(I25="","",I25),I25)</f>
        <v/>
      </c>
      <c r="J62" s="50">
        <f>IF(N(J25)=0,IF(J25="","",J25),J25)</f>
        <v/>
      </c>
    </row>
    <row r="63" ht="15" customHeight="1" s="39">
      <c r="A63" s="46" t="inlineStr">
        <is>
          <t xml:space="preserve">  DPU: Interest</t>
        </is>
      </c>
      <c r="B63" s="47" t="inlineStr">
        <is>
          <t>INR/unit</t>
        </is>
      </c>
      <c r="C63" s="59" t="n"/>
      <c r="D63" s="59" t="n"/>
      <c r="E63" s="59" t="n"/>
      <c r="F63" s="59" t="n"/>
      <c r="G63" s="59" t="n"/>
      <c r="H63" s="59" t="n"/>
      <c r="I63" s="59" t="n"/>
      <c r="J63" s="59" t="n"/>
    </row>
    <row r="64" ht="15" customHeight="1" s="39">
      <c r="A64" s="46" t="inlineStr">
        <is>
          <t xml:space="preserve">  DPU: Dividend</t>
        </is>
      </c>
      <c r="B64" s="47" t="inlineStr">
        <is>
          <t>INR/unit</t>
        </is>
      </c>
      <c r="C64" s="59" t="n"/>
      <c r="D64" s="59" t="n"/>
      <c r="E64" s="59" t="n"/>
      <c r="F64" s="59" t="n"/>
      <c r="G64" s="59" t="n"/>
      <c r="H64" s="59" t="n"/>
      <c r="I64" s="59" t="n"/>
      <c r="J64" s="59" t="n"/>
    </row>
    <row r="65" ht="15" customHeight="1" s="39">
      <c r="A65" s="46" t="inlineStr">
        <is>
          <t xml:space="preserve">  DPU: Return of capital</t>
        </is>
      </c>
      <c r="B65" s="47" t="inlineStr">
        <is>
          <t>INR/unit</t>
        </is>
      </c>
      <c r="C65" s="59" t="n"/>
      <c r="D65" s="59" t="n"/>
      <c r="E65" s="59" t="n"/>
      <c r="F65" s="59" t="n"/>
      <c r="G65" s="59" t="n"/>
      <c r="H65" s="59" t="n"/>
      <c r="I65" s="59" t="n"/>
      <c r="J65" s="59" t="n"/>
    </row>
    <row r="66" ht="15" customHeight="1" s="39">
      <c r="A66" s="46" t="inlineStr">
        <is>
          <t xml:space="preserve">  DPU: Other</t>
        </is>
      </c>
      <c r="B66" s="47" t="inlineStr">
        <is>
          <t>INR/unit</t>
        </is>
      </c>
      <c r="C66" s="59" t="n"/>
      <c r="D66" s="59" t="n"/>
      <c r="E66" s="59" t="n"/>
      <c r="F66" s="59" t="n"/>
      <c r="G66" s="59" t="n"/>
      <c r="H66" s="59" t="n"/>
      <c r="I66" s="59" t="n"/>
      <c r="J66" s="59" t="n"/>
    </row>
    <row r="67" ht="15" customHeight="1" s="39">
      <c r="A67" s="69" t="inlineStr">
        <is>
          <t>Debt &amp; leverage profile</t>
        </is>
      </c>
    </row>
    <row r="68" ht="15" customHeight="1" s="39">
      <c r="A68" s="46" t="inlineStr">
        <is>
          <t>Gross Debt - external (banks/NCDs/LRD)</t>
        </is>
      </c>
      <c r="B68" s="47" t="inlineStr">
        <is>
          <t>INR cr</t>
        </is>
      </c>
      <c r="C68" s="48">
        <f>IF(C29="","",C29)</f>
        <v/>
      </c>
      <c r="D68" s="48">
        <f>IF(D29="","",D29)</f>
        <v/>
      </c>
      <c r="E68" s="48">
        <f>IF(E29="","",E29)</f>
        <v/>
      </c>
      <c r="F68" s="48">
        <f>IF(F29="","",F29)</f>
        <v/>
      </c>
      <c r="G68" s="48">
        <f>IF(G29="","",G29)</f>
        <v/>
      </c>
      <c r="H68" s="48">
        <f>IF(H29="","",H29)</f>
        <v/>
      </c>
      <c r="I68" s="48">
        <f>IF(I29="","",I29)</f>
        <v/>
      </c>
      <c r="J68" s="57" t="n">
        <v>12365.4</v>
      </c>
    </row>
    <row r="69" ht="15" customHeight="1" s="39">
      <c r="A69" s="46" t="inlineStr">
        <is>
          <t>Shareholder / unitholder loans (Trust -&gt; SPVs)</t>
        </is>
      </c>
      <c r="B69" s="47" t="inlineStr">
        <is>
          <t>INR cr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>
        <v>8982.555</v>
      </c>
    </row>
    <row r="70" ht="15" customHeight="1" s="39">
      <c r="A70" s="46" t="inlineStr">
        <is>
          <t>Cash &amp; Cash Equivalents</t>
        </is>
      </c>
      <c r="B70" s="47" t="inlineStr">
        <is>
          <t>INR cr</t>
        </is>
      </c>
      <c r="C70" s="48">
        <f>IF(N(C30)=0,IF(C30="","",C30),C30)</f>
        <v/>
      </c>
      <c r="D70" s="48">
        <f>IF(N(D30)=0,IF(D30="","",D30),D30)</f>
        <v/>
      </c>
      <c r="E70" s="48">
        <f>IF(N(E30)=0,IF(E30="","",E30),E30)</f>
        <v/>
      </c>
      <c r="F70" s="48">
        <f>IF(N(F30)=0,IF(F30="","",F30),F30)</f>
        <v/>
      </c>
      <c r="G70" s="48">
        <f>IF(N(G30)=0,IF(G30="","",G30),G30)</f>
        <v/>
      </c>
      <c r="H70" s="48">
        <f>IF(N(H30)=0,IF(H30="","",H30),H30)</f>
        <v/>
      </c>
      <c r="I70" s="48">
        <f>IF(N(I30)=0,IF(I30="","",I30),I30)</f>
        <v/>
      </c>
      <c r="J70" s="48">
        <f>IF(N(J30)=0,IF(J30="","",J30),J30)</f>
        <v/>
      </c>
    </row>
    <row r="71" ht="15" customHeight="1" s="39">
      <c r="A71" s="46" t="inlineStr">
        <is>
          <t>Net Debt</t>
        </is>
      </c>
      <c r="B71" s="47" t="inlineStr">
        <is>
          <t>INR cr</t>
        </is>
      </c>
      <c r="C71" s="48">
        <f>IF(N(C31)=0,IF(C31="","",C31),C31)</f>
        <v/>
      </c>
      <c r="D71" s="48">
        <f>IF(N(D31)=0,IF(D31="","",D31),D31)</f>
        <v/>
      </c>
      <c r="E71" s="48">
        <f>IF(N(E31)=0,IF(E31="","",E31),E31)</f>
        <v/>
      </c>
      <c r="F71" s="48">
        <f>IF(N(F31)=0,IF(F31="","",F31),F31)</f>
        <v/>
      </c>
      <c r="G71" s="48">
        <f>IF(N(G31)=0,IF(G31="","",G31),G31)</f>
        <v/>
      </c>
      <c r="H71" s="48">
        <f>IF(N(H31)=0,IF(H31="","",H31),H31)</f>
        <v/>
      </c>
      <c r="I71" s="48">
        <f>IF(N(I31)=0,IF(I31="","",I31),I31)</f>
        <v/>
      </c>
      <c r="J71" s="48">
        <f>IF(N(J31)=0,IF(J31="","",J31),J31)</f>
        <v/>
      </c>
    </row>
    <row r="72" ht="15" customHeight="1" s="39">
      <c r="A72" s="46" t="inlineStr">
        <is>
          <t>Gross Asset Value (GAV)</t>
        </is>
      </c>
      <c r="B72" s="47" t="inlineStr">
        <is>
          <t>INR cr</t>
        </is>
      </c>
      <c r="C72" s="48">
        <f>IF(N(C28)=0,IF(C28="","",C28),C28)</f>
        <v/>
      </c>
      <c r="D72" s="48">
        <f>IF(N(D28)=0,IF(D28="","",D28),D28)</f>
        <v/>
      </c>
      <c r="E72" s="48">
        <f>IF(N(E28)=0,IF(E28="","",E28),E28)</f>
        <v/>
      </c>
      <c r="F72" s="48">
        <f>IF(N(F28)=0,IF(F28="","",F28),F28)</f>
        <v/>
      </c>
      <c r="G72" s="48">
        <f>IF(N(G28)=0,IF(G28="","",G28),G28)</f>
        <v/>
      </c>
      <c r="H72" s="48">
        <f>IF(N(H28)=0,IF(H28="","",H28),H28)</f>
        <v/>
      </c>
      <c r="I72" s="48">
        <f>IF(N(I28)=0,IF(I28="","",I28),I28)</f>
        <v/>
      </c>
      <c r="J72" s="48">
        <f>IF(N(J28)=0,IF(J28="","",J28),J28)</f>
        <v/>
      </c>
    </row>
    <row r="73" ht="15" customHeight="1" s="39">
      <c r="A73" s="46" t="inlineStr">
        <is>
          <t>Loan-to-Value (LTV)</t>
        </is>
      </c>
      <c r="B73" s="47" t="inlineStr">
        <is>
          <t>%</t>
        </is>
      </c>
      <c r="C73" s="49">
        <f>IF(N(C33)=0,IF(C33="","",C33),C33)</f>
        <v/>
      </c>
      <c r="D73" s="49">
        <f>IF(N(D33)=0,IF(D33="","",D33),D33)</f>
        <v/>
      </c>
      <c r="E73" s="49">
        <f>IF(N(E33)=0,IF(E33="","",E33),E33)</f>
        <v/>
      </c>
      <c r="F73" s="49">
        <f>IF(N(F33)=0,IF(F33="","",F33),F33)</f>
        <v/>
      </c>
      <c r="G73" s="49">
        <f>IF(N(G33)=0,IF(G33="","",G33),G33)</f>
        <v/>
      </c>
      <c r="H73" s="49">
        <f>IF(N(H33)=0,IF(H33="","",H33),H33)</f>
        <v/>
      </c>
      <c r="I73" s="49">
        <f>IF(N(I33)=0,IF(I33="","",I33),I33)</f>
        <v/>
      </c>
      <c r="J73" s="49">
        <f>IF(N(J33)=0,IF(J33="","",J33),J33)</f>
        <v/>
      </c>
    </row>
    <row r="74" ht="15" customHeight="1" s="39">
      <c r="A74" s="46" t="inlineStr">
        <is>
          <t>Cost of Debt (wtd avg)</t>
        </is>
      </c>
      <c r="B74" s="47" t="inlineStr">
        <is>
          <t>%</t>
        </is>
      </c>
      <c r="C74" s="49">
        <f>IF(N(C40)=0,IF(C40="","",C40),C40)</f>
        <v/>
      </c>
      <c r="D74" s="49">
        <f>IF(N(D40)=0,IF(D40="","",D40),D40)</f>
        <v/>
      </c>
      <c r="E74" s="49">
        <f>IF(N(E40)=0,IF(E40="","",E40),E40)</f>
        <v/>
      </c>
      <c r="F74" s="49">
        <f>IF(N(F40)=0,IF(F40="","",F40),F40)</f>
        <v/>
      </c>
      <c r="G74" s="49">
        <f>IF(N(G40)=0,IF(G40="","",G40),G40)</f>
        <v/>
      </c>
      <c r="H74" s="49">
        <f>IF(N(H40)=0,IF(H40="","",H40),H40)</f>
        <v/>
      </c>
      <c r="I74" s="49">
        <f>IF(N(I40)=0,IF(I40="","",I40),I40)</f>
        <v/>
      </c>
      <c r="J74" s="49">
        <f>IF(N(J40)=0,IF(J40="","",J40),J40)</f>
        <v/>
      </c>
    </row>
    <row r="75" ht="15" customHeight="1" s="39">
      <c r="A75" s="46" t="inlineStr">
        <is>
          <t>% Floating rate</t>
        </is>
      </c>
      <c r="B75" s="47" t="inlineStr">
        <is>
          <t>%</t>
        </is>
      </c>
      <c r="C75" s="61" t="n"/>
      <c r="D75" s="61" t="n"/>
      <c r="E75" s="61" t="n"/>
      <c r="F75" s="61" t="n"/>
      <c r="G75" s="61" t="n"/>
      <c r="H75" s="61" t="n"/>
      <c r="I75" s="61" t="n"/>
      <c r="J75" s="62" t="n">
        <v>0.79</v>
      </c>
    </row>
    <row r="76" ht="15" customHeight="1" s="39">
      <c r="A76" s="46" t="inlineStr">
        <is>
          <t>Wtd-avg debt maturity</t>
        </is>
      </c>
      <c r="B76" s="47" t="inlineStr">
        <is>
          <t>years</t>
        </is>
      </c>
      <c r="C76" s="70" t="n"/>
      <c r="D76" s="70" t="n"/>
      <c r="E76" s="70" t="n"/>
      <c r="F76" s="70" t="n"/>
      <c r="G76" s="70" t="n"/>
      <c r="H76" s="70" t="n"/>
      <c r="I76" s="70" t="n"/>
      <c r="J76" s="70" t="n"/>
    </row>
    <row r="77" ht="15" customHeight="1" s="39">
      <c r="A77" s="46" t="inlineStr">
        <is>
          <t>Undrawn debt headroom</t>
        </is>
      </c>
      <c r="B77" s="47" t="inlineStr">
        <is>
          <t>INR cr</t>
        </is>
      </c>
      <c r="C77" s="56" t="n"/>
      <c r="D77" s="56" t="n"/>
      <c r="E77" s="56" t="n"/>
      <c r="F77" s="56" t="n"/>
      <c r="G77" s="56" t="n"/>
      <c r="H77" s="56" t="n"/>
      <c r="I77" s="56" t="n"/>
      <c r="J77" s="57" t="n">
        <v>2277.2</v>
      </c>
    </row>
    <row r="78" ht="15" customHeight="1" s="39">
      <c r="A78" s="46" t="inlineStr">
        <is>
          <t>Interest cover (NOI / Finance cost)</t>
        </is>
      </c>
      <c r="B78" s="47" t="inlineStr">
        <is>
          <t>x</t>
        </is>
      </c>
      <c r="C78" s="71">
        <f>IF(OR(C13="",N(C17)=0),"",C13/C17)</f>
        <v/>
      </c>
      <c r="D78" s="71">
        <f>IF(OR(D13="",N(D17)=0),"",D13/D17)</f>
        <v/>
      </c>
      <c r="E78" s="71">
        <f>IF(OR(E13="",N(E17)=0),"",E13/E17)</f>
        <v/>
      </c>
      <c r="F78" s="71">
        <f>IF(OR(F13="",N(F17)=0),"",F13/F17)</f>
        <v/>
      </c>
      <c r="G78" s="71">
        <f>IF(OR(G13="",N(G17)=0),"",G13/G17)</f>
        <v/>
      </c>
      <c r="H78" s="71">
        <f>IF(OR(H13="",N(H17)=0),"",H13/H17)</f>
        <v/>
      </c>
      <c r="I78" s="71">
        <f>IF(OR(I13="",N(I17)=0),"",I13/I17)</f>
        <v/>
      </c>
      <c r="J78" s="71">
        <f>IF(OR(J13="",N(J17)=0),"",J13/J17)</f>
        <v/>
      </c>
    </row>
    <row r="80" ht="15" customHeight="1" s="39">
      <c r="A80" s="43" t="inlineStr">
        <is>
          <t>Distribution-component split is shown where the issuer disclosed it (often per-unit for Q4 only in older years); blanks = not separately disclosed.</t>
        </is>
      </c>
    </row>
  </sheetData>
  <hyperlinks>
    <hyperlink xmlns:r="http://schemas.openxmlformats.org/officeDocument/2006/relationships" ref="I9" location="page=7" display="file:///Users/ishan/Downloads/INDIAN%20REITS/KRT/Q4_FY26_Consolidated_Financial_Results.pdf#page=7" r:id="rId1"/>
    <hyperlink xmlns:r="http://schemas.openxmlformats.org/officeDocument/2006/relationships" ref="J9" location="page=7" display="file:///Users/ishan/Downloads/INDIAN%20REITS/KRT/Q4_FY26_Consolidated_Financial_Results.pdf#page=7" r:id="rId2"/>
    <hyperlink xmlns:r="http://schemas.openxmlformats.org/officeDocument/2006/relationships" ref="J10" location="page=7" display="file:///Users/ishan/Downloads/INDIAN%20REITS/KRT/Q4_FY26_Consolidated_Financial_Results.pdf#page=7" r:id="rId3"/>
    <hyperlink xmlns:r="http://schemas.openxmlformats.org/officeDocument/2006/relationships" ref="S10" location="page=4" display="file:///Users/ishan/Downloads/INDIAN%20REITS/KRT/Q4_FY26_Standalone_Financial_Results.pdf#page=4" r:id="rId4"/>
    <hyperlink xmlns:r="http://schemas.openxmlformats.org/officeDocument/2006/relationships" ref="J12" location="page=7" display="file:///Users/ishan/Downloads/INDIAN%20REITS/KRT/Q4_FY26_Consolidated_Financial_Results.pdf#page=7" r:id="rId5"/>
    <hyperlink xmlns:r="http://schemas.openxmlformats.org/officeDocument/2006/relationships" ref="J13" location="page=32" display="file:///Users/ishan/Downloads/INDIAN%20REITS/KRT/Q4_FY26_Consolidated_Financial_Results.pdf#page=32" r:id="rId6"/>
    <hyperlink xmlns:r="http://schemas.openxmlformats.org/officeDocument/2006/relationships" ref="J15" location="page=7" display="file:///Users/ishan/Downloads/INDIAN%20REITS/KRT/Q4_FY26_Consolidated_Financial_Results.pdf#page=7" r:id="rId7"/>
    <hyperlink xmlns:r="http://schemas.openxmlformats.org/officeDocument/2006/relationships" ref="S15" location="page=4" display="file:///Users/ishan/Downloads/INDIAN%20REITS/KRT/Q4_FY26_Standalone_Financial_Results.pdf#page=4" r:id="rId8"/>
    <hyperlink xmlns:r="http://schemas.openxmlformats.org/officeDocument/2006/relationships" ref="J17" location="page=7" display="file:///Users/ishan/Downloads/INDIAN%20REITS/KRT/Q4_FY26_Consolidated_Financial_Results.pdf#page=7" r:id="rId9"/>
    <hyperlink xmlns:r="http://schemas.openxmlformats.org/officeDocument/2006/relationships" ref="S17" location="page=4" display="file:///Users/ishan/Downloads/INDIAN%20REITS/KRT/Q4_FY26_Standalone_Financial_Results.pdf#page=4" r:id="rId10"/>
    <hyperlink xmlns:r="http://schemas.openxmlformats.org/officeDocument/2006/relationships" ref="J18" location="page=7" display="file:///Users/ishan/Downloads/INDIAN%20REITS/KRT/Q4_FY26_Consolidated_Financial_Results.pdf#page=7" r:id="rId11"/>
    <hyperlink xmlns:r="http://schemas.openxmlformats.org/officeDocument/2006/relationships" ref="S18" location="page=4" display="file:///Users/ishan/Downloads/INDIAN%20REITS/KRT/Q4_FY26_Standalone_Financial_Results.pdf#page=4" r:id="rId12"/>
    <hyperlink xmlns:r="http://schemas.openxmlformats.org/officeDocument/2006/relationships" ref="J19" location="page=7" display="file:///Users/ishan/Downloads/INDIAN%20REITS/KRT/Q4_FY26_Consolidated_Financial_Results.pdf#page=7" r:id="rId13"/>
    <hyperlink xmlns:r="http://schemas.openxmlformats.org/officeDocument/2006/relationships" ref="S19" location="page=4" display="file:///Users/ishan/Downloads/INDIAN%20REITS/KRT/Q4_FY26_Standalone_Financial_Results.pdf#page=4" r:id="rId14"/>
    <hyperlink xmlns:r="http://schemas.openxmlformats.org/officeDocument/2006/relationships" ref="J20" location="page=7" display="file:///Users/ishan/Downloads/INDIAN%20REITS/KRT/Q4_FY26_Consolidated_Financial_Results.pdf#page=7" r:id="rId15"/>
    <hyperlink xmlns:r="http://schemas.openxmlformats.org/officeDocument/2006/relationships" ref="S20" location="page=4" display="file:///Users/ishan/Downloads/INDIAN%20REITS/KRT/Q4_FY26_Standalone_Financial_Results.pdf#page=4" r:id="rId16"/>
    <hyperlink xmlns:r="http://schemas.openxmlformats.org/officeDocument/2006/relationships" ref="J23" location="page=14" display="file:///Users/ishan/Downloads/INDIAN%20REITS/KRT/Q4_FY26_Consolidated_Financial_Results.pdf#page=14" r:id="rId17"/>
    <hyperlink xmlns:r="http://schemas.openxmlformats.org/officeDocument/2006/relationships" ref="J24" location="page=14" display="file:///Users/ishan/Downloads/INDIAN%20REITS/KRT/Q4_FY26_Consolidated_Financial_Results.pdf#page=14" r:id="rId18"/>
    <hyperlink xmlns:r="http://schemas.openxmlformats.org/officeDocument/2006/relationships" ref="J25" location="page=32" display="file:///Users/ishan/Downloads/INDIAN%20REITS/KRT/Q4_FY26_Consolidated_Financial_Results.pdf#page=32" r:id="rId19"/>
    <hyperlink xmlns:r="http://schemas.openxmlformats.org/officeDocument/2006/relationships" ref="J28" display="file:///Users/ishan/Downloads/INDIAN%20REITS/KRT/Q4_March_2026_Detailed_Valuation_Report.pdf" r:id="rId20"/>
    <hyperlink xmlns:r="http://schemas.openxmlformats.org/officeDocument/2006/relationships" ref="J29" location="page=8" display="file:///Users/ishan/Downloads/INDIAN%20REITS/KRT/Q4_FY26_Consolidated_Financial_Results.pdf#page=8" r:id="rId21"/>
    <hyperlink xmlns:r="http://schemas.openxmlformats.org/officeDocument/2006/relationships" ref="S29" location="page=5" display="file:///Users/ishan/Downloads/INDIAN%20REITS/KRT/Q4_FY26_Standalone_Financial_Results.pdf#page=5" r:id="rId22"/>
    <hyperlink xmlns:r="http://schemas.openxmlformats.org/officeDocument/2006/relationships" ref="J30" location="page=8" display="file:///Users/ishan/Downloads/INDIAN%20REITS/KRT/Q4_FY26_Consolidated_Financial_Results.pdf#page=8" r:id="rId23"/>
    <hyperlink xmlns:r="http://schemas.openxmlformats.org/officeDocument/2006/relationships" ref="S30" location="page=5" display="file:///Users/ishan/Downloads/INDIAN%20REITS/KRT/Q4_FY26_Standalone_Financial_Results.pdf#page=5" r:id="rId24"/>
    <hyperlink xmlns:r="http://schemas.openxmlformats.org/officeDocument/2006/relationships" ref="J32" location="page=8" display="file:///Users/ishan/Downloads/INDIAN%20REITS/KRT/Q4_FY26_Consolidated_Financial_Results.pdf#page=8" r:id="rId25"/>
    <hyperlink xmlns:r="http://schemas.openxmlformats.org/officeDocument/2006/relationships" ref="S32" location="page=5" display="file:///Users/ishan/Downloads/INDIAN%20REITS/KRT/Q4_FY26_Standalone_Financial_Results.pdf#page=5" r:id="rId26"/>
    <hyperlink xmlns:r="http://schemas.openxmlformats.org/officeDocument/2006/relationships" ref="J34" display="file:///Users/ishan/Downloads/INDIAN%20REITS/KRT/Q4_FY26_Consolidated_Financial_Results.pdf" r:id="rId27"/>
    <hyperlink xmlns:r="http://schemas.openxmlformats.org/officeDocument/2006/relationships" ref="J36" display="file:///Users/ishan/Downloads/INDIAN%20REITS/KRT/Q4_FY26_Consolidated_Financial_Results.pdf" r:id="rId28"/>
    <hyperlink xmlns:r="http://schemas.openxmlformats.org/officeDocument/2006/relationships" ref="J37" display="file:///Users/ishan/Downloads/INDIAN%20REITS/REIT_Tableau_Ready_1.xlsx" r:id="rId29"/>
    <hyperlink xmlns:r="http://schemas.openxmlformats.org/officeDocument/2006/relationships" ref="J40" display="file:///Users/ishan/Downloads/INDIAN%20REITS/KRT/KRT-AnnualReport-FY2025-26.pdf" r:id="rId30"/>
    <hyperlink xmlns:r="http://schemas.openxmlformats.org/officeDocument/2006/relationships" ref="J42" display="file:///Users/ishan/Downloads/INDIAN%20REITS/KRT/KRT-AnnualReport-FY2025-26.pdf" r:id="rId31"/>
    <hyperlink xmlns:r="http://schemas.openxmlformats.org/officeDocument/2006/relationships" ref="J43" display="file:///Users/ishan/Downloads/INDIAN%20REITS/KRT/KRT-AnnualReport-FY2025-26.pdf" r:id="rId32"/>
    <hyperlink xmlns:r="http://schemas.openxmlformats.org/officeDocument/2006/relationships" ref="J44" display="file:///Users/ishan/Downloads/INDIAN%20REITS/KRT/KRT-AnnualReport-FY2025-26.pdf" r:id="rId33"/>
    <hyperlink xmlns:r="http://schemas.openxmlformats.org/officeDocument/2006/relationships" ref="J45" display="file:///Users/ishan/Downloads/INDIAN%20REITS/KRT/KRT-AnnualReport-FY2025-26.pdf" r:id="rId34"/>
    <hyperlink xmlns:r="http://schemas.openxmlformats.org/officeDocument/2006/relationships" ref="J47" display="file:///Users/ishan/Downloads/INDIAN%20REITS/KRT/KRT-AnnualReport-FY2025-26.pdf" r:id="rId35"/>
    <hyperlink xmlns:r="http://schemas.openxmlformats.org/officeDocument/2006/relationships" ref="J48" display="file:///Users/ishan/Downloads/INDIAN%20REITS/KRT/KRT-AnnualReport-FY2025-26.pdf" r:id="rId36"/>
    <hyperlink xmlns:r="http://schemas.openxmlformats.org/officeDocument/2006/relationships" ref="J49" display="file:///Users/ishan/Downloads/INDIAN%20REITS/KRT/KRT-AnnualReport-FY2025-26.pdf" r:id="rId37"/>
    <hyperlink xmlns:r="http://schemas.openxmlformats.org/officeDocument/2006/relationships" ref="J68" display="file:///Users/ishan/Downloads/INDIAN%20REITS/KRT/Q4_FY26_Earnings_Update.pdf" r:id="rId38"/>
    <hyperlink xmlns:r="http://schemas.openxmlformats.org/officeDocument/2006/relationships" ref="J69" display="file:///Users/ishan/Downloads/INDIAN%20REITS/KRT/Q4_FY26_Standalone_Financial_Results.pdf" r:id="rId39"/>
    <hyperlink xmlns:r="http://schemas.openxmlformats.org/officeDocument/2006/relationships" ref="J75" display="file:///Users/ishan/Downloads/INDIAN%20REITS/KRT/Q4_FY26_Earnings_Update.pdf" r:id="rId40"/>
    <hyperlink xmlns:r="http://schemas.openxmlformats.org/officeDocument/2006/relationships" ref="J77" display="file:///Users/ishan/Downloads/INDIAN%20REITS/KRT/Q4_FY26_Earnings_Update.pdf" r:id="rId41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T80"/>
  <sheetViews>
    <sheetView showFormulas="0" showGridLines="0" showRowColHeaders="1" showZeros="1" rightToLeft="0" tabSelected="0" showOutlineSymbols="1" defaultGridColor="1" view="normal" topLeftCell="A1" colorId="64" zoomScale="65" zoomScaleNormal="65" zoomScalePageLayoutView="100" workbookViewId="0">
      <pane xSplit="2" ySplit="7" topLeftCell="C9" activePane="bottomRight" state="frozen"/>
      <selection pane="topLeft" activeCell="A1" activeCellId="0" sqref="A1"/>
      <selection pane="topRight" activeCell="C1" activeCellId="0" sqref="C1"/>
      <selection pane="bottomLeft" activeCell="A9" activeCellId="0" sqref="A9"/>
      <selection pane="bottomRight" activeCell="P51" activeCellId="0" sqref="P51"/>
    </sheetView>
  </sheetViews>
  <sheetFormatPr baseColWidth="8" defaultColWidth="8.43359375" defaultRowHeight="15" customHeight="0" zeroHeight="0" outlineLevelRow="0"/>
  <cols>
    <col width="34" customWidth="1" style="38" min="1" max="1"/>
    <col width="9" customWidth="1" style="38" min="2" max="2"/>
    <col width="9.52" customWidth="1" style="38" min="3" max="10"/>
    <col width="7" customWidth="1" style="38" min="11" max="11"/>
    <col width="9.52" customWidth="1" style="38" min="12" max="19"/>
    <col width="7" customWidth="1" style="38" min="20" max="20"/>
  </cols>
  <sheetData>
    <row r="1" ht="15" customHeight="1" s="39">
      <c r="A1" s="40" t="inlineStr">
        <is>
          <t>Bagmane REIT - Key Financials &amp; Operating Metrics</t>
        </is>
      </c>
    </row>
    <row r="2" ht="15" customHeight="1" s="39">
      <c r="A2" s="43" t="inlineStr">
        <is>
          <t>Sponsor: Bagmane Developers.  All INR figures in INR crore (cr) unless stated.  1 crore = 10 million.  FY ends 31 March.</t>
        </is>
      </c>
    </row>
    <row r="3" ht="15" customHeight="1" s="39">
      <c r="A3" s="43" t="inlineStr">
        <is>
          <t>Hover a cell for its Source (report + page + original figure).  Grey italic = auto-calculated.  YoY% = FY2026 vs FY2025.</t>
        </is>
      </c>
    </row>
    <row r="6" ht="15" customHeight="1" s="39">
      <c r="C6" s="52" t="inlineStr">
        <is>
          <t>CONSOLIDATED</t>
        </is>
      </c>
      <c r="L6" s="52" t="inlineStr">
        <is>
          <t>STANDALONE</t>
        </is>
      </c>
    </row>
    <row r="7" ht="15" customHeight="1" s="39">
      <c r="A7" s="44" t="inlineStr">
        <is>
          <t>Metric</t>
        </is>
      </c>
      <c r="B7" s="45" t="inlineStr">
        <is>
          <t>Unit</t>
        </is>
      </c>
      <c r="C7" s="45" t="inlineStr">
        <is>
          <t>FY2019</t>
        </is>
      </c>
      <c r="D7" s="45" t="inlineStr">
        <is>
          <t>FY2020</t>
        </is>
      </c>
      <c r="E7" s="45" t="inlineStr">
        <is>
          <t>FY2021</t>
        </is>
      </c>
      <c r="F7" s="45" t="inlineStr">
        <is>
          <t>FY2022</t>
        </is>
      </c>
      <c r="G7" s="45" t="inlineStr">
        <is>
          <t>FY2023</t>
        </is>
      </c>
      <c r="H7" s="45" t="inlineStr">
        <is>
          <t>FY2024</t>
        </is>
      </c>
      <c r="I7" s="45" t="inlineStr">
        <is>
          <t>FY2025</t>
        </is>
      </c>
      <c r="J7" s="45" t="inlineStr">
        <is>
          <t>FY2026</t>
        </is>
      </c>
      <c r="K7" s="45" t="inlineStr">
        <is>
          <t>YoY%</t>
        </is>
      </c>
      <c r="L7" s="45" t="inlineStr">
        <is>
          <t>FY2019</t>
        </is>
      </c>
      <c r="M7" s="45" t="inlineStr">
        <is>
          <t>FY2020</t>
        </is>
      </c>
      <c r="N7" s="45" t="inlineStr">
        <is>
          <t>FY2021</t>
        </is>
      </c>
      <c r="O7" s="45" t="inlineStr">
        <is>
          <t>FY2022</t>
        </is>
      </c>
      <c r="P7" s="45" t="inlineStr">
        <is>
          <t>FY2023</t>
        </is>
      </c>
      <c r="Q7" s="45" t="inlineStr">
        <is>
          <t>FY2024</t>
        </is>
      </c>
      <c r="R7" s="45" t="inlineStr">
        <is>
          <t>FY2025</t>
        </is>
      </c>
      <c r="S7" s="45" t="inlineStr">
        <is>
          <t>FY2026</t>
        </is>
      </c>
      <c r="T7" s="45" t="inlineStr">
        <is>
          <t>YoY%</t>
        </is>
      </c>
    </row>
    <row r="8" ht="15" customHeight="1" s="39">
      <c r="A8" s="53" t="inlineStr">
        <is>
          <t>INCOME STATEMENT</t>
        </is>
      </c>
      <c r="B8" s="54" t="n"/>
      <c r="C8" s="54" t="n"/>
      <c r="D8" s="54" t="n"/>
      <c r="E8" s="54" t="n"/>
      <c r="F8" s="54" t="n"/>
      <c r="G8" s="54" t="n"/>
      <c r="H8" s="54" t="n"/>
      <c r="I8" s="54" t="n"/>
      <c r="J8" s="54" t="n"/>
      <c r="K8" s="54" t="n"/>
      <c r="L8" s="54" t="n"/>
      <c r="M8" s="54" t="n"/>
      <c r="N8" s="54" t="n"/>
      <c r="O8" s="54" t="n"/>
      <c r="P8" s="54" t="n"/>
      <c r="Q8" s="54" t="n"/>
      <c r="R8" s="54" t="n"/>
      <c r="S8" s="54" t="n"/>
      <c r="T8" s="54" t="n"/>
    </row>
    <row r="9" ht="15" customHeight="1" s="39">
      <c r="A9" s="46" t="inlineStr">
        <is>
          <t>Revenue from Operations</t>
        </is>
      </c>
      <c r="B9" s="47" t="inlineStr">
        <is>
          <t>INR cr</t>
        </is>
      </c>
      <c r="C9" s="56" t="n"/>
      <c r="D9" s="56" t="n"/>
      <c r="E9" s="56" t="n"/>
      <c r="F9" s="56" t="n"/>
      <c r="G9" s="56" t="n"/>
      <c r="H9" s="57" t="n">
        <v>2205.365</v>
      </c>
      <c r="I9" s="57" t="n">
        <v>2370.752</v>
      </c>
      <c r="J9" s="57" t="n">
        <v>1942.937</v>
      </c>
      <c r="K9" s="49">
        <f>IFERROR((J9-I9)/I9,"")</f>
        <v/>
      </c>
      <c r="L9" s="56" t="n"/>
      <c r="M9" s="56" t="n"/>
      <c r="N9" s="56" t="n"/>
      <c r="O9" s="56" t="n"/>
      <c r="P9" s="56" t="n"/>
      <c r="Q9" s="56" t="n"/>
      <c r="R9" s="56" t="n"/>
      <c r="S9" s="57" t="n">
        <v>0</v>
      </c>
      <c r="T9" s="49">
        <f>IFERROR((S9-R9)/R9,"")</f>
        <v/>
      </c>
    </row>
    <row r="10" ht="15" customHeight="1" s="39">
      <c r="A10" s="46" t="inlineStr">
        <is>
          <t>Other Income</t>
        </is>
      </c>
      <c r="B10" s="47" t="inlineStr">
        <is>
          <t>INR cr</t>
        </is>
      </c>
      <c r="C10" s="56" t="n"/>
      <c r="D10" s="56" t="n"/>
      <c r="E10" s="56" t="n"/>
      <c r="F10" s="56" t="n"/>
      <c r="G10" s="56" t="n"/>
      <c r="H10" s="57" t="n">
        <v>31.96</v>
      </c>
      <c r="I10" s="57" t="n">
        <v>20.125</v>
      </c>
      <c r="J10" s="57" t="n">
        <v>16.857</v>
      </c>
      <c r="K10" s="49">
        <f>IFERROR((J10-I10)/I10,"")</f>
        <v/>
      </c>
      <c r="L10" s="56" t="n"/>
      <c r="M10" s="56" t="n"/>
      <c r="N10" s="56" t="n"/>
      <c r="O10" s="56" t="n"/>
      <c r="P10" s="56" t="n"/>
      <c r="Q10" s="56" t="n"/>
      <c r="R10" s="56" t="n"/>
      <c r="S10" s="57" t="n">
        <v>0</v>
      </c>
      <c r="T10" s="49">
        <f>IFERROR((S10-R10)/R10,"")</f>
        <v/>
      </c>
    </row>
    <row r="11" ht="15" customHeight="1" s="39">
      <c r="A11" s="46" t="inlineStr">
        <is>
          <t>Total Income</t>
        </is>
      </c>
      <c r="B11" s="47" t="inlineStr">
        <is>
          <t>INR cr</t>
        </is>
      </c>
      <c r="C11" s="48">
        <f>IF(AND(C9="",C10=""),"",N(C9)+N(C10))</f>
        <v/>
      </c>
      <c r="D11" s="48">
        <f>IF(AND(D9="",D10=""),"",N(D9)+N(D10))</f>
        <v/>
      </c>
      <c r="E11" s="48">
        <f>IF(AND(E9="",E10=""),"",N(E9)+N(E10))</f>
        <v/>
      </c>
      <c r="F11" s="48">
        <f>IF(AND(F9="",F10=""),"",N(F9)+N(F10))</f>
        <v/>
      </c>
      <c r="G11" s="48">
        <f>IF(AND(G9="",G10=""),"",N(G9)+N(G10))</f>
        <v/>
      </c>
      <c r="H11" s="48">
        <f>IF(AND(H9="",H10=""),"",N(H9)+N(H10))</f>
        <v/>
      </c>
      <c r="I11" s="48">
        <f>IF(AND(I9="",I10=""),"",N(I9)+N(I10))</f>
        <v/>
      </c>
      <c r="J11" s="48">
        <f>IF(AND(J9="",J10=""),"",N(J9)+N(J10))</f>
        <v/>
      </c>
      <c r="K11" s="49">
        <f>IFERROR((J11-I11)/I11,"")</f>
        <v/>
      </c>
      <c r="L11" s="48">
        <f>IF(AND(L9="",L10=""),"",N(L9)+N(L10))</f>
        <v/>
      </c>
      <c r="M11" s="48">
        <f>IF(AND(M9="",M10=""),"",N(M9)+N(M10))</f>
        <v/>
      </c>
      <c r="N11" s="48">
        <f>IF(AND(N9="",N10=""),"",N(N9)+N(N10))</f>
        <v/>
      </c>
      <c r="O11" s="48">
        <f>IF(AND(O9="",O10=""),"",N(O9)+N(O10))</f>
        <v/>
      </c>
      <c r="P11" s="48">
        <f>IF(AND(P9="",P10=""),"",N(P9)+N(P10))</f>
        <v/>
      </c>
      <c r="Q11" s="48">
        <f>IF(AND(Q9="",Q10=""),"",N(Q9)+N(Q10))</f>
        <v/>
      </c>
      <c r="R11" s="48">
        <f>IF(AND(R9="",R10=""),"",N(R9)+N(R10))</f>
        <v/>
      </c>
      <c r="S11" s="48">
        <f>IF(AND(S9="",S10=""),"",N(S9)+N(S10))</f>
        <v/>
      </c>
      <c r="T11" s="49">
        <f>IFERROR((S11-R11)/R11,"")</f>
        <v/>
      </c>
    </row>
    <row r="12" ht="15" customHeight="1" s="39">
      <c r="A12" s="46" t="inlineStr">
        <is>
          <t>Property / Operating Expenses</t>
        </is>
      </c>
      <c r="B12" s="47" t="inlineStr">
        <is>
          <t>INR cr</t>
        </is>
      </c>
      <c r="C12" s="56" t="n"/>
      <c r="D12" s="56" t="n"/>
      <c r="E12" s="56" t="n"/>
      <c r="F12" s="56" t="n"/>
      <c r="G12" s="56" t="n"/>
      <c r="H12" s="56" t="n"/>
      <c r="I12" s="56" t="n"/>
      <c r="J12" s="56" t="n"/>
      <c r="K12" s="49">
        <f>IFERROR((J12-I12)/I12,"")</f>
        <v/>
      </c>
      <c r="L12" s="56" t="n"/>
      <c r="M12" s="56" t="n"/>
      <c r="N12" s="56" t="n"/>
      <c r="O12" s="56" t="n"/>
      <c r="P12" s="56" t="n"/>
      <c r="Q12" s="56" t="n"/>
      <c r="R12" s="56" t="n"/>
      <c r="S12" s="56" t="n"/>
      <c r="T12" s="49">
        <f>IFERROR((S12-R12)/R12,"")</f>
        <v/>
      </c>
    </row>
    <row r="13" ht="15" customHeight="1" s="39">
      <c r="A13" s="46" t="inlineStr">
        <is>
          <t>Net Operating Income (NOI)</t>
        </is>
      </c>
      <c r="B13" s="47" t="inlineStr">
        <is>
          <t>INR cr</t>
        </is>
      </c>
      <c r="C13" s="56" t="n"/>
      <c r="D13" s="56" t="n"/>
      <c r="E13" s="56" t="n"/>
      <c r="F13" s="56" t="n"/>
      <c r="G13" s="56" t="n"/>
      <c r="H13" s="57" t="n">
        <v>1865.948</v>
      </c>
      <c r="I13" s="57" t="n">
        <v>2084.368</v>
      </c>
      <c r="J13" s="57" t="n">
        <v>1758.976</v>
      </c>
      <c r="K13" s="49">
        <f>IFERROR((J13-I13)/I13,"")</f>
        <v/>
      </c>
      <c r="L13" s="56" t="n"/>
      <c r="M13" s="56" t="n"/>
      <c r="N13" s="56" t="n"/>
      <c r="O13" s="56" t="n"/>
      <c r="P13" s="56" t="n"/>
      <c r="Q13" s="56" t="n"/>
      <c r="R13" s="56" t="n"/>
      <c r="S13" s="56" t="n"/>
      <c r="T13" s="49">
        <f>IFERROR((S13-R13)/R13,"")</f>
        <v/>
      </c>
    </row>
    <row r="14" ht="15" customHeight="1" s="39">
      <c r="A14" s="46" t="inlineStr">
        <is>
          <t>NOI Margin</t>
        </is>
      </c>
      <c r="B14" s="47" t="inlineStr">
        <is>
          <t>%</t>
        </is>
      </c>
      <c r="C14" s="49">
        <f>IF(OR(C13="",C9="",N(C9)=0),"",C13/C9)</f>
        <v/>
      </c>
      <c r="D14" s="49">
        <f>IF(OR(D13="",D9="",N(D9)=0),"",D13/D9)</f>
        <v/>
      </c>
      <c r="E14" s="49">
        <f>IF(OR(E13="",E9="",N(E9)=0),"",E13/E9)</f>
        <v/>
      </c>
      <c r="F14" s="49">
        <f>IF(OR(F13="",F9="",N(F9)=0),"",F13/F9)</f>
        <v/>
      </c>
      <c r="G14" s="49">
        <f>IF(OR(G13="",G9="",N(G9)=0),"",G13/G9)</f>
        <v/>
      </c>
      <c r="H14" s="49">
        <f>IF(OR(H13="",H9="",N(H9)=0),"",H13/H9)</f>
        <v/>
      </c>
      <c r="I14" s="49">
        <f>IF(OR(I13="",I9="",N(I9)=0),"",I13/I9)</f>
        <v/>
      </c>
      <c r="J14" s="49">
        <f>IF(OR(J13="",J9="",N(J9)=0),"",J13/J9)</f>
        <v/>
      </c>
      <c r="L14" s="49">
        <f>IF(OR(L13="",L9="",N(L9)=0),"",L13/L9)</f>
        <v/>
      </c>
      <c r="M14" s="49">
        <f>IF(OR(M13="",M9="",N(M9)=0),"",M13/M9)</f>
        <v/>
      </c>
      <c r="N14" s="49">
        <f>IF(OR(N13="",N9="",N(N9)=0),"",N13/N9)</f>
        <v/>
      </c>
      <c r="O14" s="49">
        <f>IF(OR(O13="",O9="",N(O9)=0),"",O13/O9)</f>
        <v/>
      </c>
      <c r="P14" s="49">
        <f>IF(OR(P13="",P9="",N(P9)=0),"",P13/P9)</f>
        <v/>
      </c>
      <c r="Q14" s="49">
        <f>IF(OR(Q13="",Q9="",N(Q9)=0),"",Q13/Q9)</f>
        <v/>
      </c>
      <c r="R14" s="49">
        <f>IF(OR(R13="",R9="",N(R9)=0),"",R13/R9)</f>
        <v/>
      </c>
      <c r="S14" s="49">
        <f>IF(OR(S13="",S9="",N(S9)=0),"",S13/S9)</f>
        <v/>
      </c>
    </row>
    <row r="15" ht="15" customHeight="1" s="39">
      <c r="A15" s="46" t="inlineStr">
        <is>
          <t>EBITDA</t>
        </is>
      </c>
      <c r="B15" s="47" t="inlineStr">
        <is>
          <t>INR cr</t>
        </is>
      </c>
      <c r="C15" s="56" t="n"/>
      <c r="D15" s="56" t="n"/>
      <c r="E15" s="56" t="n"/>
      <c r="F15" s="56" t="n"/>
      <c r="G15" s="56" t="n"/>
      <c r="H15" s="57" t="n">
        <v>1740.297</v>
      </c>
      <c r="I15" s="57" t="n">
        <v>1906.67</v>
      </c>
      <c r="J15" s="57" t="n">
        <v>1630.093</v>
      </c>
      <c r="K15" s="49">
        <f>IFERROR((J15-I15)/I15,"")</f>
        <v/>
      </c>
      <c r="L15" s="56" t="n"/>
      <c r="M15" s="56" t="n"/>
      <c r="N15" s="56" t="n"/>
      <c r="O15" s="56" t="n"/>
      <c r="P15" s="56" t="n"/>
      <c r="Q15" s="56" t="n"/>
      <c r="R15" s="56" t="n"/>
      <c r="S15" s="56" t="n"/>
      <c r="T15" s="49">
        <f>IFERROR((S15-R15)/R15,"")</f>
        <v/>
      </c>
    </row>
    <row r="16" ht="15" customHeight="1" s="39">
      <c r="A16" s="46" t="inlineStr">
        <is>
          <t>EBITDA Margin</t>
        </is>
      </c>
      <c r="B16" s="47" t="inlineStr">
        <is>
          <t>%</t>
        </is>
      </c>
      <c r="C16" s="49">
        <f>IF(OR(C15="",C9="",N(C9)=0),"",C15/C9)</f>
        <v/>
      </c>
      <c r="D16" s="49">
        <f>IF(OR(D15="",D9="",N(D9)=0),"",D15/D9)</f>
        <v/>
      </c>
      <c r="E16" s="49">
        <f>IF(OR(E15="",E9="",N(E9)=0),"",E15/E9)</f>
        <v/>
      </c>
      <c r="F16" s="49">
        <f>IF(OR(F15="",F9="",N(F9)=0),"",F15/F9)</f>
        <v/>
      </c>
      <c r="G16" s="49">
        <f>IF(OR(G15="",G9="",N(G9)=0),"",G15/G9)</f>
        <v/>
      </c>
      <c r="H16" s="49">
        <f>IF(OR(H15="",H9="",N(H9)=0),"",H15/H9)</f>
        <v/>
      </c>
      <c r="I16" s="49">
        <f>IF(OR(I15="",I9="",N(I9)=0),"",I15/I9)</f>
        <v/>
      </c>
      <c r="J16" s="49">
        <f>IF(OR(J15="",J9="",N(J9)=0),"",J15/J9)</f>
        <v/>
      </c>
      <c r="L16" s="49">
        <f>IF(OR(L15="",L9="",N(L9)=0),"",L15/L9)</f>
        <v/>
      </c>
      <c r="M16" s="49">
        <f>IF(OR(M15="",M9="",N(M9)=0),"",M15/M9)</f>
        <v/>
      </c>
      <c r="N16" s="49">
        <f>IF(OR(N15="",N9="",N(N9)=0),"",N15/N9)</f>
        <v/>
      </c>
      <c r="O16" s="49">
        <f>IF(OR(O15="",O9="",N(O9)=0),"",O15/O9)</f>
        <v/>
      </c>
      <c r="P16" s="49">
        <f>IF(OR(P15="",P9="",N(P9)=0),"",P15/P9)</f>
        <v/>
      </c>
      <c r="Q16" s="49">
        <f>IF(OR(Q15="",Q9="",N(Q9)=0),"",Q15/Q9)</f>
        <v/>
      </c>
      <c r="R16" s="49">
        <f>IF(OR(R15="",R9="",N(R9)=0),"",R15/R9)</f>
        <v/>
      </c>
      <c r="S16" s="49">
        <f>IF(OR(S15="",S9="",N(S9)=0),"",S15/S9)</f>
        <v/>
      </c>
    </row>
    <row r="17" ht="15" customHeight="1" s="39">
      <c r="A17" s="46" t="inlineStr">
        <is>
          <t>Finance Costs</t>
        </is>
      </c>
      <c r="B17" s="47" t="inlineStr">
        <is>
          <t>INR cr</t>
        </is>
      </c>
      <c r="C17" s="56" t="n"/>
      <c r="D17" s="56" t="n"/>
      <c r="E17" s="56" t="n"/>
      <c r="F17" s="56" t="n"/>
      <c r="G17" s="56" t="n"/>
      <c r="H17" s="57" t="n">
        <v>353.107</v>
      </c>
      <c r="I17" s="57" t="n">
        <v>394.026</v>
      </c>
      <c r="J17" s="57" t="n">
        <v>251.091</v>
      </c>
      <c r="K17" s="49">
        <f>IFERROR((J17-I17)/I17,"")</f>
        <v/>
      </c>
      <c r="L17" s="56" t="n"/>
      <c r="M17" s="56" t="n"/>
      <c r="N17" s="56" t="n"/>
      <c r="O17" s="56" t="n"/>
      <c r="P17" s="56" t="n"/>
      <c r="Q17" s="56" t="n"/>
      <c r="R17" s="56" t="n"/>
      <c r="S17" s="57" t="n">
        <v>0</v>
      </c>
      <c r="T17" s="49">
        <f>IFERROR((S17-R17)/R17,"")</f>
        <v/>
      </c>
    </row>
    <row r="18" ht="15" customHeight="1" s="39">
      <c r="A18" s="46" t="inlineStr">
        <is>
          <t>Depreciation &amp; Amortisation</t>
        </is>
      </c>
      <c r="B18" s="47" t="inlineStr">
        <is>
          <t>INR cr</t>
        </is>
      </c>
      <c r="C18" s="56" t="n"/>
      <c r="D18" s="56" t="n"/>
      <c r="E18" s="56" t="n"/>
      <c r="F18" s="56" t="n"/>
      <c r="G18" s="56" t="n"/>
      <c r="H18" s="57" t="n">
        <v>161.663</v>
      </c>
      <c r="I18" s="57" t="n">
        <v>168.83</v>
      </c>
      <c r="J18" s="57" t="n">
        <v>136.415</v>
      </c>
      <c r="K18" s="49">
        <f>IFERROR((J18-I18)/I18,"")</f>
        <v/>
      </c>
      <c r="L18" s="56" t="n"/>
      <c r="M18" s="56" t="n"/>
      <c r="N18" s="56" t="n"/>
      <c r="O18" s="56" t="n"/>
      <c r="P18" s="56" t="n"/>
      <c r="Q18" s="56" t="n"/>
      <c r="R18" s="56" t="n"/>
      <c r="S18" s="57" t="n">
        <v>0</v>
      </c>
      <c r="T18" s="49">
        <f>IFERROR((S18-R18)/R18,"")</f>
        <v/>
      </c>
    </row>
    <row r="19" ht="15" customHeight="1" s="39">
      <c r="A19" s="46" t="inlineStr">
        <is>
          <t>Profit Before Tax (PBT)</t>
        </is>
      </c>
      <c r="B19" s="47" t="inlineStr">
        <is>
          <t>INR cr</t>
        </is>
      </c>
      <c r="C19" s="56" t="n"/>
      <c r="D19" s="56" t="n"/>
      <c r="E19" s="56" t="n"/>
      <c r="F19" s="56" t="n"/>
      <c r="G19" s="56" t="n"/>
      <c r="H19" s="57" t="n">
        <v>1225.527</v>
      </c>
      <c r="I19" s="57" t="n">
        <v>1343.814</v>
      </c>
      <c r="J19" s="57" t="n">
        <v>1242.587</v>
      </c>
      <c r="K19" s="49">
        <f>IFERROR((J19-I19)/I19,"")</f>
        <v/>
      </c>
      <c r="L19" s="56" t="n"/>
      <c r="M19" s="56" t="n"/>
      <c r="N19" s="56" t="n"/>
      <c r="O19" s="56" t="n"/>
      <c r="P19" s="56" t="n"/>
      <c r="Q19" s="56" t="n"/>
      <c r="R19" s="56" t="n"/>
      <c r="S19" s="57" t="n">
        <v>-0.257</v>
      </c>
      <c r="T19" s="49">
        <f>IFERROR((S19-R19)/R19,"")</f>
        <v/>
      </c>
    </row>
    <row r="20" ht="15" customHeight="1" s="39">
      <c r="A20" s="46" t="inlineStr">
        <is>
          <t>Profit After Tax (PAT)</t>
        </is>
      </c>
      <c r="B20" s="47" t="inlineStr">
        <is>
          <t>INR cr</t>
        </is>
      </c>
      <c r="C20" s="56" t="n"/>
      <c r="D20" s="56" t="n"/>
      <c r="E20" s="56" t="n"/>
      <c r="F20" s="56" t="n"/>
      <c r="G20" s="56" t="n"/>
      <c r="H20" s="57" t="n">
        <v>809.357</v>
      </c>
      <c r="I20" s="57" t="n">
        <v>897.101</v>
      </c>
      <c r="J20" s="57" t="n">
        <v>829.018</v>
      </c>
      <c r="K20" s="49">
        <f>IFERROR((J20-I20)/I20,"")</f>
        <v/>
      </c>
      <c r="L20" s="56" t="n"/>
      <c r="M20" s="56" t="n"/>
      <c r="N20" s="56" t="n"/>
      <c r="O20" s="56" t="n"/>
      <c r="P20" s="56" t="n"/>
      <c r="Q20" s="56" t="n"/>
      <c r="R20" s="56" t="n"/>
      <c r="S20" s="57" t="n">
        <v>-0.257</v>
      </c>
      <c r="T20" s="49">
        <f>IFERROR((S20-R20)/R20,"")</f>
        <v/>
      </c>
    </row>
    <row r="21" ht="15" customHeight="1" s="39">
      <c r="A21" s="46" t="inlineStr">
        <is>
          <t>PAT Margin</t>
        </is>
      </c>
      <c r="B21" s="47" t="inlineStr">
        <is>
          <t>%</t>
        </is>
      </c>
      <c r="C21" s="49">
        <f>IF(OR(C20="",C9="",N(C9)=0),"",C20/C9)</f>
        <v/>
      </c>
      <c r="D21" s="49">
        <f>IF(OR(D20="",D9="",N(D9)=0),"",D20/D9)</f>
        <v/>
      </c>
      <c r="E21" s="49">
        <f>IF(OR(E20="",E9="",N(E9)=0),"",E20/E9)</f>
        <v/>
      </c>
      <c r="F21" s="49">
        <f>IF(OR(F20="",F9="",N(F9)=0),"",F20/F9)</f>
        <v/>
      </c>
      <c r="G21" s="49">
        <f>IF(OR(G20="",G9="",N(G9)=0),"",G20/G9)</f>
        <v/>
      </c>
      <c r="H21" s="49">
        <f>IF(OR(H20="",H9="",N(H9)=0),"",H20/H9)</f>
        <v/>
      </c>
      <c r="I21" s="49">
        <f>IF(OR(I20="",I9="",N(I9)=0),"",I20/I9)</f>
        <v/>
      </c>
      <c r="J21" s="49">
        <f>IF(OR(J20="",J9="",N(J9)=0),"",J20/J9)</f>
        <v/>
      </c>
      <c r="L21" s="49">
        <f>IF(OR(L20="",L9="",N(L9)=0),"",L20/L9)</f>
        <v/>
      </c>
      <c r="M21" s="49">
        <f>IF(OR(M20="",M9="",N(M9)=0),"",M20/M9)</f>
        <v/>
      </c>
      <c r="N21" s="49">
        <f>IF(OR(N20="",N9="",N(N9)=0),"",N20/N9)</f>
        <v/>
      </c>
      <c r="O21" s="49">
        <f>IF(OR(O20="",O9="",N(O9)=0),"",O20/O9)</f>
        <v/>
      </c>
      <c r="P21" s="49">
        <f>IF(OR(P20="",P9="",N(P9)=0),"",P20/P9)</f>
        <v/>
      </c>
      <c r="Q21" s="49">
        <f>IF(OR(Q20="",Q9="",N(Q9)=0),"",Q20/Q9)</f>
        <v/>
      </c>
      <c r="R21" s="49">
        <f>IF(OR(R20="",R9="",N(R9)=0),"",R20/R9)</f>
        <v/>
      </c>
      <c r="S21" s="49">
        <f>IF(OR(S20="",S9="",N(S9)=0),"",S20/S9)</f>
        <v/>
      </c>
    </row>
    <row r="22" ht="15" customHeight="1" s="39">
      <c r="A22" s="53" t="inlineStr">
        <is>
          <t>DISTRIBUTIONS &amp; CASH FLOW</t>
        </is>
      </c>
      <c r="B22" s="54" t="n"/>
      <c r="C22" s="54" t="n"/>
      <c r="D22" s="54" t="n"/>
      <c r="E22" s="54" t="n"/>
      <c r="F22" s="54" t="n"/>
      <c r="G22" s="54" t="n"/>
      <c r="H22" s="54" t="n"/>
      <c r="I22" s="54" t="n"/>
      <c r="J22" s="54" t="n"/>
      <c r="K22" s="54" t="n"/>
      <c r="L22" s="54" t="n"/>
      <c r="M22" s="54" t="n"/>
      <c r="N22" s="54" t="n"/>
      <c r="O22" s="54" t="n"/>
      <c r="P22" s="54" t="n"/>
      <c r="Q22" s="54" t="n"/>
      <c r="R22" s="54" t="n"/>
      <c r="S22" s="54" t="n"/>
      <c r="T22" s="54" t="n"/>
    </row>
    <row r="23" ht="15" customHeight="1" s="39">
      <c r="A23" s="46" t="inlineStr">
        <is>
          <t>Net Distributable Cash Flow (NDCF)</t>
        </is>
      </c>
      <c r="B23" s="47" t="inlineStr">
        <is>
          <t>INR cr</t>
        </is>
      </c>
      <c r="C23" s="56" t="n"/>
      <c r="D23" s="56" t="n"/>
      <c r="E23" s="56" t="n"/>
      <c r="F23" s="56" t="n"/>
      <c r="G23" s="56" t="n"/>
      <c r="H23" s="56" t="n"/>
      <c r="I23" s="56" t="n"/>
      <c r="J23" s="56" t="n"/>
      <c r="K23" s="49">
        <f>IFERROR((J23-I23)/I23,"")</f>
        <v/>
      </c>
      <c r="L23" s="58" t="inlineStr">
        <is>
          <t>n/a</t>
        </is>
      </c>
      <c r="M23" s="58" t="inlineStr">
        <is>
          <t>n/a</t>
        </is>
      </c>
      <c r="N23" s="58" t="inlineStr">
        <is>
          <t>n/a</t>
        </is>
      </c>
      <c r="O23" s="58" t="inlineStr">
        <is>
          <t>n/a</t>
        </is>
      </c>
      <c r="P23" s="58" t="inlineStr">
        <is>
          <t>n/a</t>
        </is>
      </c>
      <c r="Q23" s="58" t="inlineStr">
        <is>
          <t>n/a</t>
        </is>
      </c>
      <c r="R23" s="58" t="inlineStr">
        <is>
          <t>n/a</t>
        </is>
      </c>
      <c r="S23" s="58" t="inlineStr">
        <is>
          <t>n/a</t>
        </is>
      </c>
      <c r="T23" s="58" t="inlineStr">
        <is>
          <t>n/a</t>
        </is>
      </c>
    </row>
    <row r="24" ht="15" customHeight="1" s="39">
      <c r="A24" s="46" t="inlineStr">
        <is>
          <t>Total Distribution</t>
        </is>
      </c>
      <c r="B24" s="47" t="inlineStr">
        <is>
          <t>INR cr</t>
        </is>
      </c>
      <c r="C24" s="56" t="n"/>
      <c r="D24" s="56" t="n"/>
      <c r="E24" s="56" t="n"/>
      <c r="F24" s="56" t="n"/>
      <c r="G24" s="56" t="n"/>
      <c r="H24" s="56" t="n"/>
      <c r="I24" s="56" t="n"/>
      <c r="J24" s="56" t="n"/>
      <c r="K24" s="49">
        <f>IFERROR((J24-I24)/I24,"")</f>
        <v/>
      </c>
      <c r="L24" s="58" t="inlineStr">
        <is>
          <t>n/a</t>
        </is>
      </c>
      <c r="M24" s="58" t="inlineStr">
        <is>
          <t>n/a</t>
        </is>
      </c>
      <c r="N24" s="58" t="inlineStr">
        <is>
          <t>n/a</t>
        </is>
      </c>
      <c r="O24" s="58" t="inlineStr">
        <is>
          <t>n/a</t>
        </is>
      </c>
      <c r="P24" s="58" t="inlineStr">
        <is>
          <t>n/a</t>
        </is>
      </c>
      <c r="Q24" s="58" t="inlineStr">
        <is>
          <t>n/a</t>
        </is>
      </c>
      <c r="R24" s="58" t="inlineStr">
        <is>
          <t>n/a</t>
        </is>
      </c>
      <c r="S24" s="58" t="inlineStr">
        <is>
          <t>n/a</t>
        </is>
      </c>
      <c r="T24" s="58" t="inlineStr">
        <is>
          <t>n/a</t>
        </is>
      </c>
    </row>
    <row r="25" ht="15" customHeight="1" s="39">
      <c r="A25" s="46" t="inlineStr">
        <is>
          <t>Distribution per Unit (DPU)</t>
        </is>
      </c>
      <c r="B25" s="47" t="inlineStr">
        <is>
          <t>INR/unit</t>
        </is>
      </c>
      <c r="C25" s="59" t="n"/>
      <c r="D25" s="59" t="n"/>
      <c r="E25" s="59" t="n"/>
      <c r="F25" s="59" t="n"/>
      <c r="G25" s="59" t="n"/>
      <c r="H25" s="59" t="n"/>
      <c r="I25" s="59" t="n"/>
      <c r="J25" s="59" t="n"/>
      <c r="K25" s="49">
        <f>IFERROR((J25-I25)/I25,"")</f>
        <v/>
      </c>
      <c r="L25" s="58" t="inlineStr">
        <is>
          <t>n/a</t>
        </is>
      </c>
      <c r="M25" s="58" t="inlineStr">
        <is>
          <t>n/a</t>
        </is>
      </c>
      <c r="N25" s="58" t="inlineStr">
        <is>
          <t>n/a</t>
        </is>
      </c>
      <c r="O25" s="58" t="inlineStr">
        <is>
          <t>n/a</t>
        </is>
      </c>
      <c r="P25" s="58" t="inlineStr">
        <is>
          <t>n/a</t>
        </is>
      </c>
      <c r="Q25" s="58" t="inlineStr">
        <is>
          <t>n/a</t>
        </is>
      </c>
      <c r="R25" s="58" t="inlineStr">
        <is>
          <t>n/a</t>
        </is>
      </c>
      <c r="S25" s="58" t="inlineStr">
        <is>
          <t>n/a</t>
        </is>
      </c>
      <c r="T25" s="58" t="inlineStr">
        <is>
          <t>n/a</t>
        </is>
      </c>
    </row>
    <row r="26" ht="15" customHeight="1" s="39">
      <c r="A26" s="46" t="inlineStr">
        <is>
          <t>NDCF Payout Ratio</t>
        </is>
      </c>
      <c r="B26" s="47" t="inlineStr">
        <is>
          <t>%</t>
        </is>
      </c>
      <c r="C26" s="49">
        <f>IF(OR(C24="",C23="",N(C23)=0),"",C24/C23)</f>
        <v/>
      </c>
      <c r="D26" s="49">
        <f>IF(OR(D24="",D23="",N(D23)=0),"",D24/D23)</f>
        <v/>
      </c>
      <c r="E26" s="49">
        <f>IF(OR(E24="",E23="",N(E23)=0),"",E24/E23)</f>
        <v/>
      </c>
      <c r="F26" s="49">
        <f>IF(OR(F24="",F23="",N(F23)=0),"",F24/F23)</f>
        <v/>
      </c>
      <c r="G26" s="49">
        <f>IF(OR(G24="",G23="",N(G23)=0),"",G24/G23)</f>
        <v/>
      </c>
      <c r="H26" s="49">
        <f>IF(OR(H24="",H23="",N(H23)=0),"",H24/H23)</f>
        <v/>
      </c>
      <c r="I26" s="49">
        <f>IF(OR(I24="",I23="",N(I23)=0),"",I24/I23)</f>
        <v/>
      </c>
      <c r="J26" s="49">
        <f>IF(OR(J24="",J23="",N(J23)=0),"",J24/J23)</f>
        <v/>
      </c>
      <c r="L26" s="58" t="inlineStr">
        <is>
          <t>n/a</t>
        </is>
      </c>
      <c r="M26" s="58" t="inlineStr">
        <is>
          <t>n/a</t>
        </is>
      </c>
      <c r="N26" s="58" t="inlineStr">
        <is>
          <t>n/a</t>
        </is>
      </c>
      <c r="O26" s="58" t="inlineStr">
        <is>
          <t>n/a</t>
        </is>
      </c>
      <c r="P26" s="58" t="inlineStr">
        <is>
          <t>n/a</t>
        </is>
      </c>
      <c r="Q26" s="58" t="inlineStr">
        <is>
          <t>n/a</t>
        </is>
      </c>
      <c r="R26" s="58" t="inlineStr">
        <is>
          <t>n/a</t>
        </is>
      </c>
      <c r="S26" s="58" t="inlineStr">
        <is>
          <t>n/a</t>
        </is>
      </c>
      <c r="T26" s="58" t="inlineStr">
        <is>
          <t>n/a</t>
        </is>
      </c>
    </row>
    <row r="27" ht="15" customHeight="1" s="39">
      <c r="A27" s="53" t="inlineStr">
        <is>
          <t>BALANCE SHEET &amp; LEVERAGE</t>
        </is>
      </c>
      <c r="B27" s="54" t="n"/>
      <c r="C27" s="54" t="n"/>
      <c r="D27" s="54" t="n"/>
      <c r="E27" s="54" t="n"/>
      <c r="F27" s="54" t="n"/>
      <c r="G27" s="54" t="n"/>
      <c r="H27" s="54" t="n"/>
      <c r="I27" s="54" t="n"/>
      <c r="J27" s="54" t="n"/>
      <c r="K27" s="54" t="n"/>
      <c r="L27" s="54" t="n"/>
      <c r="M27" s="54" t="n"/>
      <c r="N27" s="54" t="n"/>
      <c r="O27" s="54" t="n"/>
      <c r="P27" s="54" t="n"/>
      <c r="Q27" s="54" t="n"/>
      <c r="R27" s="54" t="n"/>
      <c r="S27" s="54" t="n"/>
      <c r="T27" s="54" t="n"/>
    </row>
    <row r="28" ht="15" customHeight="1" s="39">
      <c r="A28" s="46" t="inlineStr">
        <is>
          <t>Gross Asset Value (GAV) / AUM</t>
        </is>
      </c>
      <c r="B28" s="47" t="inlineStr">
        <is>
          <t>INR cr</t>
        </is>
      </c>
      <c r="C28" s="56" t="n"/>
      <c r="D28" s="56" t="n"/>
      <c r="E28" s="56" t="n"/>
      <c r="F28" s="56" t="n"/>
      <c r="G28" s="56" t="n"/>
      <c r="H28" s="56" t="n"/>
      <c r="I28" s="56" t="n"/>
      <c r="J28" s="57" t="n">
        <v>40263.49</v>
      </c>
      <c r="K28" s="49">
        <f>IFERROR((J28-I28)/I28,"")</f>
        <v/>
      </c>
      <c r="L28" s="58" t="inlineStr">
        <is>
          <t>n/a</t>
        </is>
      </c>
      <c r="M28" s="58" t="inlineStr">
        <is>
          <t>n/a</t>
        </is>
      </c>
      <c r="N28" s="58" t="inlineStr">
        <is>
          <t>n/a</t>
        </is>
      </c>
      <c r="O28" s="58" t="inlineStr">
        <is>
          <t>n/a</t>
        </is>
      </c>
      <c r="P28" s="58" t="inlineStr">
        <is>
          <t>n/a</t>
        </is>
      </c>
      <c r="Q28" s="58" t="inlineStr">
        <is>
          <t>n/a</t>
        </is>
      </c>
      <c r="R28" s="58" t="inlineStr">
        <is>
          <t>n/a</t>
        </is>
      </c>
      <c r="S28" s="58" t="inlineStr">
        <is>
          <t>n/a</t>
        </is>
      </c>
      <c r="T28" s="58" t="inlineStr">
        <is>
          <t>n/a</t>
        </is>
      </c>
    </row>
    <row r="29" ht="15" customHeight="1" s="39">
      <c r="A29" s="46" t="inlineStr">
        <is>
          <t>Gross Debt</t>
        </is>
      </c>
      <c r="B29" s="47" t="inlineStr">
        <is>
          <t>INR cr</t>
        </is>
      </c>
      <c r="C29" s="56" t="n"/>
      <c r="D29" s="56" t="n"/>
      <c r="E29" s="56" t="n"/>
      <c r="F29" s="56" t="n"/>
      <c r="G29" s="56" t="n"/>
      <c r="H29" s="57" t="n">
        <v>3873.714</v>
      </c>
      <c r="I29" s="57" t="n">
        <v>3763.969</v>
      </c>
      <c r="J29" s="57" t="n">
        <v>3029.619</v>
      </c>
      <c r="K29" s="49">
        <f>IFERROR((J29-I29)/I29,"")</f>
        <v/>
      </c>
      <c r="L29" s="56" t="n"/>
      <c r="M29" s="56" t="n"/>
      <c r="N29" s="56" t="n"/>
      <c r="O29" s="56" t="n"/>
      <c r="P29" s="56" t="n"/>
      <c r="Q29" s="56" t="n"/>
      <c r="R29" s="56" t="n"/>
      <c r="S29" s="57" t="n">
        <v>0</v>
      </c>
      <c r="T29" s="49">
        <f>IFERROR((S29-R29)/R29,"")</f>
        <v/>
      </c>
    </row>
    <row r="30" ht="15" customHeight="1" s="39">
      <c r="A30" s="46" t="inlineStr">
        <is>
          <t>Cash &amp; Cash Equivalents</t>
        </is>
      </c>
      <c r="B30" s="47" t="inlineStr">
        <is>
          <t>INR cr</t>
        </is>
      </c>
      <c r="C30" s="56" t="n"/>
      <c r="D30" s="56" t="n"/>
      <c r="E30" s="56" t="n"/>
      <c r="F30" s="56" t="n"/>
      <c r="G30" s="56" t="n"/>
      <c r="H30" s="57" t="n">
        <v>145.639</v>
      </c>
      <c r="I30" s="57" t="n">
        <v>243.148</v>
      </c>
      <c r="J30" s="57" t="n">
        <v>284.649</v>
      </c>
      <c r="K30" s="49">
        <f>IFERROR((J30-I30)/I30,"")</f>
        <v/>
      </c>
      <c r="L30" s="56" t="n"/>
      <c r="M30" s="56" t="n"/>
      <c r="N30" s="56" t="n"/>
      <c r="O30" s="56" t="n"/>
      <c r="P30" s="56" t="n"/>
      <c r="Q30" s="56" t="n"/>
      <c r="R30" s="56" t="n"/>
      <c r="S30" s="57" t="n">
        <v>0</v>
      </c>
      <c r="T30" s="49">
        <f>IFERROR((S30-R30)/R30,"")</f>
        <v/>
      </c>
    </row>
    <row r="31" ht="15" customHeight="1" s="39">
      <c r="A31" s="46" t="inlineStr">
        <is>
          <t>Net Debt</t>
        </is>
      </c>
      <c r="B31" s="47" t="inlineStr">
        <is>
          <t>INR cr</t>
        </is>
      </c>
      <c r="C31" s="48">
        <f>IF(C29="","",C29-N(C30))</f>
        <v/>
      </c>
      <c r="D31" s="48">
        <f>IF(D29="","",D29-N(D30))</f>
        <v/>
      </c>
      <c r="E31" s="48">
        <f>IF(E29="","",E29-N(E30))</f>
        <v/>
      </c>
      <c r="F31" s="48">
        <f>IF(F29="","",F29-N(F30))</f>
        <v/>
      </c>
      <c r="G31" s="48">
        <f>IF(G29="","",G29-N(G30))</f>
        <v/>
      </c>
      <c r="H31" s="48">
        <f>IF(H29="","",H29-N(H30))</f>
        <v/>
      </c>
      <c r="I31" s="48">
        <f>IF(I29="","",I29-N(I30))</f>
        <v/>
      </c>
      <c r="J31" s="48">
        <f>IF(J29="","",J29-N(J30))</f>
        <v/>
      </c>
      <c r="K31" s="49">
        <f>IFERROR((J31-I31)/I31,"")</f>
        <v/>
      </c>
      <c r="L31" s="48">
        <f>IF(L29="","",L29-N(L30))</f>
        <v/>
      </c>
      <c r="M31" s="48">
        <f>IF(M29="","",M29-N(M30))</f>
        <v/>
      </c>
      <c r="N31" s="48">
        <f>IF(N29="","",N29-N(N30))</f>
        <v/>
      </c>
      <c r="O31" s="48">
        <f>IF(O29="","",O29-N(O30))</f>
        <v/>
      </c>
      <c r="P31" s="48">
        <f>IF(P29="","",P29-N(P30))</f>
        <v/>
      </c>
      <c r="Q31" s="48">
        <f>IF(Q29="","",Q29-N(Q30))</f>
        <v/>
      </c>
      <c r="R31" s="48">
        <f>IF(R29="","",R29-N(R30))</f>
        <v/>
      </c>
      <c r="S31" s="48">
        <f>IF(S29="","",S29-N(S30))</f>
        <v/>
      </c>
      <c r="T31" s="49">
        <f>IFERROR((S31-R31)/R31,"")</f>
        <v/>
      </c>
    </row>
    <row r="32" ht="15" customHeight="1" s="39">
      <c r="A32" s="46" t="inlineStr">
        <is>
          <t>Net Worth / Unitholders Equity</t>
        </is>
      </c>
      <c r="B32" s="47" t="inlineStr">
        <is>
          <t>INR cr</t>
        </is>
      </c>
      <c r="C32" s="56" t="n"/>
      <c r="D32" s="56" t="n"/>
      <c r="E32" s="56" t="n"/>
      <c r="F32" s="56" t="n"/>
      <c r="G32" s="56" t="n"/>
      <c r="H32" s="57" t="n">
        <v>1230.35</v>
      </c>
      <c r="I32" s="57" t="n">
        <v>1592.268</v>
      </c>
      <c r="J32" s="57" t="n">
        <v>2692.354</v>
      </c>
      <c r="K32" s="49">
        <f>IFERROR((J32-I32)/I32,"")</f>
        <v/>
      </c>
      <c r="L32" s="56" t="n"/>
      <c r="M32" s="56" t="n"/>
      <c r="N32" s="56" t="n"/>
      <c r="O32" s="56" t="n"/>
      <c r="P32" s="56" t="n"/>
      <c r="Q32" s="56" t="n"/>
      <c r="R32" s="56" t="n"/>
      <c r="S32" s="57" t="n">
        <v>-0.257</v>
      </c>
      <c r="T32" s="49">
        <f>IFERROR((S32-R32)/R32,"")</f>
        <v/>
      </c>
    </row>
    <row r="33" ht="15" customHeight="1" s="39">
      <c r="A33" s="46" t="inlineStr">
        <is>
          <t>Loan-to-Value (LTV)</t>
        </is>
      </c>
      <c r="B33" s="47" t="inlineStr">
        <is>
          <t>%</t>
        </is>
      </c>
      <c r="C33" s="49">
        <f>IF(OR(C31="",C28="",N(C28)=0),"",C31/C28)</f>
        <v/>
      </c>
      <c r="D33" s="49">
        <f>IF(OR(D31="",D28="",N(D28)=0),"",D31/D28)</f>
        <v/>
      </c>
      <c r="E33" s="49">
        <f>IF(OR(E31="",E28="",N(E28)=0),"",E31/E28)</f>
        <v/>
      </c>
      <c r="F33" s="49">
        <f>IF(OR(F31="",F28="",N(F28)=0),"",F31/F28)</f>
        <v/>
      </c>
      <c r="G33" s="49">
        <f>IF(OR(G31="",G28="",N(G28)=0),"",G31/G28)</f>
        <v/>
      </c>
      <c r="H33" s="49">
        <f>IF(OR(H31="",H28="",N(H28)=0),"",H31/H28)</f>
        <v/>
      </c>
      <c r="I33" s="49">
        <f>IF(OR(I31="",I28="",N(I28)=0),"",I31/I28)</f>
        <v/>
      </c>
      <c r="J33" s="49">
        <f>IF(OR(J31="",J28="",N(J28)=0),"",J31/J28)</f>
        <v/>
      </c>
      <c r="L33" s="49">
        <f>IF(OR(L31="",L28="",N(L28)=0),"",L31/L28)</f>
        <v/>
      </c>
      <c r="M33" s="49">
        <f>IF(OR(M31="",M28="",N(M28)=0),"",M31/M28)</f>
        <v/>
      </c>
      <c r="N33" s="49">
        <f>IF(OR(N31="",N28="",N(N28)=0),"",N31/N28)</f>
        <v/>
      </c>
      <c r="O33" s="49">
        <f>IF(OR(O31="",O28="",N(O28)=0),"",O31/O28)</f>
        <v/>
      </c>
      <c r="P33" s="49">
        <f>IF(OR(P31="",P28="",N(P28)=0),"",P31/P28)</f>
        <v/>
      </c>
      <c r="Q33" s="49">
        <f>IF(OR(Q31="",Q28="",N(Q28)=0),"",Q31/Q28)</f>
        <v/>
      </c>
      <c r="R33" s="49">
        <f>IF(OR(R31="",R28="",N(R28)=0),"",R31/R28)</f>
        <v/>
      </c>
      <c r="S33" s="49">
        <f>IF(OR(S31="",S28="",N(S28)=0),"",S31/S28)</f>
        <v/>
      </c>
    </row>
    <row r="34" ht="15" customHeight="1" s="39">
      <c r="A34" s="46" t="inlineStr">
        <is>
          <t>NAV per Unit</t>
        </is>
      </c>
      <c r="B34" s="47" t="inlineStr">
        <is>
          <t>INR/unit</t>
        </is>
      </c>
      <c r="C34" s="59" t="n"/>
      <c r="D34" s="59" t="n"/>
      <c r="E34" s="59" t="n"/>
      <c r="F34" s="59" t="n"/>
      <c r="G34" s="59" t="n"/>
      <c r="H34" s="59" t="n"/>
      <c r="I34" s="59" t="n"/>
      <c r="J34" s="60" t="n">
        <v>108.49</v>
      </c>
      <c r="K34" s="49">
        <f>IFERROR((J34-I34)/I34,"")</f>
        <v/>
      </c>
      <c r="L34" s="58" t="inlineStr">
        <is>
          <t>n/a</t>
        </is>
      </c>
      <c r="M34" s="58" t="inlineStr">
        <is>
          <t>n/a</t>
        </is>
      </c>
      <c r="N34" s="58" t="inlineStr">
        <is>
          <t>n/a</t>
        </is>
      </c>
      <c r="O34" s="58" t="inlineStr">
        <is>
          <t>n/a</t>
        </is>
      </c>
      <c r="P34" s="58" t="inlineStr">
        <is>
          <t>n/a</t>
        </is>
      </c>
      <c r="Q34" s="58" t="inlineStr">
        <is>
          <t>n/a</t>
        </is>
      </c>
      <c r="R34" s="58" t="inlineStr">
        <is>
          <t>n/a</t>
        </is>
      </c>
      <c r="S34" s="58" t="inlineStr">
        <is>
          <t>n/a</t>
        </is>
      </c>
      <c r="T34" s="58" t="inlineStr">
        <is>
          <t>n/a</t>
        </is>
      </c>
    </row>
    <row r="35" ht="15" customHeight="1" s="39">
      <c r="A35" s="53" t="inlineStr">
        <is>
          <t>MARKET DATA</t>
        </is>
      </c>
      <c r="B35" s="54" t="n"/>
      <c r="C35" s="54" t="n"/>
      <c r="D35" s="54" t="n"/>
      <c r="E35" s="54" t="n"/>
      <c r="F35" s="54" t="n"/>
      <c r="G35" s="54" t="n"/>
      <c r="H35" s="54" t="n"/>
      <c r="I35" s="54" t="n"/>
      <c r="J35" s="54" t="n"/>
      <c r="K35" s="54" t="n"/>
      <c r="L35" s="54" t="n"/>
      <c r="M35" s="54" t="n"/>
      <c r="N35" s="54" t="n"/>
      <c r="O35" s="54" t="n"/>
      <c r="P35" s="54" t="n"/>
      <c r="Q35" s="54" t="n"/>
      <c r="R35" s="54" t="n"/>
      <c r="S35" s="54" t="n"/>
      <c r="T35" s="54" t="n"/>
    </row>
    <row r="36" ht="15" customHeight="1" s="39">
      <c r="A36" s="46" t="inlineStr">
        <is>
          <t>Units Outstanding</t>
        </is>
      </c>
      <c r="B36" s="47" t="inlineStr">
        <is>
          <t>mn units</t>
        </is>
      </c>
      <c r="C36" s="59" t="n"/>
      <c r="D36" s="59" t="n"/>
      <c r="E36" s="59" t="n"/>
      <c r="F36" s="59" t="n"/>
      <c r="G36" s="59" t="n"/>
      <c r="H36" s="59" t="n"/>
      <c r="I36" s="59" t="n"/>
      <c r="J36" s="60" t="n">
        <v>3400</v>
      </c>
      <c r="K36" s="49">
        <f>IFERROR((J36-I36)/I36,"")</f>
        <v/>
      </c>
      <c r="L36" s="58" t="inlineStr">
        <is>
          <t>n/a</t>
        </is>
      </c>
      <c r="M36" s="58" t="inlineStr">
        <is>
          <t>n/a</t>
        </is>
      </c>
      <c r="N36" s="58" t="inlineStr">
        <is>
          <t>n/a</t>
        </is>
      </c>
      <c r="O36" s="58" t="inlineStr">
        <is>
          <t>n/a</t>
        </is>
      </c>
      <c r="P36" s="58" t="inlineStr">
        <is>
          <t>n/a</t>
        </is>
      </c>
      <c r="Q36" s="58" t="inlineStr">
        <is>
          <t>n/a</t>
        </is>
      </c>
      <c r="R36" s="58" t="inlineStr">
        <is>
          <t>n/a</t>
        </is>
      </c>
      <c r="S36" s="58" t="inlineStr">
        <is>
          <t>n/a</t>
        </is>
      </c>
      <c r="T36" s="58" t="inlineStr">
        <is>
          <t>n/a</t>
        </is>
      </c>
    </row>
    <row r="37" ht="15" customHeight="1" s="39">
      <c r="A37" s="46" t="inlineStr">
        <is>
          <t>Unit Price (period-end)</t>
        </is>
      </c>
      <c r="B37" s="47" t="inlineStr">
        <is>
          <t>INR/unit</t>
        </is>
      </c>
      <c r="C37" s="59" t="n"/>
      <c r="D37" s="59" t="n"/>
      <c r="E37" s="59" t="n"/>
      <c r="F37" s="59" t="n"/>
      <c r="G37" s="59" t="n"/>
      <c r="H37" s="59" t="n"/>
      <c r="I37" s="59" t="n"/>
      <c r="J37" s="60" t="n">
        <v>100</v>
      </c>
      <c r="K37" s="49">
        <f>IFERROR((J37-I37)/I37,"")</f>
        <v/>
      </c>
      <c r="L37" s="58" t="inlineStr">
        <is>
          <t>n/a</t>
        </is>
      </c>
      <c r="M37" s="58" t="inlineStr">
        <is>
          <t>n/a</t>
        </is>
      </c>
      <c r="N37" s="58" t="inlineStr">
        <is>
          <t>n/a</t>
        </is>
      </c>
      <c r="O37" s="58" t="inlineStr">
        <is>
          <t>n/a</t>
        </is>
      </c>
      <c r="P37" s="58" t="inlineStr">
        <is>
          <t>n/a</t>
        </is>
      </c>
      <c r="Q37" s="58" t="inlineStr">
        <is>
          <t>n/a</t>
        </is>
      </c>
      <c r="R37" s="58" t="inlineStr">
        <is>
          <t>n/a</t>
        </is>
      </c>
      <c r="S37" s="58" t="inlineStr">
        <is>
          <t>n/a</t>
        </is>
      </c>
      <c r="T37" s="58" t="inlineStr">
        <is>
          <t>n/a</t>
        </is>
      </c>
    </row>
    <row r="38" ht="15" customHeight="1" s="39">
      <c r="A38" s="46" t="inlineStr">
        <is>
          <t>Market Capitalisation</t>
        </is>
      </c>
      <c r="B38" s="47" t="inlineStr">
        <is>
          <t>INR cr</t>
        </is>
      </c>
      <c r="C38" s="48">
        <f>IF(OR(C36="",C37=""),"",C36*C37/10)</f>
        <v/>
      </c>
      <c r="D38" s="48">
        <f>IF(OR(D36="",D37=""),"",D36*D37/10)</f>
        <v/>
      </c>
      <c r="E38" s="48">
        <f>IF(OR(E36="",E37=""),"",E36*E37/10)</f>
        <v/>
      </c>
      <c r="F38" s="48">
        <f>IF(OR(F36="",F37=""),"",F36*F37/10)</f>
        <v/>
      </c>
      <c r="G38" s="48">
        <f>IF(OR(G36="",G37=""),"",G36*G37/10)</f>
        <v/>
      </c>
      <c r="H38" s="48">
        <f>IF(OR(H36="",H37=""),"",H36*H37/10)</f>
        <v/>
      </c>
      <c r="I38" s="48">
        <f>IF(OR(I36="",I37=""),"",I36*I37/10)</f>
        <v/>
      </c>
      <c r="J38" s="48">
        <f>IF(OR(J36="",J37=""),"",J36*J37/10)</f>
        <v/>
      </c>
      <c r="K38" s="49">
        <f>IFERROR((J38-I38)/I38,"")</f>
        <v/>
      </c>
      <c r="L38" s="58" t="inlineStr">
        <is>
          <t>n/a</t>
        </is>
      </c>
      <c r="M38" s="58" t="inlineStr">
        <is>
          <t>n/a</t>
        </is>
      </c>
      <c r="N38" s="58" t="inlineStr">
        <is>
          <t>n/a</t>
        </is>
      </c>
      <c r="O38" s="58" t="inlineStr">
        <is>
          <t>n/a</t>
        </is>
      </c>
      <c r="P38" s="58" t="inlineStr">
        <is>
          <t>n/a</t>
        </is>
      </c>
      <c r="Q38" s="58" t="inlineStr">
        <is>
          <t>n/a</t>
        </is>
      </c>
      <c r="R38" s="58" t="inlineStr">
        <is>
          <t>n/a</t>
        </is>
      </c>
      <c r="S38" s="58" t="inlineStr">
        <is>
          <t>n/a</t>
        </is>
      </c>
      <c r="T38" s="58" t="inlineStr">
        <is>
          <t>n/a</t>
        </is>
      </c>
    </row>
    <row r="39" ht="15" customHeight="1" s="39">
      <c r="A39" s="46" t="inlineStr">
        <is>
          <t>Annual Distribution Yield</t>
        </is>
      </c>
      <c r="B39" s="47" t="inlineStr">
        <is>
          <t>%</t>
        </is>
      </c>
      <c r="C39" s="49">
        <f>IF(OR(C25="",C37="",N(C37)=0),"",C25/C37)</f>
        <v/>
      </c>
      <c r="D39" s="49">
        <f>IF(OR(D25="",D37="",N(D37)=0),"",D25/D37)</f>
        <v/>
      </c>
      <c r="E39" s="49">
        <f>IF(OR(E25="",E37="",N(E37)=0),"",E25/E37)</f>
        <v/>
      </c>
      <c r="F39" s="49">
        <f>IF(OR(F25="",F37="",N(F37)=0),"",F25/F37)</f>
        <v/>
      </c>
      <c r="G39" s="49">
        <f>IF(OR(G25="",G37="",N(G37)=0),"",G25/G37)</f>
        <v/>
      </c>
      <c r="H39" s="49">
        <f>IF(OR(H25="",H37="",N(H37)=0),"",H25/H37)</f>
        <v/>
      </c>
      <c r="I39" s="49">
        <f>IF(OR(I25="",I37="",N(I37)=0),"",I25/I37)</f>
        <v/>
      </c>
      <c r="J39" s="49">
        <f>IF(OR(J25="",J37="",N(J37)=0),"",J25/J37)</f>
        <v/>
      </c>
      <c r="L39" s="58" t="inlineStr">
        <is>
          <t>n/a</t>
        </is>
      </c>
      <c r="M39" s="58" t="inlineStr">
        <is>
          <t>n/a</t>
        </is>
      </c>
      <c r="N39" s="58" t="inlineStr">
        <is>
          <t>n/a</t>
        </is>
      </c>
      <c r="O39" s="58" t="inlineStr">
        <is>
          <t>n/a</t>
        </is>
      </c>
      <c r="P39" s="58" t="inlineStr">
        <is>
          <t>n/a</t>
        </is>
      </c>
      <c r="Q39" s="58" t="inlineStr">
        <is>
          <t>n/a</t>
        </is>
      </c>
      <c r="R39" s="58" t="inlineStr">
        <is>
          <t>n/a</t>
        </is>
      </c>
      <c r="S39" s="58" t="inlineStr">
        <is>
          <t>n/a</t>
        </is>
      </c>
      <c r="T39" s="58" t="inlineStr">
        <is>
          <t>n/a</t>
        </is>
      </c>
    </row>
    <row r="40" ht="15" customHeight="1" s="39">
      <c r="A40" s="46" t="inlineStr">
        <is>
          <t>Cost of Debt</t>
        </is>
      </c>
      <c r="B40" s="47" t="inlineStr">
        <is>
          <t>%</t>
        </is>
      </c>
      <c r="C40" s="61" t="n"/>
      <c r="D40" s="61" t="n"/>
      <c r="E40" s="61" t="n"/>
      <c r="F40" s="61" t="n"/>
      <c r="G40" s="61" t="n"/>
      <c r="H40" s="61" t="n"/>
      <c r="I40" s="61" t="n"/>
      <c r="J40" s="61" t="n"/>
      <c r="L40" s="58" t="inlineStr">
        <is>
          <t>n/a</t>
        </is>
      </c>
      <c r="M40" s="58" t="inlineStr">
        <is>
          <t>n/a</t>
        </is>
      </c>
      <c r="N40" s="58" t="inlineStr">
        <is>
          <t>n/a</t>
        </is>
      </c>
      <c r="O40" s="58" t="inlineStr">
        <is>
          <t>n/a</t>
        </is>
      </c>
      <c r="P40" s="58" t="inlineStr">
        <is>
          <t>n/a</t>
        </is>
      </c>
      <c r="Q40" s="58" t="inlineStr">
        <is>
          <t>n/a</t>
        </is>
      </c>
      <c r="R40" s="58" t="inlineStr">
        <is>
          <t>n/a</t>
        </is>
      </c>
      <c r="S40" s="58" t="inlineStr">
        <is>
          <t>n/a</t>
        </is>
      </c>
      <c r="T40" s="58" t="inlineStr">
        <is>
          <t>n/a</t>
        </is>
      </c>
    </row>
    <row r="41" ht="15" customHeight="1" s="39">
      <c r="A41" s="53" t="inlineStr">
        <is>
          <t>PORTFOLIO &amp; OPERATING METRICS  (consolidated)</t>
        </is>
      </c>
      <c r="B41" s="54" t="n"/>
      <c r="C41" s="54" t="n"/>
      <c r="D41" s="54" t="n"/>
      <c r="E41" s="54" t="n"/>
      <c r="F41" s="54" t="n"/>
      <c r="G41" s="54" t="n"/>
      <c r="H41" s="54" t="n"/>
      <c r="I41" s="54" t="n"/>
      <c r="J41" s="54" t="n"/>
      <c r="K41" s="54" t="n"/>
      <c r="L41" s="54" t="n"/>
      <c r="M41" s="54" t="n"/>
      <c r="N41" s="54" t="n"/>
      <c r="O41" s="54" t="n"/>
      <c r="P41" s="54" t="n"/>
      <c r="Q41" s="54" t="n"/>
      <c r="R41" s="54" t="n"/>
      <c r="S41" s="54" t="n"/>
      <c r="T41" s="54" t="n"/>
    </row>
    <row r="42" ht="15" customHeight="1" s="39">
      <c r="A42" s="46" t="inlineStr">
        <is>
          <t>Total Leasable Area (GLA)</t>
        </is>
      </c>
      <c r="B42" s="47" t="inlineStr">
        <is>
          <t>Msf</t>
        </is>
      </c>
      <c r="C42" s="70" t="n"/>
      <c r="D42" s="70" t="n"/>
      <c r="E42" s="70" t="n"/>
      <c r="F42" s="70" t="n"/>
      <c r="G42" s="70" t="n"/>
      <c r="H42" s="70" t="n"/>
      <c r="I42" s="70" t="n"/>
      <c r="J42" s="63" t="n">
        <v>19.6</v>
      </c>
      <c r="K42" s="49">
        <f>IFERROR((J42-I42)/I42,"")</f>
        <v/>
      </c>
      <c r="L42" s="58" t="inlineStr">
        <is>
          <t>n/a</t>
        </is>
      </c>
      <c r="M42" s="58" t="inlineStr">
        <is>
          <t>n/a</t>
        </is>
      </c>
      <c r="N42" s="58" t="inlineStr">
        <is>
          <t>n/a</t>
        </is>
      </c>
      <c r="O42" s="58" t="inlineStr">
        <is>
          <t>n/a</t>
        </is>
      </c>
      <c r="P42" s="58" t="inlineStr">
        <is>
          <t>n/a</t>
        </is>
      </c>
      <c r="Q42" s="58" t="inlineStr">
        <is>
          <t>n/a</t>
        </is>
      </c>
      <c r="R42" s="58" t="inlineStr">
        <is>
          <t>n/a</t>
        </is>
      </c>
      <c r="S42" s="58" t="inlineStr">
        <is>
          <t>n/a</t>
        </is>
      </c>
      <c r="T42" s="58" t="inlineStr">
        <is>
          <t>n/a</t>
        </is>
      </c>
    </row>
    <row r="43" ht="15" customHeight="1" s="39">
      <c r="A43" s="46" t="inlineStr">
        <is>
          <t>Operational Area</t>
        </is>
      </c>
      <c r="B43" s="47" t="inlineStr">
        <is>
          <t>Msf</t>
        </is>
      </c>
      <c r="C43" s="70" t="n"/>
      <c r="D43" s="70" t="n"/>
      <c r="E43" s="70" t="n"/>
      <c r="F43" s="70" t="n"/>
      <c r="G43" s="70" t="n"/>
      <c r="H43" s="70" t="n"/>
      <c r="I43" s="70" t="n"/>
      <c r="J43" s="63" t="n">
        <v>16.6</v>
      </c>
      <c r="K43" s="49">
        <f>IFERROR((J43-I43)/I43,"")</f>
        <v/>
      </c>
      <c r="L43" s="58" t="inlineStr">
        <is>
          <t>n/a</t>
        </is>
      </c>
      <c r="M43" s="58" t="inlineStr">
        <is>
          <t>n/a</t>
        </is>
      </c>
      <c r="N43" s="58" t="inlineStr">
        <is>
          <t>n/a</t>
        </is>
      </c>
      <c r="O43" s="58" t="inlineStr">
        <is>
          <t>n/a</t>
        </is>
      </c>
      <c r="P43" s="58" t="inlineStr">
        <is>
          <t>n/a</t>
        </is>
      </c>
      <c r="Q43" s="58" t="inlineStr">
        <is>
          <t>n/a</t>
        </is>
      </c>
      <c r="R43" s="58" t="inlineStr">
        <is>
          <t>n/a</t>
        </is>
      </c>
      <c r="S43" s="58" t="inlineStr">
        <is>
          <t>n/a</t>
        </is>
      </c>
      <c r="T43" s="58" t="inlineStr">
        <is>
          <t>n/a</t>
        </is>
      </c>
    </row>
    <row r="44" ht="15" customHeight="1" s="39">
      <c r="A44" s="46" t="inlineStr">
        <is>
          <t>Under Construction + Future Development</t>
        </is>
      </c>
      <c r="B44" s="47" t="inlineStr">
        <is>
          <t>Msf</t>
        </is>
      </c>
      <c r="C44" s="70" t="n"/>
      <c r="D44" s="70" t="n"/>
      <c r="E44" s="70" t="n"/>
      <c r="F44" s="70" t="n"/>
      <c r="G44" s="70" t="n"/>
      <c r="H44" s="70" t="n"/>
      <c r="I44" s="70" t="n"/>
      <c r="J44" s="63" t="n">
        <v>3</v>
      </c>
      <c r="K44" s="49">
        <f>IFERROR((J44-I44)/I44,"")</f>
        <v/>
      </c>
      <c r="L44" s="58" t="inlineStr">
        <is>
          <t>n/a</t>
        </is>
      </c>
      <c r="M44" s="58" t="inlineStr">
        <is>
          <t>n/a</t>
        </is>
      </c>
      <c r="N44" s="58" t="inlineStr">
        <is>
          <t>n/a</t>
        </is>
      </c>
      <c r="O44" s="58" t="inlineStr">
        <is>
          <t>n/a</t>
        </is>
      </c>
      <c r="P44" s="58" t="inlineStr">
        <is>
          <t>n/a</t>
        </is>
      </c>
      <c r="Q44" s="58" t="inlineStr">
        <is>
          <t>n/a</t>
        </is>
      </c>
      <c r="R44" s="58" t="inlineStr">
        <is>
          <t>n/a</t>
        </is>
      </c>
      <c r="S44" s="58" t="inlineStr">
        <is>
          <t>n/a</t>
        </is>
      </c>
      <c r="T44" s="58" t="inlineStr">
        <is>
          <t>n/a</t>
        </is>
      </c>
    </row>
    <row r="45" ht="15" customHeight="1" s="39">
      <c r="A45" s="46" t="inlineStr">
        <is>
          <t>Committed Occupancy</t>
        </is>
      </c>
      <c r="B45" s="47" t="inlineStr">
        <is>
          <t>%</t>
        </is>
      </c>
      <c r="C45" s="61" t="n"/>
      <c r="D45" s="61" t="n"/>
      <c r="E45" s="61" t="n"/>
      <c r="F45" s="61" t="n"/>
      <c r="G45" s="61" t="n"/>
      <c r="H45" s="61" t="n"/>
      <c r="I45" s="61" t="n"/>
      <c r="J45" s="62" t="n">
        <v>0.99</v>
      </c>
      <c r="L45" s="58" t="inlineStr">
        <is>
          <t>n/a</t>
        </is>
      </c>
      <c r="M45" s="58" t="inlineStr">
        <is>
          <t>n/a</t>
        </is>
      </c>
      <c r="N45" s="58" t="inlineStr">
        <is>
          <t>n/a</t>
        </is>
      </c>
      <c r="O45" s="58" t="inlineStr">
        <is>
          <t>n/a</t>
        </is>
      </c>
      <c r="P45" s="58" t="inlineStr">
        <is>
          <t>n/a</t>
        </is>
      </c>
      <c r="Q45" s="58" t="inlineStr">
        <is>
          <t>n/a</t>
        </is>
      </c>
      <c r="R45" s="58" t="inlineStr">
        <is>
          <t>n/a</t>
        </is>
      </c>
      <c r="S45" s="58" t="inlineStr">
        <is>
          <t>n/a</t>
        </is>
      </c>
      <c r="T45" s="58" t="inlineStr">
        <is>
          <t>n/a</t>
        </is>
      </c>
    </row>
    <row r="46" ht="15" customHeight="1" s="39">
      <c r="A46" s="46" t="inlineStr">
        <is>
          <t>In-place / Physical Occupancy</t>
        </is>
      </c>
      <c r="B46" s="47" t="inlineStr">
        <is>
          <t>%</t>
        </is>
      </c>
      <c r="C46" s="61" t="n"/>
      <c r="D46" s="61" t="n"/>
      <c r="E46" s="61" t="n"/>
      <c r="F46" s="61" t="n"/>
      <c r="G46" s="61" t="n"/>
      <c r="H46" s="61" t="n"/>
      <c r="I46" s="61" t="n"/>
      <c r="J46" s="61" t="n"/>
      <c r="L46" s="58" t="inlineStr">
        <is>
          <t>n/a</t>
        </is>
      </c>
      <c r="M46" s="58" t="inlineStr">
        <is>
          <t>n/a</t>
        </is>
      </c>
      <c r="N46" s="58" t="inlineStr">
        <is>
          <t>n/a</t>
        </is>
      </c>
      <c r="O46" s="58" t="inlineStr">
        <is>
          <t>n/a</t>
        </is>
      </c>
      <c r="P46" s="58" t="inlineStr">
        <is>
          <t>n/a</t>
        </is>
      </c>
      <c r="Q46" s="58" t="inlineStr">
        <is>
          <t>n/a</t>
        </is>
      </c>
      <c r="R46" s="58" t="inlineStr">
        <is>
          <t>n/a</t>
        </is>
      </c>
      <c r="S46" s="58" t="inlineStr">
        <is>
          <t>n/a</t>
        </is>
      </c>
      <c r="T46" s="58" t="inlineStr">
        <is>
          <t>n/a</t>
        </is>
      </c>
    </row>
    <row r="47" ht="15" customHeight="1" s="39">
      <c r="A47" s="46" t="inlineStr">
        <is>
          <t>WALE</t>
        </is>
      </c>
      <c r="B47" s="47" t="inlineStr">
        <is>
          <t>years</t>
        </is>
      </c>
      <c r="C47" s="70" t="n"/>
      <c r="D47" s="70" t="n"/>
      <c r="E47" s="70" t="n"/>
      <c r="F47" s="70" t="n"/>
      <c r="G47" s="70" t="n"/>
      <c r="H47" s="70" t="n"/>
      <c r="I47" s="70" t="n"/>
      <c r="J47" s="63" t="n">
        <v>7.4</v>
      </c>
      <c r="K47" s="49">
        <f>IFERROR((J47-I47)/I47,"")</f>
        <v/>
      </c>
      <c r="L47" s="58" t="inlineStr">
        <is>
          <t>n/a</t>
        </is>
      </c>
      <c r="M47" s="58" t="inlineStr">
        <is>
          <t>n/a</t>
        </is>
      </c>
      <c r="N47" s="58" t="inlineStr">
        <is>
          <t>n/a</t>
        </is>
      </c>
      <c r="O47" s="58" t="inlineStr">
        <is>
          <t>n/a</t>
        </is>
      </c>
      <c r="P47" s="58" t="inlineStr">
        <is>
          <t>n/a</t>
        </is>
      </c>
      <c r="Q47" s="58" t="inlineStr">
        <is>
          <t>n/a</t>
        </is>
      </c>
      <c r="R47" s="58" t="inlineStr">
        <is>
          <t>n/a</t>
        </is>
      </c>
      <c r="S47" s="58" t="inlineStr">
        <is>
          <t>n/a</t>
        </is>
      </c>
      <c r="T47" s="58" t="inlineStr">
        <is>
          <t>n/a</t>
        </is>
      </c>
    </row>
    <row r="48" ht="15" customHeight="1" s="39">
      <c r="A48" s="46" t="inlineStr">
        <is>
          <t>Number of Tenants</t>
        </is>
      </c>
      <c r="B48" s="47" t="inlineStr">
        <is>
          <t>count</t>
        </is>
      </c>
      <c r="C48" s="72" t="n"/>
      <c r="D48" s="72" t="n"/>
      <c r="E48" s="72" t="n"/>
      <c r="F48" s="72" t="n"/>
      <c r="G48" s="72" t="n"/>
      <c r="H48" s="72" t="n"/>
      <c r="I48" s="72" t="n"/>
      <c r="J48" s="64" t="n">
        <v>60</v>
      </c>
      <c r="K48" s="49">
        <f>IFERROR((J48-I48)/I48,"")</f>
        <v/>
      </c>
      <c r="L48" s="58" t="inlineStr">
        <is>
          <t>n/a</t>
        </is>
      </c>
      <c r="M48" s="58" t="inlineStr">
        <is>
          <t>n/a</t>
        </is>
      </c>
      <c r="N48" s="58" t="inlineStr">
        <is>
          <t>n/a</t>
        </is>
      </c>
      <c r="O48" s="58" t="inlineStr">
        <is>
          <t>n/a</t>
        </is>
      </c>
      <c r="P48" s="58" t="inlineStr">
        <is>
          <t>n/a</t>
        </is>
      </c>
      <c r="Q48" s="58" t="inlineStr">
        <is>
          <t>n/a</t>
        </is>
      </c>
      <c r="R48" s="58" t="inlineStr">
        <is>
          <t>n/a</t>
        </is>
      </c>
      <c r="S48" s="58" t="inlineStr">
        <is>
          <t>n/a</t>
        </is>
      </c>
      <c r="T48" s="58" t="inlineStr">
        <is>
          <t>n/a</t>
        </is>
      </c>
    </row>
    <row r="49" ht="15" customHeight="1" s="39">
      <c r="A49" s="46" t="inlineStr">
        <is>
          <t>In-place Rent</t>
        </is>
      </c>
      <c r="B49" s="47" t="inlineStr">
        <is>
          <t>INR psf/mo</t>
        </is>
      </c>
      <c r="C49" s="70" t="n"/>
      <c r="D49" s="70" t="n"/>
      <c r="E49" s="70" t="n"/>
      <c r="F49" s="70" t="n"/>
      <c r="G49" s="70" t="n"/>
      <c r="H49" s="70" t="n"/>
      <c r="I49" s="70" t="n"/>
      <c r="J49" s="70" t="n"/>
      <c r="K49" s="49">
        <f>IFERROR((J49-I49)/I49,"")</f>
        <v/>
      </c>
      <c r="L49" s="58" t="inlineStr">
        <is>
          <t>n/a</t>
        </is>
      </c>
      <c r="M49" s="58" t="inlineStr">
        <is>
          <t>n/a</t>
        </is>
      </c>
      <c r="N49" s="58" t="inlineStr">
        <is>
          <t>n/a</t>
        </is>
      </c>
      <c r="O49" s="58" t="inlineStr">
        <is>
          <t>n/a</t>
        </is>
      </c>
      <c r="P49" s="58" t="inlineStr">
        <is>
          <t>n/a</t>
        </is>
      </c>
      <c r="Q49" s="58" t="inlineStr">
        <is>
          <t>n/a</t>
        </is>
      </c>
      <c r="R49" s="58" t="inlineStr">
        <is>
          <t>n/a</t>
        </is>
      </c>
      <c r="S49" s="58" t="inlineStr">
        <is>
          <t>n/a</t>
        </is>
      </c>
      <c r="T49" s="58" t="inlineStr">
        <is>
          <t>n/a</t>
        </is>
      </c>
    </row>
    <row r="52" ht="15" customHeight="1" s="39">
      <c r="A52" s="65" t="inlineStr">
        <is>
          <t>DEBT &amp; NDCF / DISTRIBUTION DETAIL   (consolidated; INR cr unless noted)</t>
        </is>
      </c>
      <c r="B52" s="66" t="n"/>
      <c r="C52" s="66" t="n"/>
      <c r="D52" s="66" t="n"/>
      <c r="E52" s="66" t="n"/>
      <c r="F52" s="66" t="n"/>
      <c r="G52" s="66" t="n"/>
      <c r="H52" s="66" t="n"/>
      <c r="I52" s="66" t="n"/>
      <c r="J52" s="66" t="n"/>
    </row>
    <row r="53" ht="15" customHeight="1" s="39">
      <c r="A53" s="67" t="inlineStr">
        <is>
          <t>Metric</t>
        </is>
      </c>
      <c r="B53" s="68" t="inlineStr">
        <is>
          <t>Unit</t>
        </is>
      </c>
      <c r="C53" s="68" t="inlineStr">
        <is>
          <t>FY2019</t>
        </is>
      </c>
      <c r="D53" s="68" t="inlineStr">
        <is>
          <t>FY2020</t>
        </is>
      </c>
      <c r="E53" s="68" t="inlineStr">
        <is>
          <t>FY2021</t>
        </is>
      </c>
      <c r="F53" s="68" t="inlineStr">
        <is>
          <t>FY2022</t>
        </is>
      </c>
      <c r="G53" s="68" t="inlineStr">
        <is>
          <t>FY2023</t>
        </is>
      </c>
      <c r="H53" s="68" t="inlineStr">
        <is>
          <t>FY2024</t>
        </is>
      </c>
      <c r="I53" s="68" t="inlineStr">
        <is>
          <t>FY2025</t>
        </is>
      </c>
      <c r="J53" s="68" t="inlineStr">
        <is>
          <t>FY2026</t>
        </is>
      </c>
    </row>
    <row r="54" ht="15" customHeight="1" s="39">
      <c r="A54" s="69" t="inlineStr">
        <is>
          <t>Distribution composition (NDCF -&gt; unitholders)</t>
        </is>
      </c>
    </row>
    <row r="55" ht="15" customHeight="1" s="39">
      <c r="A55" s="46" t="inlineStr">
        <is>
          <t>Net Distributable Cash Flow (NDCF)</t>
        </is>
      </c>
      <c r="B55" s="47" t="inlineStr">
        <is>
          <t>INR cr</t>
        </is>
      </c>
      <c r="C55" s="48">
        <f>IF(N(C23)=0,IF(C23="","",C23),C23)</f>
        <v/>
      </c>
      <c r="D55" s="48">
        <f>IF(N(D23)=0,IF(D23="","",D23),D23)</f>
        <v/>
      </c>
      <c r="E55" s="48">
        <f>IF(N(E23)=0,IF(E23="","",E23),E23)</f>
        <v/>
      </c>
      <c r="F55" s="48">
        <f>IF(N(F23)=0,IF(F23="","",F23),F23)</f>
        <v/>
      </c>
      <c r="G55" s="48">
        <f>IF(N(G23)=0,IF(G23="","",G23),G23)</f>
        <v/>
      </c>
      <c r="H55" s="48">
        <f>IF(N(H23)=0,IF(H23="","",H23),H23)</f>
        <v/>
      </c>
      <c r="I55" s="48">
        <f>IF(N(I23)=0,IF(I23="","",I23),I23)</f>
        <v/>
      </c>
      <c r="J55" s="48">
        <f>IF(N(J23)=0,IF(J23="","",J23),J23)</f>
        <v/>
      </c>
    </row>
    <row r="56" ht="15" customHeight="1" s="39">
      <c r="A56" s="46" t="inlineStr">
        <is>
          <t>Total Distribution</t>
        </is>
      </c>
      <c r="B56" s="47" t="inlineStr">
        <is>
          <t>INR cr</t>
        </is>
      </c>
      <c r="C56" s="48">
        <f>IF(N(C24)=0,IF(C24="","",C24),C24)</f>
        <v/>
      </c>
      <c r="D56" s="48">
        <f>IF(N(D24)=0,IF(D24="","",D24),D24)</f>
        <v/>
      </c>
      <c r="E56" s="48">
        <f>IF(N(E24)=0,IF(E24="","",E24),E24)</f>
        <v/>
      </c>
      <c r="F56" s="48">
        <f>IF(N(F24)=0,IF(F24="","",F24),F24)</f>
        <v/>
      </c>
      <c r="G56" s="48">
        <f>IF(N(G24)=0,IF(G24="","",G24),G24)</f>
        <v/>
      </c>
      <c r="H56" s="48">
        <f>IF(N(H24)=0,IF(H24="","",H24),H24)</f>
        <v/>
      </c>
      <c r="I56" s="48">
        <f>IF(N(I24)=0,IF(I24="","",I24),I24)</f>
        <v/>
      </c>
      <c r="J56" s="48">
        <f>IF(N(J24)=0,IF(J24="","",J24),J24)</f>
        <v/>
      </c>
    </row>
    <row r="57" ht="15" customHeight="1" s="39">
      <c r="A57" s="46" t="inlineStr">
        <is>
          <t xml:space="preserve">  of which: Interest</t>
        </is>
      </c>
      <c r="B57" s="47" t="inlineStr">
        <is>
          <t>INR cr</t>
        </is>
      </c>
      <c r="C57" s="56" t="n"/>
      <c r="D57" s="56" t="n"/>
      <c r="E57" s="56" t="n"/>
      <c r="F57" s="56" t="n"/>
      <c r="G57" s="56" t="n"/>
      <c r="H57" s="56" t="n"/>
      <c r="I57" s="56" t="n"/>
      <c r="J57" s="56" t="n"/>
    </row>
    <row r="58" ht="15" customHeight="1" s="39">
      <c r="A58" s="46" t="inlineStr">
        <is>
          <t xml:space="preserve">  of which: Dividend</t>
        </is>
      </c>
      <c r="B58" s="47" t="inlineStr">
        <is>
          <t>INR cr</t>
        </is>
      </c>
      <c r="C58" s="56" t="n"/>
      <c r="D58" s="56" t="n"/>
      <c r="E58" s="56" t="n"/>
      <c r="F58" s="56" t="n"/>
      <c r="G58" s="56" t="n"/>
      <c r="H58" s="56" t="n"/>
      <c r="I58" s="56" t="n"/>
      <c r="J58" s="56" t="n"/>
    </row>
    <row r="59" ht="15" customHeight="1" s="39">
      <c r="A59" s="46" t="inlineStr">
        <is>
          <t xml:space="preserve">  of which: Return of capital (SPV/shareholder-loan repayment)</t>
        </is>
      </c>
      <c r="B59" s="47" t="inlineStr">
        <is>
          <t>INR cr</t>
        </is>
      </c>
      <c r="C59" s="56" t="n"/>
      <c r="D59" s="56" t="n"/>
      <c r="E59" s="56" t="n"/>
      <c r="F59" s="56" t="n"/>
      <c r="G59" s="56" t="n"/>
      <c r="H59" s="56" t="n"/>
      <c r="I59" s="56" t="n"/>
      <c r="J59" s="56" t="n"/>
    </row>
    <row r="60" ht="15" customHeight="1" s="39">
      <c r="A60" s="46" t="inlineStr">
        <is>
          <t xml:space="preserve">  of which: Other</t>
        </is>
      </c>
      <c r="B60" s="47" t="inlineStr">
        <is>
          <t>INR cr</t>
        </is>
      </c>
      <c r="C60" s="56" t="n"/>
      <c r="D60" s="56" t="n"/>
      <c r="E60" s="56" t="n"/>
      <c r="F60" s="56" t="n"/>
      <c r="G60" s="56" t="n"/>
      <c r="H60" s="56" t="n"/>
      <c r="I60" s="56" t="n"/>
      <c r="J60" s="56" t="n"/>
    </row>
    <row r="61" ht="15" customHeight="1" s="39">
      <c r="A61" s="46" t="inlineStr">
        <is>
          <t>Return-of-capital % of distribution</t>
        </is>
      </c>
      <c r="B61" s="47" t="inlineStr">
        <is>
          <t>%</t>
        </is>
      </c>
      <c r="C61" s="49">
        <f>IF(OR(C59="",C56="",N(C56)=0),"",C59/C56)</f>
        <v/>
      </c>
      <c r="D61" s="49">
        <f>IF(OR(D59="",D56="",N(D56)=0),"",D59/D56)</f>
        <v/>
      </c>
      <c r="E61" s="49">
        <f>IF(OR(E59="",E56="",N(E56)=0),"",E59/E56)</f>
        <v/>
      </c>
      <c r="F61" s="49">
        <f>IF(OR(F59="",F56="",N(F56)=0),"",F59/F56)</f>
        <v/>
      </c>
      <c r="G61" s="49">
        <f>IF(OR(G59="",G56="",N(G56)=0),"",G59/G56)</f>
        <v/>
      </c>
      <c r="H61" s="49">
        <f>IF(OR(H59="",H56="",N(H56)=0),"",H59/H56)</f>
        <v/>
      </c>
      <c r="I61" s="49">
        <f>IF(OR(I59="",I56="",N(I56)=0),"",I59/I56)</f>
        <v/>
      </c>
      <c r="J61" s="49">
        <f>IF(OR(J59="",J56="",N(J56)=0),"",J59/J56)</f>
        <v/>
      </c>
    </row>
    <row r="62" ht="15" customHeight="1" s="39">
      <c r="A62" s="46" t="inlineStr">
        <is>
          <t>Distribution per Unit (DPU)</t>
        </is>
      </c>
      <c r="B62" s="47" t="inlineStr">
        <is>
          <t>INR/unit</t>
        </is>
      </c>
      <c r="C62" s="50">
        <f>IF(N(C25)=0,IF(C25="","",C25),C25)</f>
        <v/>
      </c>
      <c r="D62" s="50">
        <f>IF(N(D25)=0,IF(D25="","",D25),D25)</f>
        <v/>
      </c>
      <c r="E62" s="50">
        <f>IF(N(E25)=0,IF(E25="","",E25),E25)</f>
        <v/>
      </c>
      <c r="F62" s="50">
        <f>IF(N(F25)=0,IF(F25="","",F25),F25)</f>
        <v/>
      </c>
      <c r="G62" s="50">
        <f>IF(N(G25)=0,IF(G25="","",G25),G25)</f>
        <v/>
      </c>
      <c r="H62" s="50">
        <f>IF(N(H25)=0,IF(H25="","",H25),H25)</f>
        <v/>
      </c>
      <c r="I62" s="50">
        <f>IF(N(I25)=0,IF(I25="","",I25),I25)</f>
        <v/>
      </c>
      <c r="J62" s="50">
        <f>IF(N(J25)=0,IF(J25="","",J25),J25)</f>
        <v/>
      </c>
    </row>
    <row r="63" ht="15" customHeight="1" s="39">
      <c r="A63" s="46" t="inlineStr">
        <is>
          <t xml:space="preserve">  DPU: Interest</t>
        </is>
      </c>
      <c r="B63" s="47" t="inlineStr">
        <is>
          <t>INR/unit</t>
        </is>
      </c>
      <c r="C63" s="59" t="n"/>
      <c r="D63" s="59" t="n"/>
      <c r="E63" s="59" t="n"/>
      <c r="F63" s="59" t="n"/>
      <c r="G63" s="59" t="n"/>
      <c r="H63" s="59" t="n"/>
      <c r="I63" s="59" t="n"/>
      <c r="J63" s="59" t="n"/>
    </row>
    <row r="64" ht="15" customHeight="1" s="39">
      <c r="A64" s="46" t="inlineStr">
        <is>
          <t xml:space="preserve">  DPU: Dividend</t>
        </is>
      </c>
      <c r="B64" s="47" t="inlineStr">
        <is>
          <t>INR/unit</t>
        </is>
      </c>
      <c r="C64" s="59" t="n"/>
      <c r="D64" s="59" t="n"/>
      <c r="E64" s="59" t="n"/>
      <c r="F64" s="59" t="n"/>
      <c r="G64" s="59" t="n"/>
      <c r="H64" s="59" t="n"/>
      <c r="I64" s="59" t="n"/>
      <c r="J64" s="59" t="n"/>
    </row>
    <row r="65" ht="15" customHeight="1" s="39">
      <c r="A65" s="46" t="inlineStr">
        <is>
          <t xml:space="preserve">  DPU: Return of capital</t>
        </is>
      </c>
      <c r="B65" s="47" t="inlineStr">
        <is>
          <t>INR/unit</t>
        </is>
      </c>
      <c r="C65" s="59" t="n"/>
      <c r="D65" s="59" t="n"/>
      <c r="E65" s="59" t="n"/>
      <c r="F65" s="59" t="n"/>
      <c r="G65" s="59" t="n"/>
      <c r="H65" s="59" t="n"/>
      <c r="I65" s="59" t="n"/>
      <c r="J65" s="59" t="n"/>
    </row>
    <row r="66" ht="15" customHeight="1" s="39">
      <c r="A66" s="46" t="inlineStr">
        <is>
          <t xml:space="preserve">  DPU: Other</t>
        </is>
      </c>
      <c r="B66" s="47" t="inlineStr">
        <is>
          <t>INR/unit</t>
        </is>
      </c>
      <c r="C66" s="59" t="n"/>
      <c r="D66" s="59" t="n"/>
      <c r="E66" s="59" t="n"/>
      <c r="F66" s="59" t="n"/>
      <c r="G66" s="59" t="n"/>
      <c r="H66" s="59" t="n"/>
      <c r="I66" s="59" t="n"/>
      <c r="J66" s="59" t="n"/>
    </row>
    <row r="67" ht="15" customHeight="1" s="39">
      <c r="A67" s="69" t="inlineStr">
        <is>
          <t>Debt &amp; leverage profile</t>
        </is>
      </c>
    </row>
    <row r="68" ht="15" customHeight="1" s="39">
      <c r="A68" s="46" t="inlineStr">
        <is>
          <t>Gross Debt - external (banks/NCDs/LRD)</t>
        </is>
      </c>
      <c r="B68" s="47" t="inlineStr">
        <is>
          <t>INR cr</t>
        </is>
      </c>
      <c r="C68" s="48">
        <f>IF(C29="","",C29)</f>
        <v/>
      </c>
      <c r="D68" s="48">
        <f>IF(D29="","",D29)</f>
        <v/>
      </c>
      <c r="E68" s="48">
        <f>IF(E29="","",E29)</f>
        <v/>
      </c>
      <c r="F68" s="48">
        <f>IF(F29="","",F29)</f>
        <v/>
      </c>
      <c r="G68" s="57" t="n">
        <v>3456.348</v>
      </c>
      <c r="H68" s="57" t="n">
        <v>3873.714</v>
      </c>
      <c r="I68" s="57" t="n">
        <v>3763.969</v>
      </c>
      <c r="J68" s="57" t="n">
        <v>3016.823</v>
      </c>
    </row>
    <row r="69" ht="15" customHeight="1" s="39">
      <c r="A69" s="46" t="inlineStr">
        <is>
          <t>Shareholder / unitholder loans (Trust -&gt; SPVs)</t>
        </is>
      </c>
      <c r="B69" s="47" t="inlineStr">
        <is>
          <t>INR cr</t>
        </is>
      </c>
      <c r="C69" s="56" t="n"/>
      <c r="D69" s="56" t="n"/>
      <c r="E69" s="56" t="n"/>
      <c r="F69" s="56" t="n"/>
      <c r="G69" s="56" t="n"/>
      <c r="H69" s="56" t="n"/>
      <c r="I69" s="56" t="n"/>
      <c r="J69" s="57" t="n">
        <v>0</v>
      </c>
    </row>
    <row r="70" ht="15" customHeight="1" s="39">
      <c r="A70" s="46" t="inlineStr">
        <is>
          <t>Cash &amp; Cash Equivalents</t>
        </is>
      </c>
      <c r="B70" s="47" t="inlineStr">
        <is>
          <t>INR cr</t>
        </is>
      </c>
      <c r="C70" s="48">
        <f>IF(N(C30)=0,IF(C30="","",C30),C30)</f>
        <v/>
      </c>
      <c r="D70" s="48">
        <f>IF(N(D30)=0,IF(D30="","",D30),D30)</f>
        <v/>
      </c>
      <c r="E70" s="48">
        <f>IF(N(E30)=0,IF(E30="","",E30),E30)</f>
        <v/>
      </c>
      <c r="F70" s="48">
        <f>IF(N(F30)=0,IF(F30="","",F30),F30)</f>
        <v/>
      </c>
      <c r="G70" s="48">
        <f>IF(N(G30)=0,IF(G30="","",G30),G30)</f>
        <v/>
      </c>
      <c r="H70" s="48">
        <f>IF(N(H30)=0,IF(H30="","",H30),H30)</f>
        <v/>
      </c>
      <c r="I70" s="48">
        <f>IF(N(I30)=0,IF(I30="","",I30),I30)</f>
        <v/>
      </c>
      <c r="J70" s="48">
        <f>IF(N(J30)=0,IF(J30="","",J30),J30)</f>
        <v/>
      </c>
    </row>
    <row r="71" ht="15" customHeight="1" s="39">
      <c r="A71" s="46" t="inlineStr">
        <is>
          <t>Net Debt</t>
        </is>
      </c>
      <c r="B71" s="47" t="inlineStr">
        <is>
          <t>INR cr</t>
        </is>
      </c>
      <c r="C71" s="48">
        <f>IF(N(C31)=0,IF(C31="","",C31),C31)</f>
        <v/>
      </c>
      <c r="D71" s="48">
        <f>IF(N(D31)=0,IF(D31="","",D31),D31)</f>
        <v/>
      </c>
      <c r="E71" s="48">
        <f>IF(N(E31)=0,IF(E31="","",E31),E31)</f>
        <v/>
      </c>
      <c r="F71" s="48">
        <f>IF(N(F31)=0,IF(F31="","",F31),F31)</f>
        <v/>
      </c>
      <c r="G71" s="48">
        <f>IF(N(G31)=0,IF(G31="","",G31),G31)</f>
        <v/>
      </c>
      <c r="H71" s="48">
        <f>IF(N(H31)=0,IF(H31="","",H31),H31)</f>
        <v/>
      </c>
      <c r="I71" s="48">
        <f>IF(N(I31)=0,IF(I31="","",I31),I31)</f>
        <v/>
      </c>
      <c r="J71" s="48">
        <f>IF(N(J31)=0,IF(J31="","",J31),J31)</f>
        <v/>
      </c>
    </row>
    <row r="72" ht="15" customHeight="1" s="39">
      <c r="A72" s="46" t="inlineStr">
        <is>
          <t>Gross Asset Value (GAV)</t>
        </is>
      </c>
      <c r="B72" s="47" t="inlineStr">
        <is>
          <t>INR cr</t>
        </is>
      </c>
      <c r="C72" s="48">
        <f>IF(N(C28)=0,IF(C28="","",C28),C28)</f>
        <v/>
      </c>
      <c r="D72" s="48">
        <f>IF(N(D28)=0,IF(D28="","",D28),D28)</f>
        <v/>
      </c>
      <c r="E72" s="48">
        <f>IF(N(E28)=0,IF(E28="","",E28),E28)</f>
        <v/>
      </c>
      <c r="F72" s="48">
        <f>IF(N(F28)=0,IF(F28="","",F28),F28)</f>
        <v/>
      </c>
      <c r="G72" s="48">
        <f>IF(N(G28)=0,IF(G28="","",G28),G28)</f>
        <v/>
      </c>
      <c r="H72" s="48">
        <f>IF(N(H28)=0,IF(H28="","",H28),H28)</f>
        <v/>
      </c>
      <c r="I72" s="48">
        <f>IF(N(I28)=0,IF(I28="","",I28),I28)</f>
        <v/>
      </c>
      <c r="J72" s="48">
        <f>IF(N(J28)=0,IF(J28="","",J28),J28)</f>
        <v/>
      </c>
    </row>
    <row r="73" ht="15" customHeight="1" s="39">
      <c r="A73" s="46" t="inlineStr">
        <is>
          <t>Loan-to-Value (LTV)</t>
        </is>
      </c>
      <c r="B73" s="47" t="inlineStr">
        <is>
          <t>%</t>
        </is>
      </c>
      <c r="C73" s="49">
        <f>IF(N(C33)=0,IF(C33="","",C33),C33)</f>
        <v/>
      </c>
      <c r="D73" s="49">
        <f>IF(N(D33)=0,IF(D33="","",D33),D33)</f>
        <v/>
      </c>
      <c r="E73" s="49">
        <f>IF(N(E33)=0,IF(E33="","",E33),E33)</f>
        <v/>
      </c>
      <c r="F73" s="49">
        <f>IF(N(F33)=0,IF(F33="","",F33),F33)</f>
        <v/>
      </c>
      <c r="G73" s="49">
        <f>IF(N(G33)=0,IF(G33="","",G33),G33)</f>
        <v/>
      </c>
      <c r="H73" s="49">
        <f>IF(N(H33)=0,IF(H33="","",H33),H33)</f>
        <v/>
      </c>
      <c r="I73" s="49">
        <f>IF(N(I33)=0,IF(I33="","",I33),I33)</f>
        <v/>
      </c>
      <c r="J73" s="49">
        <f>IF(N(J33)=0,IF(J33="","",J33),J33)</f>
        <v/>
      </c>
    </row>
    <row r="74" ht="15" customHeight="1" s="39">
      <c r="A74" s="46" t="inlineStr">
        <is>
          <t>Cost of Debt (wtd avg)</t>
        </is>
      </c>
      <c r="B74" s="47" t="inlineStr">
        <is>
          <t>%</t>
        </is>
      </c>
      <c r="C74" s="49">
        <f>IF(N(C40)=0,IF(C40="","",C40),C40)</f>
        <v/>
      </c>
      <c r="D74" s="49">
        <f>IF(N(D40)=0,IF(D40="","",D40),D40)</f>
        <v/>
      </c>
      <c r="E74" s="49">
        <f>IF(N(E40)=0,IF(E40="","",E40),E40)</f>
        <v/>
      </c>
      <c r="F74" s="49">
        <f>IF(N(F40)=0,IF(F40="","",F40),F40)</f>
        <v/>
      </c>
      <c r="G74" s="49">
        <f>IF(N(G40)=0,IF(G40="","",G40),G40)</f>
        <v/>
      </c>
      <c r="H74" s="49">
        <f>IF(N(H40)=0,IF(H40="","",H40),H40)</f>
        <v/>
      </c>
      <c r="I74" s="49">
        <f>IF(N(I40)=0,IF(I40="","",I40),I40)</f>
        <v/>
      </c>
      <c r="J74" s="49">
        <f>IF(N(J40)=0,IF(J40="","",J40),J40)</f>
        <v/>
      </c>
    </row>
    <row r="75" ht="15" customHeight="1" s="39">
      <c r="A75" s="46" t="inlineStr">
        <is>
          <t>% Floating rate</t>
        </is>
      </c>
      <c r="B75" s="47" t="inlineStr">
        <is>
          <t>%</t>
        </is>
      </c>
      <c r="C75" s="61" t="n"/>
      <c r="D75" s="61" t="n"/>
      <c r="E75" s="61" t="n"/>
      <c r="F75" s="61" t="n"/>
      <c r="G75" s="61" t="n"/>
      <c r="H75" s="61" t="n"/>
      <c r="I75" s="61" t="n"/>
      <c r="J75" s="62" t="n">
        <v>0.9500999999999999</v>
      </c>
    </row>
    <row r="76" ht="15" customHeight="1" s="39">
      <c r="A76" s="46" t="inlineStr">
        <is>
          <t>Wtd-avg debt maturity</t>
        </is>
      </c>
      <c r="B76" s="47" t="inlineStr">
        <is>
          <t>years</t>
        </is>
      </c>
      <c r="C76" s="70" t="n"/>
      <c r="D76" s="70" t="n"/>
      <c r="E76" s="70" t="n"/>
      <c r="F76" s="70" t="n"/>
      <c r="G76" s="70" t="n"/>
      <c r="H76" s="70" t="n"/>
      <c r="I76" s="70" t="n"/>
      <c r="J76" s="70" t="n"/>
    </row>
    <row r="77" ht="15" customHeight="1" s="39">
      <c r="A77" s="46" t="inlineStr">
        <is>
          <t>Undrawn debt headroom</t>
        </is>
      </c>
      <c r="B77" s="47" t="inlineStr">
        <is>
          <t>INR cr</t>
        </is>
      </c>
      <c r="C77" s="56" t="n"/>
      <c r="D77" s="56" t="n"/>
      <c r="E77" s="56" t="n"/>
      <c r="F77" s="56" t="n"/>
      <c r="G77" s="57" t="n">
        <v>386.086</v>
      </c>
      <c r="H77" s="57" t="n">
        <v>730.086</v>
      </c>
      <c r="I77" s="57" t="n">
        <v>360</v>
      </c>
      <c r="J77" s="57" t="n">
        <v>50</v>
      </c>
    </row>
    <row r="78" ht="15" customHeight="1" s="39">
      <c r="A78" s="46" t="inlineStr">
        <is>
          <t>Interest cover (NOI / Finance cost)</t>
        </is>
      </c>
      <c r="B78" s="47" t="inlineStr">
        <is>
          <t>x</t>
        </is>
      </c>
      <c r="C78" s="71">
        <f>IF(OR(C13="",N(C17)=0),"",C13/C17)</f>
        <v/>
      </c>
      <c r="D78" s="71">
        <f>IF(OR(D13="",N(D17)=0),"",D13/D17)</f>
        <v/>
      </c>
      <c r="E78" s="71">
        <f>IF(OR(E13="",N(E17)=0),"",E13/E17)</f>
        <v/>
      </c>
      <c r="F78" s="71">
        <f>IF(OR(F13="",N(F17)=0),"",F13/F17)</f>
        <v/>
      </c>
      <c r="G78" s="71">
        <f>IF(OR(G13="",N(G17)=0),"",G13/G17)</f>
        <v/>
      </c>
      <c r="H78" s="71">
        <f>IF(OR(H13="",N(H17)=0),"",H13/H17)</f>
        <v/>
      </c>
      <c r="I78" s="71">
        <f>IF(OR(I13="",N(I17)=0),"",I13/I17)</f>
        <v/>
      </c>
      <c r="J78" s="71">
        <f>IF(OR(J13="",N(J17)=0),"",J13/J17)</f>
        <v/>
      </c>
    </row>
    <row r="80" ht="15" customHeight="1" s="39">
      <c r="A80" s="43" t="inlineStr">
        <is>
          <t>Distribution-component split is shown where the issuer disclosed it (often per-unit for Q4 only in older years); blanks = not separately disclosed.</t>
        </is>
      </c>
    </row>
  </sheetData>
  <hyperlinks>
    <hyperlink xmlns:r="http://schemas.openxmlformats.org/officeDocument/2006/relationships" ref="H9" location="page=314" display="file:///Users/ishan/Downloads/INDIAN%20REITS/Bagmane/Final_Offer_Document%20%28RHP%29.pdf#page=314" r:id="rId1"/>
    <hyperlink xmlns:r="http://schemas.openxmlformats.org/officeDocument/2006/relationships" ref="I9" location="page=314" display="file:///Users/ishan/Downloads/INDIAN%20REITS/Bagmane/Final_Offer_Document%20%28RHP%29.pdf#page=314" r:id="rId2"/>
    <hyperlink xmlns:r="http://schemas.openxmlformats.org/officeDocument/2006/relationships" ref="J9" location="page=314" display="file:///Users/ishan/Downloads/INDIAN%20REITS/Bagmane/Final_Offer_Document%20%28RHP%29.pdf#page=314" r:id="rId3"/>
    <hyperlink xmlns:r="http://schemas.openxmlformats.org/officeDocument/2006/relationships" ref="S9" location="page=5" display="file:///Users/ishan/Downloads/INDIAN%20REITS/Bagmane/bagmane_prime_office_reit_-_financial_statements.pdf#page=5" r:id="rId4"/>
    <hyperlink xmlns:r="http://schemas.openxmlformats.org/officeDocument/2006/relationships" ref="H10" location="page=314" display="file:///Users/ishan/Downloads/INDIAN%20REITS/Bagmane/Final_Offer_Document%20%28RHP%29.pdf#page=314" r:id="rId5"/>
    <hyperlink xmlns:r="http://schemas.openxmlformats.org/officeDocument/2006/relationships" ref="I10" location="page=314" display="file:///Users/ishan/Downloads/INDIAN%20REITS/Bagmane/Final_Offer_Document%20%28RHP%29.pdf#page=314" r:id="rId6"/>
    <hyperlink xmlns:r="http://schemas.openxmlformats.org/officeDocument/2006/relationships" ref="J10" location="page=314" display="file:///Users/ishan/Downloads/INDIAN%20REITS/Bagmane/Final_Offer_Document%20%28RHP%29.pdf#page=314" r:id="rId7"/>
    <hyperlink xmlns:r="http://schemas.openxmlformats.org/officeDocument/2006/relationships" ref="S10" location="page=5" display="file:///Users/ishan/Downloads/INDIAN%20REITS/Bagmane/bagmane_prime_office_reit_-_financial_statements.pdf#page=5" r:id="rId8"/>
    <hyperlink xmlns:r="http://schemas.openxmlformats.org/officeDocument/2006/relationships" ref="H13" location="page=361" display="file:///Users/ishan/Downloads/INDIAN%20REITS/Bagmane/Final_Offer_Document%20%28RHP%29.pdf#page=361" r:id="rId9"/>
    <hyperlink xmlns:r="http://schemas.openxmlformats.org/officeDocument/2006/relationships" ref="I13" location="page=361" display="file:///Users/ishan/Downloads/INDIAN%20REITS/Bagmane/Final_Offer_Document%20%28RHP%29.pdf#page=361" r:id="rId10"/>
    <hyperlink xmlns:r="http://schemas.openxmlformats.org/officeDocument/2006/relationships" ref="J13" location="page=361" display="file:///Users/ishan/Downloads/INDIAN%20REITS/Bagmane/Final_Offer_Document%20%28RHP%29.pdf#page=361" r:id="rId11"/>
    <hyperlink xmlns:r="http://schemas.openxmlformats.org/officeDocument/2006/relationships" ref="H15" location="page=362" display="file:///Users/ishan/Downloads/INDIAN%20REITS/Bagmane/Final_Offer_Document%20%28RHP%29.pdf#page=362" r:id="rId12"/>
    <hyperlink xmlns:r="http://schemas.openxmlformats.org/officeDocument/2006/relationships" ref="I15" location="page=362" display="file:///Users/ishan/Downloads/INDIAN%20REITS/Bagmane/Final_Offer_Document%20%28RHP%29.pdf#page=362" r:id="rId13"/>
    <hyperlink xmlns:r="http://schemas.openxmlformats.org/officeDocument/2006/relationships" ref="J15" location="page=362" display="file:///Users/ishan/Downloads/INDIAN%20REITS/Bagmane/Final_Offer_Document%20%28RHP%29.pdf#page=362" r:id="rId14"/>
    <hyperlink xmlns:r="http://schemas.openxmlformats.org/officeDocument/2006/relationships" ref="H17" location="page=314" display="file:///Users/ishan/Downloads/INDIAN%20REITS/Bagmane/Final_Offer_Document%20%28RHP%29.pdf#page=314" r:id="rId15"/>
    <hyperlink xmlns:r="http://schemas.openxmlformats.org/officeDocument/2006/relationships" ref="I17" location="page=314" display="file:///Users/ishan/Downloads/INDIAN%20REITS/Bagmane/Final_Offer_Document%20%28RHP%29.pdf#page=314" r:id="rId16"/>
    <hyperlink xmlns:r="http://schemas.openxmlformats.org/officeDocument/2006/relationships" ref="J17" location="page=314" display="file:///Users/ishan/Downloads/INDIAN%20REITS/Bagmane/Final_Offer_Document%20%28RHP%29.pdf#page=314" r:id="rId17"/>
    <hyperlink xmlns:r="http://schemas.openxmlformats.org/officeDocument/2006/relationships" ref="S17" location="page=12" display="file:///Users/ishan/Downloads/INDIAN%20REITS/Bagmane/bagmane_prime_office_reit_-_financial_results.pdf#page=12" r:id="rId18"/>
    <hyperlink xmlns:r="http://schemas.openxmlformats.org/officeDocument/2006/relationships" ref="H18" location="page=314" display="file:///Users/ishan/Downloads/INDIAN%20REITS/Bagmane/Final_Offer_Document%20%28RHP%29.pdf#page=314" r:id="rId19"/>
    <hyperlink xmlns:r="http://schemas.openxmlformats.org/officeDocument/2006/relationships" ref="I18" location="page=314" display="file:///Users/ishan/Downloads/INDIAN%20REITS/Bagmane/Final_Offer_Document%20%28RHP%29.pdf#page=314" r:id="rId20"/>
    <hyperlink xmlns:r="http://schemas.openxmlformats.org/officeDocument/2006/relationships" ref="J18" location="page=314" display="file:///Users/ishan/Downloads/INDIAN%20REITS/Bagmane/Final_Offer_Document%20%28RHP%29.pdf#page=314" r:id="rId21"/>
    <hyperlink xmlns:r="http://schemas.openxmlformats.org/officeDocument/2006/relationships" ref="S18" location="page=5" display="file:///Users/ishan/Downloads/INDIAN%20REITS/Bagmane/bagmane_prime_office_reit_-_financial_statements.pdf#page=5" r:id="rId22"/>
    <hyperlink xmlns:r="http://schemas.openxmlformats.org/officeDocument/2006/relationships" ref="H19" location="page=314" display="file:///Users/ishan/Downloads/INDIAN%20REITS/Bagmane/Final_Offer_Document%20%28RHP%29.pdf#page=314" r:id="rId23"/>
    <hyperlink xmlns:r="http://schemas.openxmlformats.org/officeDocument/2006/relationships" ref="I19" location="page=314" display="file:///Users/ishan/Downloads/INDIAN%20REITS/Bagmane/Final_Offer_Document%20%28RHP%29.pdf#page=314" r:id="rId24"/>
    <hyperlink xmlns:r="http://schemas.openxmlformats.org/officeDocument/2006/relationships" ref="J19" location="page=314" display="file:///Users/ishan/Downloads/INDIAN%20REITS/Bagmane/Final_Offer_Document%20%28RHP%29.pdf#page=314" r:id="rId25"/>
    <hyperlink xmlns:r="http://schemas.openxmlformats.org/officeDocument/2006/relationships" ref="S19" location="page=5" display="file:///Users/ishan/Downloads/INDIAN%20REITS/Bagmane/bagmane_prime_office_reit_-_financial_statements.pdf#page=5" r:id="rId26"/>
    <hyperlink xmlns:r="http://schemas.openxmlformats.org/officeDocument/2006/relationships" ref="H20" location="page=314" display="file:///Users/ishan/Downloads/INDIAN%20REITS/Bagmane/Final_Offer_Document%20%28RHP%29.pdf#page=314" r:id="rId27"/>
    <hyperlink xmlns:r="http://schemas.openxmlformats.org/officeDocument/2006/relationships" ref="I20" location="page=314" display="file:///Users/ishan/Downloads/INDIAN%20REITS/Bagmane/Final_Offer_Document%20%28RHP%29.pdf#page=314" r:id="rId28"/>
    <hyperlink xmlns:r="http://schemas.openxmlformats.org/officeDocument/2006/relationships" ref="J20" location="page=314" display="file:///Users/ishan/Downloads/INDIAN%20REITS/Bagmane/Final_Offer_Document%20%28RHP%29.pdf#page=314" r:id="rId29"/>
    <hyperlink xmlns:r="http://schemas.openxmlformats.org/officeDocument/2006/relationships" ref="S20" location="page=5" display="file:///Users/ishan/Downloads/INDIAN%20REITS/Bagmane/bagmane_prime_office_reit_-_financial_statements.pdf#page=5" r:id="rId30"/>
    <hyperlink xmlns:r="http://schemas.openxmlformats.org/officeDocument/2006/relationships" ref="J28" location="page=332" display="file:///Users/ishan/Downloads/INDIAN%20REITS/Bagmane/Final_Offer_Document%20%28RHP%29.pdf#page=332" r:id="rId31"/>
    <hyperlink xmlns:r="http://schemas.openxmlformats.org/officeDocument/2006/relationships" ref="H29" location="page=313" display="file:///Users/ishan/Downloads/INDIAN%20REITS/Bagmane/Final_Offer_Document%20%28RHP%29.pdf#page=313" r:id="rId32"/>
    <hyperlink xmlns:r="http://schemas.openxmlformats.org/officeDocument/2006/relationships" ref="I29" location="page=313" display="file:///Users/ishan/Downloads/INDIAN%20REITS/Bagmane/Final_Offer_Document%20%28RHP%29.pdf#page=313" r:id="rId33"/>
    <hyperlink xmlns:r="http://schemas.openxmlformats.org/officeDocument/2006/relationships" ref="J29" location="page=317" display="file:///Users/ishan/Downloads/INDIAN%20REITS/Bagmane/Final_Offer_Document%20%28RHP%29.pdf#page=317" r:id="rId34"/>
    <hyperlink xmlns:r="http://schemas.openxmlformats.org/officeDocument/2006/relationships" ref="S29" location="page=12" display="file:///Users/ishan/Downloads/INDIAN%20REITS/Bagmane/bagmane_prime_office_reit_-_financial_results.pdf#page=12" r:id="rId35"/>
    <hyperlink xmlns:r="http://schemas.openxmlformats.org/officeDocument/2006/relationships" ref="H30" location="page=313" display="file:///Users/ishan/Downloads/INDIAN%20REITS/Bagmane/Final_Offer_Document%20%28RHP%29.pdf#page=313" r:id="rId36"/>
    <hyperlink xmlns:r="http://schemas.openxmlformats.org/officeDocument/2006/relationships" ref="I30" location="page=313" display="file:///Users/ishan/Downloads/INDIAN%20REITS/Bagmane/Final_Offer_Document%20%28RHP%29.pdf#page=313" r:id="rId37"/>
    <hyperlink xmlns:r="http://schemas.openxmlformats.org/officeDocument/2006/relationships" ref="J30" location="page=313" display="file:///Users/ishan/Downloads/INDIAN%20REITS/Bagmane/Final_Offer_Document%20%28RHP%29.pdf#page=313" r:id="rId38"/>
    <hyperlink xmlns:r="http://schemas.openxmlformats.org/officeDocument/2006/relationships" ref="S30" location="page=6" display="file:///Users/ishan/Downloads/INDIAN%20REITS/Bagmane/bagmane_prime_office_reit_-_financial_statements.pdf#page=6" r:id="rId39"/>
    <hyperlink xmlns:r="http://schemas.openxmlformats.org/officeDocument/2006/relationships" ref="H32" location="page=313" display="file:///Users/ishan/Downloads/INDIAN%20REITS/Bagmane/Final_Offer_Document%20%28RHP%29.pdf#page=313" r:id="rId40"/>
    <hyperlink xmlns:r="http://schemas.openxmlformats.org/officeDocument/2006/relationships" ref="I32" location="page=313" display="file:///Users/ishan/Downloads/INDIAN%20REITS/Bagmane/Final_Offer_Document%20%28RHP%29.pdf#page=313" r:id="rId41"/>
    <hyperlink xmlns:r="http://schemas.openxmlformats.org/officeDocument/2006/relationships" ref="J32" location="page=313" display="file:///Users/ishan/Downloads/INDIAN%20REITS/Bagmane/Final_Offer_Document%20%28RHP%29.pdf#page=313" r:id="rId42"/>
    <hyperlink xmlns:r="http://schemas.openxmlformats.org/officeDocument/2006/relationships" ref="S32" location="page=4" display="file:///Users/ishan/Downloads/INDIAN%20REITS/Bagmane/bagmane_prime_office_reit_-_financial_statements.pdf#page=4" r:id="rId43"/>
    <hyperlink xmlns:r="http://schemas.openxmlformats.org/officeDocument/2006/relationships" ref="J34" location="page=415" display="file:///Users/ishan/Downloads/INDIAN%20REITS/Bagmane/Final_Offer_Document%20%28RHP%29.pdf#page=415" r:id="rId44"/>
    <hyperlink xmlns:r="http://schemas.openxmlformats.org/officeDocument/2006/relationships" ref="J36" location="page=409" display="file:///Users/ishan/Downloads/INDIAN%20REITS/Bagmane/Final_Offer_Document%20%28RHP%29.pdf#page=409" r:id="rId45"/>
    <hyperlink xmlns:r="http://schemas.openxmlformats.org/officeDocument/2006/relationships" ref="J37" location="page=409" display="file:///Users/ishan/Downloads/INDIAN%20REITS/Bagmane/Final_Offer_Document%20%28RHP%29.pdf#page=409" r:id="rId46"/>
    <hyperlink xmlns:r="http://schemas.openxmlformats.org/officeDocument/2006/relationships" ref="J42" location="page=331" display="file:///Users/ishan/Downloads/INDIAN%20REITS/Bagmane/Final_Offer_Document%20%28RHP%29.pdf#page=331" r:id="rId47"/>
    <hyperlink xmlns:r="http://schemas.openxmlformats.org/officeDocument/2006/relationships" ref="J43" location="page=332" display="file:///Users/ishan/Downloads/INDIAN%20REITS/Bagmane/Final_Offer_Document%20%28RHP%29.pdf#page=332" r:id="rId48"/>
    <hyperlink xmlns:r="http://schemas.openxmlformats.org/officeDocument/2006/relationships" ref="J44" location="page=332" display="file:///Users/ishan/Downloads/INDIAN%20REITS/Bagmane/Final_Offer_Document%20%28RHP%29.pdf#page=332" r:id="rId49"/>
    <hyperlink xmlns:r="http://schemas.openxmlformats.org/officeDocument/2006/relationships" ref="J45" location="page=332" display="file:///Users/ishan/Downloads/INDIAN%20REITS/Bagmane/Final_Offer_Document%20%28RHP%29.pdf#page=332" r:id="rId50"/>
    <hyperlink xmlns:r="http://schemas.openxmlformats.org/officeDocument/2006/relationships" ref="J47" location="page=332" display="file:///Users/ishan/Downloads/INDIAN%20REITS/Bagmane/Final_Offer_Document%20%28RHP%29.pdf#page=332" r:id="rId51"/>
    <hyperlink xmlns:r="http://schemas.openxmlformats.org/officeDocument/2006/relationships" ref="J48" location="page=275" display="file:///Users/ishan/Downloads/INDIAN%20REITS/Bagmane/Final_Offer_Document%20%28RHP%29.pdf#page=275" r:id="rId52"/>
    <hyperlink xmlns:r="http://schemas.openxmlformats.org/officeDocument/2006/relationships" ref="G68" display="file:///Users/ishan/Downloads/INDIAN%20REITS/Bagmane/Final_Offer_Document%20%28RHP%29.pdf" r:id="rId53"/>
    <hyperlink xmlns:r="http://schemas.openxmlformats.org/officeDocument/2006/relationships" ref="H68" display="file:///Users/ishan/Downloads/INDIAN%20REITS/Bagmane/Final_Offer_Document%20%28RHP%29.pdf" r:id="rId54"/>
    <hyperlink xmlns:r="http://schemas.openxmlformats.org/officeDocument/2006/relationships" ref="I68" display="file:///Users/ishan/Downloads/INDIAN%20REITS/Bagmane/Final_Offer_Document%20%28RHP%29.pdf" r:id="rId55"/>
    <hyperlink xmlns:r="http://schemas.openxmlformats.org/officeDocument/2006/relationships" ref="J68" display="file:///Users/ishan/Downloads/INDIAN%20REITS/Bagmane/Final_Offer_Document%20%28RHP%29.pdf" r:id="rId56"/>
    <hyperlink xmlns:r="http://schemas.openxmlformats.org/officeDocument/2006/relationships" ref="J69" display="file:///Users/ishan/Downloads/INDIAN%20REITS/Bagmane/bagmane_prime_office_reit_-_financial_results.pdf" r:id="rId57"/>
    <hyperlink xmlns:r="http://schemas.openxmlformats.org/officeDocument/2006/relationships" ref="J75" display="file:///Users/ishan/Downloads/INDIAN%20REITS/Bagmane/Final_Offer_Document%20%28RHP%29.pdf" r:id="rId58"/>
    <hyperlink xmlns:r="http://schemas.openxmlformats.org/officeDocument/2006/relationships" ref="G77" display="file:///Users/ishan/Downloads/INDIAN%20REITS/Bagmane/Final_Offer_Document%20%28RHP%29.pdf" r:id="rId59"/>
    <hyperlink xmlns:r="http://schemas.openxmlformats.org/officeDocument/2006/relationships" ref="H77" display="file:///Users/ishan/Downloads/INDIAN%20REITS/Bagmane/Final_Offer_Document%20%28RHP%29.pdf" r:id="rId60"/>
    <hyperlink xmlns:r="http://schemas.openxmlformats.org/officeDocument/2006/relationships" ref="I77" display="file:///Users/ishan/Downloads/INDIAN%20REITS/Bagmane/Final_Offer_Document%20%28RHP%29.pdf" r:id="rId61"/>
    <hyperlink xmlns:r="http://schemas.openxmlformats.org/officeDocument/2006/relationships" ref="J77" display="file:///Users/ishan/Downloads/INDIAN%20REITS/Bagmane/Final_Offer_Document%20%28RHP%29.pdf" r:id="rId62"/>
  </hyperlink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C49"/>
  <sheetViews>
    <sheetView showFormulas="0" showGridLines="1" showRowColHeaders="1" showZeros="1" rightToLeft="0" tabSelected="0" showOutlineSymbols="1" defaultGridColor="1" view="normal" topLeftCell="A1" colorId="64" zoomScale="65" zoomScaleNormal="65" zoomScalePageLayoutView="100" workbookViewId="0">
      <selection pane="topLeft" activeCell="A1" activeCellId="0" sqref="A1"/>
    </sheetView>
  </sheetViews>
  <sheetFormatPr baseColWidth="8" defaultColWidth="8.43359375" defaultRowHeight="15" customHeight="0" zeroHeight="0" outlineLevelRow="0"/>
  <cols>
    <col width="42" customWidth="1" style="38" min="1" max="1"/>
    <col width="70" customWidth="1" style="38" min="2" max="2"/>
    <col width="40" customWidth="1" style="38" min="3" max="3"/>
  </cols>
  <sheetData>
    <row r="1" ht="15" customHeight="1" s="39">
      <c r="A1" s="40" t="inlineStr">
        <is>
          <t>Indian Listed REITs - Coverage, Definitions &amp; Sources</t>
        </is>
      </c>
    </row>
    <row r="2" ht="15" customHeight="1" s="39">
      <c r="A2" s="38" t="inlineStr">
        <is>
          <t>REITs Covered</t>
        </is>
      </c>
    </row>
    <row r="3" ht="15" customHeight="1" s="39">
      <c r="A3" s="38" t="inlineStr">
        <is>
          <t>REIT (sector)</t>
        </is>
      </c>
      <c r="B3" s="38" t="inlineStr">
        <is>
          <t>Sponsor</t>
        </is>
      </c>
      <c r="C3" s="38" t="inlineStr">
        <is>
          <t>Source report &amp; period (fill in)</t>
        </is>
      </c>
    </row>
    <row r="4" ht="15" customHeight="1" s="39">
      <c r="A4" s="38" t="inlineStr">
        <is>
          <t>Embassy Office Parks REIT (Office)</t>
        </is>
      </c>
      <c r="B4" s="38" t="inlineStr">
        <is>
          <t>Embassy Group / Blackstone</t>
        </is>
      </c>
    </row>
    <row r="5" ht="15" customHeight="1" s="39">
      <c r="A5" s="38" t="inlineStr">
        <is>
          <t>Mindspace Business Parks REIT (Office)</t>
        </is>
      </c>
      <c r="B5" s="38" t="inlineStr">
        <is>
          <t>K Raheja Corp</t>
        </is>
      </c>
    </row>
    <row r="6" ht="15" customHeight="1" s="39">
      <c r="A6" s="38" t="inlineStr">
        <is>
          <t>Brookfield India Real Estate Trust (Office)</t>
        </is>
      </c>
      <c r="B6" s="38" t="inlineStr">
        <is>
          <t>Brookfield</t>
        </is>
      </c>
    </row>
    <row r="7" ht="15" customHeight="1" s="39">
      <c r="A7" s="38" t="inlineStr">
        <is>
          <t>Nexus Select Trust (Retail)</t>
        </is>
      </c>
      <c r="B7" s="38" t="inlineStr">
        <is>
          <t>Blackstone</t>
        </is>
      </c>
    </row>
    <row r="8" ht="15" customHeight="1" s="39">
      <c r="A8" s="38" t="inlineStr">
        <is>
          <t>Knowledge Realty Trust (Office)</t>
        </is>
      </c>
      <c r="B8" s="38" t="inlineStr">
        <is>
          <t>Sattva Group / Blackstone</t>
        </is>
      </c>
    </row>
    <row r="9" ht="15" customHeight="1" s="39">
      <c r="A9" s="38" t="inlineStr">
        <is>
          <t>Bagmane Developers REIT (Office)</t>
        </is>
      </c>
      <c r="B9" s="38" t="inlineStr">
        <is>
          <t>Bagmane Developers</t>
        </is>
      </c>
    </row>
    <row r="11" ht="15" customHeight="1" s="39">
      <c r="A11" s="38" t="inlineStr">
        <is>
          <t>Metric Definitions</t>
        </is>
      </c>
    </row>
    <row r="12" ht="15" customHeight="1" s="39">
      <c r="A12" s="38" t="inlineStr">
        <is>
          <t>Metric</t>
        </is>
      </c>
      <c r="B12" s="38" t="inlineStr">
        <is>
          <t>Definition</t>
        </is>
      </c>
      <c r="C12" s="38" t="inlineStr">
        <is>
          <t>Source / Page Reference</t>
        </is>
      </c>
    </row>
    <row r="13" ht="15" customHeight="1" s="39">
      <c r="A13" s="38" t="inlineStr">
        <is>
          <t>Revenue from Operations</t>
        </is>
      </c>
      <c r="B13" s="38" t="inlineStr">
        <is>
          <t>Rental &amp; related income from leasing the portfolio (consolidated); interest &amp; dividend income from SPVs (standalone).</t>
        </is>
      </c>
    </row>
    <row r="14" ht="15" customHeight="1" s="39">
      <c r="A14" s="38" t="inlineStr">
        <is>
          <t>Other Income</t>
        </is>
      </c>
      <c r="B14" s="38" t="inlineStr">
        <is>
          <t>Non-operating income - interest on deposits, fair-value gains, miscellaneous.</t>
        </is>
      </c>
    </row>
    <row r="15" ht="15" customHeight="1" s="39">
      <c r="A15" s="38" t="inlineStr">
        <is>
          <t>Total Income</t>
        </is>
      </c>
      <c r="B15" s="38" t="inlineStr">
        <is>
          <t>Revenue from Operations + Other Income.</t>
        </is>
      </c>
    </row>
    <row r="16" ht="15" customHeight="1" s="39">
      <c r="A16" s="38" t="inlineStr">
        <is>
          <t>Property / Operating Expenses</t>
        </is>
      </c>
      <c r="B16" s="38" t="inlineStr">
        <is>
          <t>Direct property operating, maintenance, utilities &amp; related costs.</t>
        </is>
      </c>
    </row>
    <row r="17" ht="15" customHeight="1" s="39">
      <c r="A17" s="38" t="inlineStr">
        <is>
          <t>Net Operating Income (NOI)</t>
        </is>
      </c>
      <c r="B17" s="38" t="inlineStr">
        <is>
          <t>Property revenue less direct property operating expenses; core REIT profitability measure.</t>
        </is>
      </c>
    </row>
    <row r="18" ht="15" customHeight="1" s="39">
      <c r="A18" s="38" t="inlineStr">
        <is>
          <t>NOI Margin</t>
        </is>
      </c>
      <c r="B18" s="38" t="inlineStr">
        <is>
          <t>NOI / Revenue from Operations.</t>
        </is>
      </c>
    </row>
    <row r="19" ht="15" customHeight="1" s="39">
      <c r="A19" s="38" t="inlineStr">
        <is>
          <t>EBITDA</t>
        </is>
      </c>
      <c r="B19" s="38" t="inlineStr">
        <is>
          <t>Earnings before interest, tax, depreciation &amp; amortisation.</t>
        </is>
      </c>
    </row>
    <row r="20" ht="15" customHeight="1" s="39">
      <c r="A20" s="38" t="inlineStr">
        <is>
          <t>EBITDA Margin</t>
        </is>
      </c>
      <c r="B20" s="38" t="inlineStr">
        <is>
          <t>EBITDA / Revenue from Operations.</t>
        </is>
      </c>
    </row>
    <row r="21" ht="15" customHeight="1" s="39">
      <c r="A21" s="38" t="inlineStr">
        <is>
          <t>Finance Costs</t>
        </is>
      </c>
      <c r="B21" s="38" t="inlineStr">
        <is>
          <t>Interest and other borrowing costs.</t>
        </is>
      </c>
    </row>
    <row r="22" ht="15" customHeight="1" s="39">
      <c r="A22" s="38" t="inlineStr">
        <is>
          <t>Depreciation &amp; Amortisation</t>
        </is>
      </c>
      <c r="B22" s="38" t="inlineStr">
        <is>
          <t>Non-cash charge for property &amp; intangible depreciation.</t>
        </is>
      </c>
    </row>
    <row r="23" ht="15" customHeight="1" s="39">
      <c r="A23" s="38" t="inlineStr">
        <is>
          <t>Profit Before Tax (PBT)</t>
        </is>
      </c>
      <c r="B23" s="38" t="inlineStr">
        <is>
          <t>Profit before income tax.</t>
        </is>
      </c>
    </row>
    <row r="24" ht="15" customHeight="1" s="39">
      <c r="A24" s="38" t="inlineStr">
        <is>
          <t>Profit After Tax (PAT)</t>
        </is>
      </c>
      <c r="B24" s="38" t="inlineStr">
        <is>
          <t>Net profit after tax.</t>
        </is>
      </c>
    </row>
    <row r="25" ht="15" customHeight="1" s="39">
      <c r="A25" s="38" t="inlineStr">
        <is>
          <t>PAT Margin</t>
        </is>
      </c>
      <c r="B25" s="38" t="inlineStr">
        <is>
          <t>PAT / Revenue from Operations.</t>
        </is>
      </c>
    </row>
    <row r="26" ht="15" customHeight="1" s="39">
      <c r="A26" s="38" t="inlineStr">
        <is>
          <t>Net Distributable Cash Flow (NDCF)</t>
        </is>
      </c>
      <c r="B26" s="38" t="inlineStr">
        <is>
          <t>Cash available for distribution to unitholders, computed per SEBI REIT Regulations.</t>
        </is>
      </c>
    </row>
    <row r="27" ht="15" customHeight="1" s="39">
      <c r="A27" s="38" t="inlineStr">
        <is>
          <t>Total Distribution</t>
        </is>
      </c>
      <c r="B27" s="38" t="inlineStr">
        <is>
          <t>Aggregate distributed / declared to unitholders (interest + dividend + capital return + other).</t>
        </is>
      </c>
    </row>
    <row r="28" ht="15" customHeight="1" s="39">
      <c r="A28" s="38" t="inlineStr">
        <is>
          <t>Distribution per Unit (DPU)</t>
        </is>
      </c>
      <c r="B28" s="38" t="inlineStr">
        <is>
          <t>Total distribution / units outstanding.</t>
        </is>
      </c>
    </row>
    <row r="29" ht="15" customHeight="1" s="39">
      <c r="A29" s="38" t="inlineStr">
        <is>
          <t>NDCF Payout Ratio</t>
        </is>
      </c>
      <c r="B29" s="38" t="inlineStr">
        <is>
          <t>Total Distribution / NDCF.</t>
        </is>
      </c>
    </row>
    <row r="30" ht="15" customHeight="1" s="39">
      <c r="A30" s="38" t="inlineStr">
        <is>
          <t>Gross Asset Value (GAV) / AUM</t>
        </is>
      </c>
      <c r="B30" s="38" t="inlineStr">
        <is>
          <t>Fair value of the REIT portfolio / assets under management.</t>
        </is>
      </c>
    </row>
    <row r="31" ht="15" customHeight="1" s="39">
      <c r="A31" s="38" t="inlineStr">
        <is>
          <t>Gross Debt</t>
        </is>
      </c>
      <c r="B31" s="38" t="inlineStr">
        <is>
          <t>Total borrowings outstanding (principal).</t>
        </is>
      </c>
    </row>
    <row r="32" ht="15" customHeight="1" s="39">
      <c r="A32" s="38" t="inlineStr">
        <is>
          <t>Cash &amp; Cash Equivalents</t>
        </is>
      </c>
      <c r="B32" s="38" t="inlineStr">
        <is>
          <t>Cash and liquid investments.</t>
        </is>
      </c>
    </row>
    <row r="33" ht="15" customHeight="1" s="39">
      <c r="A33" s="38" t="inlineStr">
        <is>
          <t>Net Debt</t>
        </is>
      </c>
      <c r="B33" s="38" t="inlineStr">
        <is>
          <t>Gross Debt - Cash &amp; Cash Equivalents.</t>
        </is>
      </c>
    </row>
    <row r="34" ht="15" customHeight="1" s="39">
      <c r="A34" s="38" t="inlineStr">
        <is>
          <t>Net Worth / Unitholders Equity</t>
        </is>
      </c>
      <c r="B34" s="38" t="inlineStr">
        <is>
          <t>Total equity attributable to unitholders.</t>
        </is>
      </c>
    </row>
    <row r="35" ht="15" customHeight="1" s="39">
      <c r="A35" s="38" t="inlineStr">
        <is>
          <t>Loan-to-Value (LTV)</t>
        </is>
      </c>
      <c r="B35" s="38" t="inlineStr">
        <is>
          <t>Net Debt / GAV; key leverage metric (SEBI generally caps REIT leverage at 49%).</t>
        </is>
      </c>
    </row>
    <row r="36" ht="15" customHeight="1" s="39">
      <c r="A36" s="38" t="inlineStr">
        <is>
          <t>NAV per Unit</t>
        </is>
      </c>
      <c r="B36" s="38" t="inlineStr">
        <is>
          <t>Net asset value attributable to unitholders / units outstanding.</t>
        </is>
      </c>
    </row>
    <row r="37" ht="15" customHeight="1" s="39">
      <c r="A37" s="38" t="inlineStr">
        <is>
          <t>Units Outstanding</t>
        </is>
      </c>
      <c r="B37" s="38" t="inlineStr">
        <is>
          <t>Total REIT units in issue.</t>
        </is>
      </c>
    </row>
    <row r="38" ht="15" customHeight="1" s="39">
      <c r="A38" s="38" t="inlineStr">
        <is>
          <t>Unit Price (period-end)</t>
        </is>
      </c>
      <c r="B38" s="38" t="inlineStr">
        <is>
          <t>Closing market price per unit at period end.</t>
        </is>
      </c>
    </row>
    <row r="39" ht="15" customHeight="1" s="39">
      <c r="A39" s="38" t="inlineStr">
        <is>
          <t>Market Capitalisation</t>
        </is>
      </c>
      <c r="B39" s="38" t="inlineStr">
        <is>
          <t>Units Outstanding x Unit Price.</t>
        </is>
      </c>
    </row>
    <row r="40" ht="15" customHeight="1" s="39">
      <c r="A40" s="38" t="inlineStr">
        <is>
          <t>Annual Distribution Yield</t>
        </is>
      </c>
      <c r="B40" s="38" t="inlineStr">
        <is>
          <t>DPU / Unit Price.</t>
        </is>
      </c>
    </row>
    <row r="41" ht="15" customHeight="1" s="39">
      <c r="A41" s="38" t="inlineStr">
        <is>
          <t>Cost of Debt</t>
        </is>
      </c>
      <c r="B41" s="38" t="inlineStr">
        <is>
          <t>Weighted-average interest rate on borrowings.</t>
        </is>
      </c>
    </row>
    <row r="42" ht="15" customHeight="1" s="39">
      <c r="A42" s="38" t="inlineStr">
        <is>
          <t>Total Leasable Area (GLA)</t>
        </is>
      </c>
      <c r="B42" s="38" t="inlineStr">
        <is>
          <t>Gross leasable area of the portfolio.</t>
        </is>
      </c>
    </row>
    <row r="43" ht="15" customHeight="1" s="39">
      <c r="A43" s="38" t="inlineStr">
        <is>
          <t>Operational Area</t>
        </is>
      </c>
      <c r="B43" s="38" t="inlineStr">
        <is>
          <t>Completed / operational leasable area.</t>
        </is>
      </c>
    </row>
    <row r="44" ht="15" customHeight="1" s="39">
      <c r="A44" s="38" t="inlineStr">
        <is>
          <t>Under Construction + Future Development</t>
        </is>
      </c>
      <c r="B44" s="38" t="inlineStr">
        <is>
          <t>Area under construction plus identified future development potential.</t>
        </is>
      </c>
    </row>
    <row r="45" ht="15" customHeight="1" s="39">
      <c r="A45" s="38" t="inlineStr">
        <is>
          <t>Committed Occupancy</t>
        </is>
      </c>
      <c r="B45" s="38" t="inlineStr">
        <is>
          <t>Leased + letters of intent, as % of operational area.</t>
        </is>
      </c>
    </row>
    <row r="46" ht="15" customHeight="1" s="39">
      <c r="A46" s="38" t="inlineStr">
        <is>
          <t>In-place / Physical Occupancy</t>
        </is>
      </c>
      <c r="B46" s="38" t="inlineStr">
        <is>
          <t>Physically occupied area as % of operational area.</t>
        </is>
      </c>
    </row>
    <row r="47" ht="15" customHeight="1" s="39">
      <c r="A47" s="38" t="inlineStr">
        <is>
          <t>WALE</t>
        </is>
      </c>
      <c r="B47" s="38" t="inlineStr">
        <is>
          <t>Weighted Average Lease Expiry (by area or rent), in years.</t>
        </is>
      </c>
    </row>
    <row r="48" ht="15" customHeight="1" s="39">
      <c r="A48" s="38" t="inlineStr">
        <is>
          <t>Number of Tenants</t>
        </is>
      </c>
      <c r="B48" s="38" t="inlineStr">
        <is>
          <t>Count of distinct tenants / occupiers.</t>
        </is>
      </c>
    </row>
    <row r="49" ht="15" customHeight="1" s="39">
      <c r="A49" s="38" t="inlineStr">
        <is>
          <t>In-place Rent</t>
        </is>
      </c>
      <c r="B49" s="38" t="inlineStr">
        <is>
          <t>Average in-place rent per square foot per month (office) / minimum guarantee + revenue share (retail).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en-CA</dc:language>
  <dcterms:created xmlns:dcterms="http://purl.org/dc/terms/" xmlns:xsi="http://www.w3.org/2001/XMLSchema-instance" xsi:type="dcterms:W3CDTF">2026-06-30T09:49:38Z</dcterms:created>
  <dcterms:modified xmlns:dcterms="http://purl.org/dc/terms/" xmlns:xsi="http://www.w3.org/2001/XMLSchema-instance" xsi:type="dcterms:W3CDTF">2026-07-15T14:18:46Z</dcterms:modified>
  <cp:revision>3</cp:revision>
</cp:coreProperties>
</file>