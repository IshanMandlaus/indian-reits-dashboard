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Summary" sheetId="1" state="visible" r:id="rId3"/>
    <sheet name="Embassy" sheetId="2" state="visible" r:id="rId4"/>
    <sheet name="Mindspace" sheetId="3" state="visible" r:id="rId5"/>
    <sheet name="Brookfield" sheetId="4" state="visible" r:id="rId6"/>
    <sheet name="Nexus Select" sheetId="5" state="visible" r:id="rId7"/>
    <sheet name="KRT" sheetId="6" state="visible" r:id="rId8"/>
    <sheet name="Bagman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<sst xmlns="http://schemas.openxmlformats.org/spreadsheetml/2006/main" count="1287" uniqueCount="590">
  <si>
    <t xml:space="preserve">REIT</t>
  </si>
  <si>
    <t xml:space="preserve">As at</t>
  </si>
  <si>
    <t xml:space="preserve">Gross debt (Rs cr)</t>
  </si>
  <si>
    <t xml:space="preserve">Net debt (Rs cr)</t>
  </si>
  <si>
    <t xml:space="preserve">Net debt / GAV (LTV)</t>
  </si>
  <si>
    <t xml:space="preserve">Avg cost of debt</t>
  </si>
  <si>
    <t xml:space="preserve">Wt avg maturity (yrs)</t>
  </si>
  <si>
    <t xml:space="preserve">Fixed</t>
  </si>
  <si>
    <t xml:space="preserve">Floating</t>
  </si>
  <si>
    <t xml:space="preserve"># facilities listed</t>
  </si>
  <si>
    <t xml:space="preserve">Facility sum, Rs cr (link)</t>
  </si>
  <si>
    <t xml:space="preserve">Embassy Office Parks REIT</t>
  </si>
  <si>
    <t xml:space="preserve">2026-03-31</t>
  </si>
  <si>
    <t xml:space="preserve">Mindspace Business Parks REIT</t>
  </si>
  <si>
    <t xml:space="preserve">Brookfield India Real Estate Trust</t>
  </si>
  <si>
    <t xml:space="preserve">Nexus Select Trust</t>
  </si>
  <si>
    <t xml:space="preserve">not disclosed</t>
  </si>
  <si>
    <t xml:space="preserve">Knowledge Realty Trust</t>
  </si>
  <si>
    <t xml:space="preserve">Bagmane Prime Office REIT</t>
  </si>
  <si>
    <t xml:space="preserve">n/a</t>
  </si>
  <si>
    <t xml:space="preserve">Embassy Office Parks REIT – borrowings as at 2026-03-31</t>
  </si>
  <si>
    <t xml:space="preserve">Borrowing entity</t>
  </si>
  <si>
    <t xml:space="preserve">Lender / Instrument</t>
  </si>
  <si>
    <t xml:space="preserve">Type</t>
  </si>
  <si>
    <t xml:space="preserve">Secured / Unsecured</t>
  </si>
  <si>
    <t xml:space="preserve">Outstanding (Rs cr)</t>
  </si>
  <si>
    <t xml:space="preserve">Sanctioned (Rs cr)</t>
  </si>
  <si>
    <t xml:space="preserve">Interest rate / coupon</t>
  </si>
  <si>
    <t xml:space="preserve">Maturity / term</t>
  </si>
  <si>
    <t xml:space="preserve">Security / collateral</t>
  </si>
  <si>
    <t xml:space="preserve">Embassy REIT Series IV NCD 2021 (3,000 x Rs.1 mn)</t>
  </si>
  <si>
    <t xml:space="preserve">NCD (listed)</t>
  </si>
  <si>
    <t xml:space="preserve">Secured</t>
  </si>
  <si>
    <t xml:space="preserve">6.80% p.a. fixed, payable quarterly</t>
  </si>
  <si>
    <t xml:space="preserve">07-Sep-2026 (60 months from allotment; classified current at FY26)</t>
  </si>
  <si>
    <t xml:space="preserve">Mortgage of ETV Block 9 (1.1 msf, SIPL) + SIPL share pledge, receivables hypothecation, SIPL guarantee</t>
  </si>
  <si>
    <t xml:space="preserve">Embassy REIT Series V NCD 2021 - Series B (11,000 x Rs.1 mn)</t>
  </si>
  <si>
    <t xml:space="preserve">7.05% p.a. fixed, payable quarterly</t>
  </si>
  <si>
    <t xml:space="preserve">18-Oct-2026 (classified current at FY26)</t>
  </si>
  <si>
    <t xml:space="preserve">Mortgage of Manyata blocks Magnolia/Pine/Mountain Ash/Silver Oak (1.88 msf, MPPL) + Qubix IT1-IT2; MPPL pledge and guarantee</t>
  </si>
  <si>
    <t xml:space="preserve">Embassy REIT Series VI NCD 2022 (10,000 x Rs.1 mn)</t>
  </si>
  <si>
    <t xml:space="preserve">7.35% p.a. fixed, payable quarterly</t>
  </si>
  <si>
    <t xml:space="preserve">05-Apr-2027 (call option Oct 2026)</t>
  </si>
  <si>
    <t xml:space="preserve">Pledge of MPPL's 50% GLSP shareholding and GLSP NCDs; MPPL guarantee</t>
  </si>
  <si>
    <t xml:space="preserve">Embassy REIT Series VIII NCD 2023 (50,000 x Rs.1 lakh)</t>
  </si>
  <si>
    <t xml:space="preserve">8.10% p.a. fixed, payable quarterly</t>
  </si>
  <si>
    <t xml:space="preserve">28-Aug-2028 (call window Feb-May 2028)</t>
  </si>
  <si>
    <t xml:space="preserve">Mortgage of Embassy One commercial (0.19 msf) + ETV Block 9 to Rs.150 cr; QBPL pledge and guarantee</t>
  </si>
  <si>
    <t xml:space="preserve">Embassy REIT Series XI NCD 2024 (90,000 x Rs.1 lakh)</t>
  </si>
  <si>
    <t xml:space="preserve">7.96% p.a. fixed, payable quarterly</t>
  </si>
  <si>
    <t xml:space="preserve">27-Sep-2027 (3 years + 1 day)</t>
  </si>
  <si>
    <t xml:space="preserve">Mortgage of Embassy 247 Towers A/B/C (1.19 msf, VCPPL); VCPPL share pledge</t>
  </si>
  <si>
    <t xml:space="preserve">Embassy REIT Series XII NCD 2024 (100,000 x Rs.1 lakh)</t>
  </si>
  <si>
    <t xml:space="preserve">7.73% p.a. fixed, payable quarterly</t>
  </si>
  <si>
    <t xml:space="preserve">14-Dec-2029 (4 years 363 days)</t>
  </si>
  <si>
    <t xml:space="preserve">Pari passu mortgage of Express Towers, Mumbai; EPTPL &amp; IENMPL pledge</t>
  </si>
  <si>
    <t xml:space="preserve">Embassy REIT Series XIII NCD 2025 - Series A (150,000 x Rs.1 lakh)</t>
  </si>
  <si>
    <t xml:space="preserve">7.21% p.a. fixed, payable quarterly</t>
  </si>
  <si>
    <t xml:space="preserve">17-Mar-2028 (2 years 306 days)</t>
  </si>
  <si>
    <t xml:space="preserve">Mortgage of Manyata Ebony G2 + Hilton/Hilton Garden Inn hotels (MPPL); OBPPL pledge; MPPL &amp; OBPPL guarantees 50% each</t>
  </si>
  <si>
    <t xml:space="preserve">Embassy REIT Series XIII NCD 2025 - Series B (50,000 x Rs.1 lakh)</t>
  </si>
  <si>
    <t xml:space="preserve">7.22% p.a. fixed, payable quarterly</t>
  </si>
  <si>
    <t xml:space="preserve">16-May-2028 (3 years)</t>
  </si>
  <si>
    <t xml:space="preserve">Same pool as Series XIII-A (Manyata Ebony + hotels; OBPPL pledge; MPPL/OBPPL guarantees)</t>
  </si>
  <si>
    <t xml:space="preserve">Embassy REIT Series XIV NCD 2025 (75,000 x Rs.1 lakh)</t>
  </si>
  <si>
    <t xml:space="preserve">6.97% p.a. fixed, payable quarterly</t>
  </si>
  <si>
    <t xml:space="preserve">19-Mar-2027 (classified current at FY26)</t>
  </si>
  <si>
    <t xml:space="preserve">Pari passu mortgage of Express Towers; EPTPL &amp; IENMPL pledge</t>
  </si>
  <si>
    <t xml:space="preserve">Embassy REIT Series XV NCD 2025 (200,000 x Rs.1 lakh)</t>
  </si>
  <si>
    <t xml:space="preserve">7.25% p.a. fixed, payable quarterly</t>
  </si>
  <si>
    <t xml:space="preserve">24-Jul-2035 (10 years; holder put option Jul 2030)</t>
  </si>
  <si>
    <t xml:space="preserve">Pari passu mortgage of ETV Blocks 2 &amp; 5 (VTPL); VTPL pledge and guarantee</t>
  </si>
  <si>
    <t xml:space="preserve">Embassy REIT Series XVI NCD 2026 (140,000 x Rs.1 lakh)</t>
  </si>
  <si>
    <t xml:space="preserve">7.49% p.a. fixed, payable quarterly</t>
  </si>
  <si>
    <t xml:space="preserve">27-Feb-2036 (10 years)</t>
  </si>
  <si>
    <t xml:space="preserve">Mortgage of FIFC floors (ETPL) + Manyata Block M3 Acacia (MPPL); ETPL &amp; MPPL pledges and 50/50 guarantees</t>
  </si>
  <si>
    <t xml:space="preserve">Manyata Promoters Private Limited (MPPL)</t>
  </si>
  <si>
    <t xml:space="preserve">MPPL Series I NCD 2023 (102,500 x Rs.1 lakh)</t>
  </si>
  <si>
    <t xml:space="preserve">NCD (unlisted)</t>
  </si>
  <si>
    <t xml:space="preserve">6.91% p.a. fixed, payable quarterly</t>
  </si>
  <si>
    <t xml:space="preserve">25-Oct-2026 (current at FY26); put option exercised - redeemed 24-Apr-2026</t>
  </si>
  <si>
    <t xml:space="preserve">Pari passu mortgage of Manyata Blocks C1/C2/C4/L1 (1.71 msf) + current assets; MPPL equity pledge</t>
  </si>
  <si>
    <t xml:space="preserve">Quadron Business Park Private Limited (QBPL)</t>
  </si>
  <si>
    <t xml:space="preserve">QBPL Series I NCD 2025 (39,000 x Rs.1 lakh)</t>
  </si>
  <si>
    <t xml:space="preserve">7.80% p.a. fixed, payable quarterly</t>
  </si>
  <si>
    <t xml:space="preserve">Amortising: 2.5% each at 12/24/36 months, balance 92.5% on 18-Apr-2028 (put/call Feb 2028); Rs.9.34 cr classified current</t>
  </si>
  <si>
    <t xml:space="preserve">Mortgage of Embassy Quadron Pune (4 buildings) + hypothecation of NXT Tower 1 receivables (MPPL)</t>
  </si>
  <si>
    <t xml:space="preserve">Embassy Construction Private Limited (ECPL)</t>
  </si>
  <si>
    <t xml:space="preserve">ECPL Series II NCD 2025 (27,500 x Rs.1 lakh)</t>
  </si>
  <si>
    <t xml:space="preserve">7.95% p.a. fixed, payable quarterly</t>
  </si>
  <si>
    <t xml:space="preserve">21-Jan-2028</t>
  </si>
  <si>
    <t xml:space="preserve">Mortgage of development rights 0.4 msf at Embassy Business Hub, Bengaluru; REIT keepwell</t>
  </si>
  <si>
    <t xml:space="preserve">Embassy REIT Commercial Paper Series G (8,000 x Rs.5 lakh)</t>
  </si>
  <si>
    <t xml:space="preserve">Commercial paper (listed)</t>
  </si>
  <si>
    <t xml:space="preserve">Unsecured</t>
  </si>
  <si>
    <t xml:space="preserve">Issued at discount of 6.44% p.a. to face value</t>
  </si>
  <si>
    <t xml:space="preserve">16-Jun-2026 (maturity value Rs.400.00 cr)</t>
  </si>
  <si>
    <t xml:space="preserve">Embassy REIT Commercial Paper Series I (10,000 x Rs.5 lakh)</t>
  </si>
  <si>
    <t xml:space="preserve">Issued at discount of 7.15% p.a. to face value</t>
  </si>
  <si>
    <t xml:space="preserve">12-Mar-2027 (maturity value Rs.500.00 cr)</t>
  </si>
  <si>
    <t xml:space="preserve">Bajaj Housing Finance</t>
  </si>
  <si>
    <t xml:space="preserve">Term loan (financial institution)</t>
  </si>
  <si>
    <t xml:space="preserve">Floating: Repo rate + spread, currently 7.25% p.a.</t>
  </si>
  <si>
    <t xml:space="preserve">144 monthly instalments from drawdown, moratorium till 02-Feb-2027</t>
  </si>
  <si>
    <t xml:space="preserve">Mortgage of Qubix Pune Blocks IT3-IT6 (QBPPL assets); QBPPL guarantee</t>
  </si>
  <si>
    <t xml:space="preserve">Axis Bank</t>
  </si>
  <si>
    <t xml:space="preserve">Overdraft (sublimit of term loan)</t>
  </si>
  <si>
    <t xml:space="preserve">Floating: 1M MCLR + spread, currently 8.60% p.a.</t>
  </si>
  <si>
    <t xml:space="preserve">Single bullet repayment 25-Oct-2026</t>
  </si>
  <si>
    <t xml:space="preserve">Pari passu mortgage of Manyata Blocks C1/C2/C4/L1; MPPL equity pledge</t>
  </si>
  <si>
    <t xml:space="preserve">Vikas Telecom Private Limited (VTPL)</t>
  </si>
  <si>
    <t xml:space="preserve">HSBC</t>
  </si>
  <si>
    <t xml:space="preserve">Term loan</t>
  </si>
  <si>
    <t xml:space="preserve">Floating: 1M T-Bill + spread (per drawdown), average 6.60% p.a.</t>
  </si>
  <si>
    <t xml:space="preserve">Bullet 17-Sep-2027</t>
  </si>
  <si>
    <t xml:space="preserve">Pari passu mortgage of ETV Parcel 5 (2.43 msf) + receivables</t>
  </si>
  <si>
    <t xml:space="preserve">ICICI Bank</t>
  </si>
  <si>
    <t xml:space="preserve">Floating: 1M MCLR + spread, currently 7.95% p.a.</t>
  </si>
  <si>
    <t xml:space="preserve">Five annual instalments from first drawdown</t>
  </si>
  <si>
    <t xml:space="preserve">Pari passu mortgage of ETV Parcel 5 + receivables</t>
  </si>
  <si>
    <t xml:space="preserve">Floating: 1M MCLR + spread, currently 7.85% p.a.</t>
  </si>
  <si>
    <t xml:space="preserve">DBS Bank</t>
  </si>
  <si>
    <t xml:space="preserve">Floating: 3M MIBOR OIS + spread, average 6.95% p.a.</t>
  </si>
  <si>
    <t xml:space="preserve">3 annual instalments from drawdown, nil moratorium</t>
  </si>
  <si>
    <t xml:space="preserve">Canara Bank</t>
  </si>
  <si>
    <t xml:space="preserve">Floating: Repo rate + spread, currently 6.75% p.a.</t>
  </si>
  <si>
    <t xml:space="preserve">180 monthly instalments from drawdown, nil moratorium</t>
  </si>
  <si>
    <t xml:space="preserve">Exclusive mortgage of Manyata Block L2 (0.46 msf) + receivables</t>
  </si>
  <si>
    <t xml:space="preserve">Floating: Repo rate + spread, average 7.00% p.a.</t>
  </si>
  <si>
    <t xml:space="preserve">Bullet at end of 36th month from each disbursement</t>
  </si>
  <si>
    <t xml:space="preserve">Exclusive mortgage of Embassy Galaxy Noida Towers A-E (1.4 msf, GSPL asset) + receivables; GSPL guarantee</t>
  </si>
  <si>
    <t xml:space="preserve">Oxygen Business Park Private Limited (OBPPL)</t>
  </si>
  <si>
    <t xml:space="preserve">State Bank of India</t>
  </si>
  <si>
    <t xml:space="preserve">Floating: 3M T-Bill + spread, currently 6.66% p.a.</t>
  </si>
  <si>
    <t xml:space="preserve">180 monthly instalments, nil moratorium</t>
  </si>
  <si>
    <t xml:space="preserve">Mortgage of Embassy Oxygen Blocks B &amp; F, Noida (0.47 msf) + receivables</t>
  </si>
  <si>
    <t xml:space="preserve">Sublimit of SBI term loan</t>
  </si>
  <si>
    <t xml:space="preserve">Same as SBI Oxygen term loan</t>
  </si>
  <si>
    <t xml:space="preserve">Floating: 1M T-Bill + spread, currently 6.92% p.a.</t>
  </si>
  <si>
    <t xml:space="preserve">Bullet at end of 24th month from each disbursement (partially foreclosed in FY26)</t>
  </si>
  <si>
    <t xml:space="preserve">Exclusive mortgage of Manyata Hazel L3 (0.5 msf) + receivables; REIT keepwell</t>
  </si>
  <si>
    <t xml:space="preserve">Floating: 3M T-Bill + spread, currently 7.20% p.a.</t>
  </si>
  <si>
    <t xml:space="preserve">180 monthly instalments from first disbursement, nil moratorium</t>
  </si>
  <si>
    <t xml:space="preserve">Exclusive mortgage of Manyata NXT Tower 2, Aspen G4, Silver Fir L6 (1.2 msf) + receivables</t>
  </si>
  <si>
    <t xml:space="preserve">Same as SBI NXT T2/Aspen/Silver Fir term loan</t>
  </si>
  <si>
    <t xml:space="preserve">Overdraft</t>
  </si>
  <si>
    <t xml:space="preserve">Three annual structured instalments</t>
  </si>
  <si>
    <t xml:space="preserve">Hypothecation of OBPPL identified receivables and current assets</t>
  </si>
  <si>
    <t xml:space="preserve">ESNP Property Builders and Developers Private Limited (ESNP)</t>
  </si>
  <si>
    <t xml:space="preserve">Bandhan Bank</t>
  </si>
  <si>
    <t xml:space="preserve">Floating: Repo rate + spread, currently 7.07% p.a.</t>
  </si>
  <si>
    <t xml:space="preserve">Pari passu mortgage of Splendid Techzone Chennai Blocks 2/3/9 + Food Court + receivables</t>
  </si>
  <si>
    <t xml:space="preserve">Exclusive mortgage of Manyata Block D4 (0.53 msf) + Block M3 Phase II (0.62 msf) + receivables</t>
  </si>
  <si>
    <t xml:space="preserve">Bank of Baroda</t>
  </si>
  <si>
    <t xml:space="preserve">Floating: 1-year G-Sec + spread, currently 7.35% p.a.</t>
  </si>
  <si>
    <t xml:space="preserve">Exclusive mortgage of Manyata Teak G3 (0.78 msf) + receivables</t>
  </si>
  <si>
    <t xml:space="preserve">Floating: Overnight MCLR + spread, currently 7.80% p.a.</t>
  </si>
  <si>
    <t xml:space="preserve">Sublimit of BoB term loan</t>
  </si>
  <si>
    <t xml:space="preserve">Same as BoB Teak G3 term loan</t>
  </si>
  <si>
    <t xml:space="preserve">Floating: 3M T-Bill + spread, currently 7.21% p.a.</t>
  </si>
  <si>
    <t xml:space="preserve">Pari passu mortgage of ETV Block 2 (1.92 msf) + receivables</t>
  </si>
  <si>
    <t xml:space="preserve">Sublimit of SBI ETV Block 2 term loan</t>
  </si>
  <si>
    <t xml:space="preserve">Same as SBI ETV Block 2 term loan</t>
  </si>
  <si>
    <t xml:space="preserve">Floating: Repo rate + spread, currently 7.15% p.a.</t>
  </si>
  <si>
    <t xml:space="preserve">131 structured instalments</t>
  </si>
  <si>
    <t xml:space="preserve">Exclusive mortgage of Manyata Mahogany F2 (0.75 msf) + receivables</t>
  </si>
  <si>
    <t xml:space="preserve">Floating: Repo rate + spread, currently 6.90% p.a.</t>
  </si>
  <si>
    <t xml:space="preserve">120 monthly instalments from drawdown, nil moratorium</t>
  </si>
  <si>
    <t xml:space="preserve">Exclusive mortgage of ETV Block 7B Primrose (0.91 msf) + receivables</t>
  </si>
  <si>
    <t xml:space="preserve">Floating: Repo rate + spread, currently 7.10% p.a.</t>
  </si>
  <si>
    <t xml:space="preserve">Exclusive mortgage of ETV Block 8D (0.56 msf BUA) + receivables</t>
  </si>
  <si>
    <t xml:space="preserve">30 semi-annual structured instalments</t>
  </si>
  <si>
    <t xml:space="preserve">Mortgage of Four Seasons Hotel Bengaluru (QBPL) + Manyata Redwood D3/Rosewood J (MPPL); MPPL guarantee Rs.500 cr; REIT keepwell</t>
  </si>
  <si>
    <t xml:space="preserve">Floating: 3M T-Bill + spread, currently 7.50% p.a.</t>
  </si>
  <si>
    <t xml:space="preserve">Pari passu mortgage of ETV Block 1A (0.87 msf) + receivables</t>
  </si>
  <si>
    <t xml:space="preserve">Sublimit of SBI ETV Block 1A term loan</t>
  </si>
  <si>
    <t xml:space="preserve">Same as SBI ETV Block 1A term loan</t>
  </si>
  <si>
    <t xml:space="preserve">5 annual structured instalments</t>
  </si>
  <si>
    <t xml:space="preserve">Mortgage of Splendid Techzone Chennai Block 10 + receivables</t>
  </si>
  <si>
    <t xml:space="preserve">Term loan and overdraft (classified overdraft)</t>
  </si>
  <si>
    <t xml:space="preserve">Five annual structured instalments from first drawdown</t>
  </si>
  <si>
    <t xml:space="preserve">Exclusive mortgage of Manyata Mulberry G1 (0.4 msf) + receivables/escrow</t>
  </si>
  <si>
    <t xml:space="preserve">Pari passu mortgage of ETV Parcel 5 (VTPL asset) + receivables; VTPL guarantee</t>
  </si>
  <si>
    <t xml:space="preserve">Three annual instalments from first drawdown</t>
  </si>
  <si>
    <t xml:space="preserve">Pari passu charge on Hilton at Embassy Golflinks (UPPL asset) + receivables; UPPL guarantee</t>
  </si>
  <si>
    <t xml:space="preserve">Total borrowings</t>
  </si>
  <si>
    <t xml:space="preserve">Mindspace Business Parks REIT - borrowings as at 2026-03-31</t>
  </si>
  <si>
    <t xml:space="preserve">Mindspace REIT (Trust)</t>
  </si>
  <si>
    <t xml:space="preserve">NCD Series 4 (listed; holders not disclosed - actively traded)</t>
  </si>
  <si>
    <t xml:space="preserve">Non-convertible debenture, bullet</t>
  </si>
  <si>
    <t xml:space="preserve">Allotted 27-Jul-2022; bullet redemption 27-Jul-2027 (60 months)</t>
  </si>
  <si>
    <t xml:space="preserve">Exclusive mortgage Bldg 12D Mindspace Madhapur, Hyderabad (0.78 msf carpet) + escrow; Sundew Properties corporate guarantee; LTV&lt;=37%, security cover &gt;=2x</t>
  </si>
  <si>
    <t xml:space="preserve">Mindspace REIT Green Bond 1 (listed)</t>
  </si>
  <si>
    <t xml:space="preserve">Green NCD, bullet (current at FY26)</t>
  </si>
  <si>
    <t xml:space="preserve">8.02% p.a. fixed, payable quarterly</t>
  </si>
  <si>
    <t xml:space="preserve">Allotted 15-Mar-2023; bullet redemption 13-Apr-2026 (3 yrs 30 days)</t>
  </si>
  <si>
    <t xml:space="preserve">Equitable mortgage Bldgs 5B &amp; 9 Madhapur (1.067 msf) + escrow; Intime Properties corporate guarantee</t>
  </si>
  <si>
    <t xml:space="preserve">NCD Series 6 (listed)</t>
  </si>
  <si>
    <t xml:space="preserve">Non-convertible debenture, bullet (current at FY26)</t>
  </si>
  <si>
    <t xml:space="preserve">7.75% p.a. fixed, payable quarterly</t>
  </si>
  <si>
    <t xml:space="preserve">Allotted 01-Jun-2023; bullet redemption 30-Jun-2026 (3 yrs 29 days)</t>
  </si>
  <si>
    <t xml:space="preserve">Registered simple mortgage Bldgs 6, 7 &amp; 8 Commerzone Yerawada, Pune (~0.7 msf) + escrow; MBPPL corporate guarantee</t>
  </si>
  <si>
    <t xml:space="preserve">NCD Series 7 (listed)</t>
  </si>
  <si>
    <t xml:space="preserve">8.03% p.a. fixed, payable quarterly</t>
  </si>
  <si>
    <t xml:space="preserve">Allotted Sep-2023 (tenure 3 yrs 3 months); bullet redemption 10-Dec-2026</t>
  </si>
  <si>
    <t xml:space="preserve">Equitable mortgage Bldgs 2A, 2B &amp; 10 Mindspace Madhapur (~0.73 msf) + collection/escrow hypothecation; KRIT corporate guarantee</t>
  </si>
  <si>
    <t xml:space="preserve">NCD Series 8 (listed)</t>
  </si>
  <si>
    <t xml:space="preserve">7.93% p.a. fixed, payable quarterly</t>
  </si>
  <si>
    <t xml:space="preserve">Allotted 20-Mar-2024; bullet redemption 20-Mar-2027 (3 yrs)</t>
  </si>
  <si>
    <t xml:space="preserve">Equitable mortgage Bldgs 1, 4, 5 &amp; Amenity, Commerzone Yerawada (~0.55 msf) + escrow; MBPPL corporate guarantee</t>
  </si>
  <si>
    <t xml:space="preserve">NCD Series 9 (listed)</t>
  </si>
  <si>
    <t xml:space="preserve">Allotted 14-May-2024; bullet redemption 11-May-2029 (4 yrs 362 days)</t>
  </si>
  <si>
    <t xml:space="preserve">Simple mortgage Plot B &amp; C land + buildings, Vadgaon Sheri (The Square, Nagar Road), Pune + escrow; MBPPL corporate guarantee</t>
  </si>
  <si>
    <t xml:space="preserve">NCD Series 10 (listed, sustainability-linked)</t>
  </si>
  <si>
    <t xml:space="preserve">NCD, bullet, SLB coupon step-down</t>
  </si>
  <si>
    <t xml:space="preserve">7.94% p.a. fixed, payable quarterly (step-down on ESG targets)</t>
  </si>
  <si>
    <t xml:space="preserve">Allotted 24-Jun-2024; bullet redemption 24-Jun-2031 (7 yrs); early redemption date 31-Dec-2028</t>
  </si>
  <si>
    <t xml:space="preserve">Equitable mortgage Bldgs 12B &amp; 12C Madhapur (1.13 msf leasable) + escrow; Sundew Properties corporate guarantee</t>
  </si>
  <si>
    <t xml:space="preserve">NCD Series 11 (listed)</t>
  </si>
  <si>
    <t xml:space="preserve">7.70% p.a. fixed, payable quarterly</t>
  </si>
  <si>
    <t xml:space="preserve">Allotted 25-Nov-2024; bullet redemption 18-Feb-2028 (3 yrs 2 months 24 days)</t>
  </si>
  <si>
    <t xml:space="preserve">Equitable mortgage Bldgs 6 &amp; 9 Madhapur (~0.67 msf leasable) + collection account; Intime Properties corporate guarantee</t>
  </si>
  <si>
    <t xml:space="preserve">NCD Series 12 (listed)</t>
  </si>
  <si>
    <t xml:space="preserve">7.20% p.a. fixed, payable quarterly</t>
  </si>
  <si>
    <t xml:space="preserve">Allotted 13-May-2025; bullet redemption 10-May-2030 (4 yrs 362 days)</t>
  </si>
  <si>
    <t xml:space="preserve">Equitable mortgage Bldg 3 (R1) Commerzone Kharadi + Bldgs 3, 4, 6, 7 Commerzone Yerawada (~0.773 msf); KRC Infra &amp; MBPPL corporate guarantees</t>
  </si>
  <si>
    <t xml:space="preserve">NCD Series 13 (listed, sustainability-linked)</t>
  </si>
  <si>
    <t xml:space="preserve">7.41% p.a. fixed, payable semi-annually (step-down on ESG targets)</t>
  </si>
  <si>
    <t xml:space="preserve">Allotted 19-Aug-2025; bullet redemption 19-Aug-2033 (8 yrs)</t>
  </si>
  <si>
    <t xml:space="preserve">Exclusive mortgage Commerzone Raidurg Tower K, Hyderabad (~0.836 msf); Sustain Properties corporate guarantee</t>
  </si>
  <si>
    <t xml:space="preserve">NCD Series 14 (listed)</t>
  </si>
  <si>
    <t xml:space="preserve">7.00% p.a. fixed, payable quarterly</t>
  </si>
  <si>
    <t xml:space="preserve">Allotted 14-Sep-2025; bullet redemption 14-Sep-2027 (2 yrs)</t>
  </si>
  <si>
    <t xml:space="preserve">First-ranking mortgage Bldgs 2 &amp; 10 Mindspace Airoli West (~0.955 msf, Gigaplex) + pari passu land mortgage; Gigaplex corporate guarantee</t>
  </si>
  <si>
    <t xml:space="preserve">NCD Series 15 (listed)</t>
  </si>
  <si>
    <t xml:space="preserve">7.15% p.a. fixed, payable quarterly</t>
  </si>
  <si>
    <t xml:space="preserve">Allotted Nov-2025 (listed 18-Nov-2025); bullet redemption 15-Nov-2030 (4 yrs 364 days)</t>
  </si>
  <si>
    <t xml:space="preserve">Equitable mortgage Bldgs 20 &amp; 22 Mindspace Madhapur (~0.95 msf leasable, Sundew); Sundew Properties corporate guarantee</t>
  </si>
  <si>
    <t xml:space="preserve">NCD Series 16 (listed)</t>
  </si>
  <si>
    <t xml:space="preserve">6.96% p.a. fixed, payable quarterly</t>
  </si>
  <si>
    <t xml:space="preserve">Allotted 08-Dec-2025; bullet redemption 08-Dec-2028 (3 yrs)</t>
  </si>
  <si>
    <t xml:space="preserve">Mortgage units in Bldgs 3, 4, 5, 6 + entire Bldg 8, Mindspace Airoli West (~1.95 msf leasable, Gigaplex); Gigaplex corporate guarantee</t>
  </si>
  <si>
    <t xml:space="preserve">NCD Series 17 (listed)</t>
  </si>
  <si>
    <t xml:space="preserve">7.17% p.a. fixed, payable quarterly</t>
  </si>
  <si>
    <t xml:space="preserve">Allotted 05-Mar-2026; bullet redemption 05-Mar-2029 (3 yrs)</t>
  </si>
  <si>
    <t xml:space="preserve">First exclusive mortgage Commerzone Porur Towers A &amp; B, Chennai (~0.759 msf leasable, Horizonview); Horizonview corporate guarantee</t>
  </si>
  <si>
    <t xml:space="preserve">Commercial Paper Series 9 (MREIT CP-9, listed on BSE)</t>
  </si>
  <si>
    <t xml:space="preserve">Commercial paper (discount instrument)</t>
  </si>
  <si>
    <t xml:space="preserve">6.41% p.a. discount at issue</t>
  </si>
  <si>
    <t xml:space="preserve">Issued 21-Jul-2025 (10,800 CPs of Rs 5 lakh; raised Rs 512.39 cr, maturity value Rs 540.00 cr); matures 15-May-2026</t>
  </si>
  <si>
    <t xml:space="preserve">Mindspace Business Parks Pvt Ltd (MBPPL) - SPV</t>
  </si>
  <si>
    <t xml:space="preserve">Punjab National Bank</t>
  </si>
  <si>
    <t xml:space="preserve">Term loan + overdraft (new facility drawn FY26)</t>
  </si>
  <si>
    <t xml:space="preserve">7.20% p.a. variable, quarterly reset</t>
  </si>
  <si>
    <t xml:space="preserve">144 monthly instalments</t>
  </si>
  <si>
    <t xml:space="preserve">Registered mortgage Bldg 2 (fl 1-8), Bldg 9 (fl 1-6 part) &amp; Bldg 10 (fl 1-5), Mindspace Airoli, Navi Mumbai + rent receivables + pari passu charge on Plot 3 land</t>
  </si>
  <si>
    <t xml:space="preserve">Term loan + overdraft</t>
  </si>
  <si>
    <t xml:space="preserve">7.60% to 8.35% p.a. variable (TL and OD)</t>
  </si>
  <si>
    <t xml:space="preserve">TL 180 monthly instalments; OD repayable over 28 monthly instalments from 15-Dec-2035; DSCR &gt;=1.10x</t>
  </si>
  <si>
    <t xml:space="preserve">Registered mortgage Bldgs 5 &amp; 6 (0.86 msf), Mindspace Airoli + lease-rental escrow + pari passu land charge</t>
  </si>
  <si>
    <t xml:space="preserve">Term loan + WCTL + overdraft</t>
  </si>
  <si>
    <t xml:space="preserve">7.15% to 8.40% p.a. variable, quarterly reset</t>
  </si>
  <si>
    <t xml:space="preserve">TL 144 monthly instalments; covenants: security cover &gt;=1.50x, cash-flow cover &gt;=1.1x</t>
  </si>
  <si>
    <t xml:space="preserve">Registered mortgage Bldg 1 (fl 1-8) &amp; Bldg 12, Mindspace Airoli + receivables hypothecation + pari passu land charge</t>
  </si>
  <si>
    <t xml:space="preserve">Overdraft + working capital term loan</t>
  </si>
  <si>
    <t xml:space="preserve">7.50% to 8.50% p.a. variable</t>
  </si>
  <si>
    <t xml:space="preserve">Repayable on demand; covenant: security cover &gt;=1.50x</t>
  </si>
  <si>
    <t xml:space="preserve">Exclusive charge Bldg 14, Mindspace Airoli East (~0.35 msf) incl current assets; pari passu charge on leasehold land</t>
  </si>
  <si>
    <t xml:space="preserve">Intime Properties Ltd - SPV</t>
  </si>
  <si>
    <t xml:space="preserve">7.10% p.a. (FY25: 8.15%)</t>
  </si>
  <si>
    <t xml:space="preserve">Repayable on demand</t>
  </si>
  <si>
    <t xml:space="preserve">Secured against fixed deposit</t>
  </si>
  <si>
    <t xml:space="preserve">Horizonview Properties Pvt Ltd - SPV (acquired 23-Jul-2025)</t>
  </si>
  <si>
    <t xml:space="preserve">Bajaj Housing Finance Ltd</t>
  </si>
  <si>
    <t xml:space="preserve">Term loan + flexi term loan</t>
  </si>
  <si>
    <t xml:space="preserve">7.50% to 8.40% p.a. variable</t>
  </si>
  <si>
    <t xml:space="preserve">168 staggered monthly instalments till Nov-2036; LTV &lt;=70%</t>
  </si>
  <si>
    <t xml:space="preserve">Charge over 0.342 msf (fl 3-9, Tower A) Commerzone Porur, Chennai + receivables escrow</t>
  </si>
  <si>
    <t xml:space="preserve">Sundew Properties Ltd - SPV</t>
  </si>
  <si>
    <t xml:space="preserve">TL 8.10%-8.65%; OD 8.30%-9.20% p.a. variable</t>
  </si>
  <si>
    <t xml:space="preserve">120 monthly instalments from 31-Jul-2021; security cover &gt;=2x</t>
  </si>
  <si>
    <t xml:space="preserve">Charge on Bldg 14 (~0.53 msf), Madhapur, Hyderabad + scheduled receivables + escrow</t>
  </si>
  <si>
    <t xml:space="preserve">K. Raheja IT Park (Hyderabad) Ltd (KRIT) - SPV</t>
  </si>
  <si>
    <t xml:space="preserve">OD limit steps down 10% at end of yrs 1-3, 20% yr 4, 50% yr 5</t>
  </si>
  <si>
    <t xml:space="preserve">Exclusive charge on Bldgs 4A &amp; 4B (movable + immovable + current assets)</t>
  </si>
  <si>
    <t xml:space="preserve">KRC Infrastructure &amp; Projects Pvt Ltd - SPV</t>
  </si>
  <si>
    <t xml:space="preserve">HSBC Bank</t>
  </si>
  <si>
    <t xml:space="preserve">TL 7.32%-8.25%; OD 7.67%-8.60% p.a. variable</t>
  </si>
  <si>
    <t xml:space="preserve">110 monthly instalments up to 10-Feb-2030; LTV &lt;=60%</t>
  </si>
  <si>
    <t xml:space="preserve">Exclusive registered mortgage over land &amp; Bldg R4 (Commerzone Kharadi, Pune) + receivables + DSRA (3 months P&amp;I)</t>
  </si>
  <si>
    <t xml:space="preserve">Term loans (2) + overdraft</t>
  </si>
  <si>
    <t xml:space="preserve">TL1 (Rs 204 cr) 8.10%-8.55%; TL2 (Rs 210 cr) 6.67%-7.75%; OD 8.10%-8.55% p.a. variable</t>
  </si>
  <si>
    <t xml:space="preserve">TL1: 180 monthly instalments to 31-Mar-2038; TL2: 175 instalments to 30-Jun-2038; OD 35 instalments from 31-May-2035; LTV &lt;=70%, DSCR &gt;=1.15x</t>
  </si>
  <si>
    <t xml:space="preserve">Exclusive mortgage floors 1-13 of Bldg R3 (Commerzone Kharadi) + receivables + DSRA (3 months P&amp;I)</t>
  </si>
  <si>
    <t xml:space="preserve">Gigaplex Estate Pvt Ltd - SPV</t>
  </si>
  <si>
    <t xml:space="preserve">7.00% to 7.75% p.a. variable (FY25: 8.25%)</t>
  </si>
  <si>
    <t xml:space="preserve">159 structured monthly instalments ending 31-Jan-2039; FACR &gt;=1.50x, cash-flow cover &gt;=1.10x (1.15x from FY27)</t>
  </si>
  <si>
    <t xml:space="preserve">Exclusive EM/RM charge Building No.1, Gigaplex (Airoli West, Plot IT-5) + current assets + escrow</t>
  </si>
  <si>
    <t xml:space="preserve">Term loan + dropline overdraft</t>
  </si>
  <si>
    <t xml:space="preserve">TL 7.60%-8.35%; OD 7.90%-8.35% p.a. variable</t>
  </si>
  <si>
    <t xml:space="preserve">174 structured monthly instalments ending 29-Jun-2029 (per AR); security cover &gt;=1.25x, DSCR &gt;=1.10x</t>
  </si>
  <si>
    <t xml:space="preserve">Exclusive charge Building No.9 (1.095 msf), Gigaplex IT Park, Plot IT-5, Airoli + pari passu land mortgage + lease-rental escrow</t>
  </si>
  <si>
    <t xml:space="preserve">HDFC Bank</t>
  </si>
  <si>
    <t xml:space="preserve">Term loan + working capital demand loan</t>
  </si>
  <si>
    <t xml:space="preserve">7.20% to 7.95% p.a. variable (FY25: 8.45%-9.00%)</t>
  </si>
  <si>
    <t xml:space="preserve">156 structured monthly instalments ending 31-Aug-2034; LTV &lt;=60%</t>
  </si>
  <si>
    <t xml:space="preserve">Registered mortgage Units 401/501/601/801/802/901/1201 of Building 4 + receivables + escrow/DSRA + pari passu land charge</t>
  </si>
  <si>
    <t xml:space="preserve">Pramaan Properties Pvt Ltd - SPV (acquired 09-Jan-2026)</t>
  </si>
  <si>
    <t xml:space="preserve">7.35% to 7.60% p.a. variable</t>
  </si>
  <si>
    <t xml:space="preserve">184 monthly instalments; security cover &gt;=1.50x</t>
  </si>
  <si>
    <t xml:space="preserve">First exclusive charge on 'Raheja Ascent', Worli, Mumbai (0.453 msf leasable) + scheduled receivables + escrow + DSRA</t>
  </si>
  <si>
    <t xml:space="preserve">Pramaan Properties Pvt Ltd - SPV</t>
  </si>
  <si>
    <t xml:space="preserve">HSBC Bank per note 22A(xi); note 53B labels this row Punjab National Bank (report-internal inconsistency)</t>
  </si>
  <si>
    <t xml:space="preserve">7.9% to 8.6% p.a. variable</t>
  </si>
  <si>
    <t xml:space="preserve">120 monthly instalments from 10-Oct-2020</t>
  </si>
  <si>
    <t xml:space="preserve">Mortgage on Bldg 8 &amp; 9, Raheja Woods, Yerwada/Kalyani Nagar, Pune + receivables + DSRA (6 months P&amp;I)</t>
  </si>
  <si>
    <t xml:space="preserve">Sundew Real Estate Pvt Ltd (SREPL) - SPV (acquired 09-Jan-2026)</t>
  </si>
  <si>
    <t xml:space="preserve">ICICI Bank per note 53B; note 22A(xii) names Punjab National Bank (report-internal inconsistency)</t>
  </si>
  <si>
    <t xml:space="preserve">Term loan + overdraft sublimit (Rs 50 cr)</t>
  </si>
  <si>
    <t xml:space="preserve">8.30% to 8.60% p.a. variable</t>
  </si>
  <si>
    <t xml:space="preserve">Term loan repayable in 180 monthly instalments from 31-Aug-2024</t>
  </si>
  <si>
    <t xml:space="preserve">First exclusive mortgage over JP Morgan Tower (Commerzone Kalina), CTS No.5435, Kalina, Mumbai + hypothecation of current assets/receivables</t>
  </si>
  <si>
    <t xml:space="preserve">Mack Soft Tech Pvt Ltd - SPV</t>
  </si>
  <si>
    <t xml:space="preserve">7.00% to 8.25% p.a. variable</t>
  </si>
  <si>
    <t xml:space="preserve">Brookfield India Real Estate Trust - borrowings as at 2026-03-31</t>
  </si>
  <si>
    <t xml:space="preserve">A. Consolidated borrowings (Trust + SPVs) — ties to balance sheet</t>
  </si>
  <si>
    <t xml:space="preserve">Candor Gurgaon One Realty Projects Private Limited (G1)</t>
  </si>
  <si>
    <t xml:space="preserve">ICICI Bank Ltd</t>
  </si>
  <si>
    <t xml:space="preserve">Rupee Term Loan</t>
  </si>
  <si>
    <t xml:space="preserve">Floating: REPO rate (+) spread (spread not disclosed)</t>
  </si>
  <si>
    <t xml:space="preserve">12-yr facility; 120 monthly instalments; as at 31-Mar-2026 repayable in 90 instalments (29 prepaid in year) starting Jan 2028, maturing Jun 2035</t>
  </si>
  <si>
    <t xml:space="preserve">Hypothecation of movable assets, mortgage on immovable properties, charge on bank accounts and on income support agreement of Candor Gurgaon One</t>
  </si>
  <si>
    <t xml:space="preserve">Axis Bank Ltd (RTL-1)</t>
  </si>
  <si>
    <t xml:space="preserve">12-yr facility; 120 monthly instalments; as at 31-Mar-2026 repayable in 90 instalments (27 full + 1 partial prepaid) starting Dec 2027, maturing Jul 2035</t>
  </si>
  <si>
    <t xml:space="preserve">Hypothecation of movable assets, mortgage on immovable properties, charge on bank accounts and income support agreement of Candor Gurgaon One</t>
  </si>
  <si>
    <t xml:space="preserve">Axis Bank Ltd (RTL-2)</t>
  </si>
  <si>
    <t xml:space="preserve">10-yr facility; 120 monthly instalments; as at 31-Mar-2026 repayable in 87 instalments (29 prepaid) starting Feb 2028, maturing Jul 2035</t>
  </si>
  <si>
    <t xml:space="preserve">Hypothecation of movable assets, mortgage on immovable properties, charge on bank accounts, receivables and income support agreement of Candor Gurgaon One</t>
  </si>
  <si>
    <t xml:space="preserve">Candor Kolkata One Hi-Tech Structures Private Limited (K1)</t>
  </si>
  <si>
    <t xml:space="preserve">HDFC Bank Limited - LRD-I &amp; Line of Credit and LRD-II</t>
  </si>
  <si>
    <t xml:space="preserve">Lease Rental Discounting + Line of Credit</t>
  </si>
  <si>
    <t xml:space="preserve">Floating: LRD-I &amp; LoC @ REPO / 1-month MCLR (+) spread; LRD-II @ REPO (+) spread (spreads not disclosed)</t>
  </si>
  <si>
    <t xml:space="preserve">12-yr (144-month) facilities; LRD-I/LoC: 84 monthly instalments from Mar 2026, maturing Feb 2033 (83 remaining at 31-Mar-2026); LRD-II: 78 monthly instalments from Feb 2027, maturing Jul 2033</t>
  </si>
  <si>
    <t xml:space="preserve">Hypothecation of receivables, movable assets, insurance policies, lease agreements, bank accounts; mortgage on immovable properties incl land; pledge/NDU of 51% of Candor Kolkata share capital</t>
  </si>
  <si>
    <t xml:space="preserve">HDFC Bank Limited - Construction Finance</t>
  </si>
  <si>
    <t xml:space="preserve">Construction finance</t>
  </si>
  <si>
    <t xml:space="preserve">Floating: 1-month MCLR (+) spread (spread not disclosed)</t>
  </si>
  <si>
    <t xml:space="preserve">5-yr CF period + 15-yr post-CF; 180 monthly instalments starting Mar 2028, maturing Feb 2043</t>
  </si>
  <si>
    <t xml:space="preserve">Same K1 security package as HDFC LRD facilities (assets pledged incl investment property + IPUD Rs 57,971.78 mn for combined HDFC facilities)</t>
  </si>
  <si>
    <t xml:space="preserve">Shantiniketan Properties Private Limited (SPPL Noida / N1)</t>
  </si>
  <si>
    <t xml:space="preserve">Bajaj Housing Finance Limited</t>
  </si>
  <si>
    <t xml:space="preserve">Lease Rental Discounting</t>
  </si>
  <si>
    <t xml:space="preserve">Floating: BHFL FRR (-) spread (spread not disclosed)</t>
  </si>
  <si>
    <t xml:space="preserve">15-yr (180-month) facility; 144 monthly instalments starting Sep 2027, maturing Aug 2039</t>
  </si>
  <si>
    <t xml:space="preserve">Hypothecation of receivables, movable assets, insurance proceeds, lease agreements, bank accounts; mortgage on immovable properties incl land of Shantiniketan Properties</t>
  </si>
  <si>
    <t xml:space="preserve">Brookfield India Real Estate Trust (REIT/Trust)</t>
  </si>
  <si>
    <t xml:space="preserve">Cross-collateralised on SPPL Noida security package (mortgage on immovable properties incl land of Shantiniketan Properties)</t>
  </si>
  <si>
    <t xml:space="preserve">Bajaj Housing Finance Limited - Flexi Term Loan</t>
  </si>
  <si>
    <t xml:space="preserve">Flexi term loan (short-term borrowing)</t>
  </si>
  <si>
    <t xml:space="preserve">15-yr facility term; classified as current/short-term borrowing at 31-Mar-2026</t>
  </si>
  <si>
    <t xml:space="preserve">Same Bajaj/SPPL security package</t>
  </si>
  <si>
    <t xml:space="preserve">Kairos Properties Private Limited</t>
  </si>
  <si>
    <t xml:space="preserve">ICICI Bank Limited</t>
  </si>
  <si>
    <t xml:space="preserve">Floating: Repo rate (+) spread (spread not disclosed)</t>
  </si>
  <si>
    <t xml:space="preserve">12-yr facility; 120 monthly instalments from 24 months after first drawdown (111 remaining at 31-Mar-2026), started Jul 2025, maturing Jun 2035</t>
  </si>
  <si>
    <t xml:space="preserve">First-ranking pari passu registered mortgage on properties, scheduled receivables, movable assets, all accounts incl escrow, funds and fixed deposits of Kairos</t>
  </si>
  <si>
    <t xml:space="preserve">Axis Bank Limited</t>
  </si>
  <si>
    <t xml:space="preserve">12-yr facility; 120 monthly instalments (111 remaining at 31-Mar-2026), started Jul 2025, maturing Jun 2035</t>
  </si>
  <si>
    <t xml:space="preserve">Same Kairos pari passu security package (investment property pledged Rs 63,600.08 mn for combined ICICI+Axis)</t>
  </si>
  <si>
    <t xml:space="preserve">Arliga Ecoworld Business Parks Private Limited (Ecoworld, Bengaluru; acquired 24-Dec-2025)</t>
  </si>
  <si>
    <t xml:space="preserve">Lease Rental Discounting (term loan)</t>
  </si>
  <si>
    <t xml:space="preserve">Floating: 3-month MCLR plus/minus spread (spread not disclosed)</t>
  </si>
  <si>
    <t xml:space="preserve">LRD repayable in 135 monthly instalments of principal and interest (full 135 outstanding at 31-Mar-2026); final maturity date not stated</t>
  </si>
  <si>
    <t xml:space="preserve">First-ranking pari-passu mortgage (with SBI/BoB/PNB) on investment property except Ecoworld tower 4D; hypothecation of receivables, movable assets, insurance proceeds, lease agreements, DSRA, current assets and property accounts; irrevocable PoA to collect rent on default</t>
  </si>
  <si>
    <t xml:space="preserve">Arliga Ecoworld Business Parks Private Limited</t>
  </si>
  <si>
    <t xml:space="preserve">135 monthly instalments; final maturity date not stated</t>
  </si>
  <si>
    <t xml:space="preserve">Same SBI/BoB/PNB pari-passu package (investment property pledged Rs 127,662.25 mn combined)</t>
  </si>
  <si>
    <t xml:space="preserve">Same SBI/BoB/PNB pari-passu package</t>
  </si>
  <si>
    <t xml:space="preserve">7.06% Sustainability Linked NCDs (listed, multiple holders; BSE-listed 23-Dec-2025)</t>
  </si>
  <si>
    <t xml:space="preserve">NCD (sustainability linked bonds)</t>
  </si>
  <si>
    <t xml:space="preserve">Fixed 7.06% p.a., payable quarterly; coupon steps up 0.25% on credit rating downgrade; SPT-linked step-up coupon on non-achievement of sustainability targets</t>
  </si>
  <si>
    <t xml:space="preserve">Issued 22-Dec-2025, 200,000 NCDs of Rs 1,00,000 face; bullet redemption 20-Dec-2030</t>
  </si>
  <si>
    <t xml:space="preserve">First-ranking sole and exclusive hypothecation charge and equitable mortgage over Asset SPV's hypothecated/mortgaged properties (mortgage to be created within 150 days of allotment)</t>
  </si>
  <si>
    <t xml:space="preserve">Reco Iris Private Limited - 12.50% NCDs (3,381,500 debentures of Rs 1,000, issued 18-Aug-2023)</t>
  </si>
  <si>
    <t xml:space="preserve">NCD (shareholder instrument)</t>
  </si>
  <si>
    <t xml:space="preserve">Fixed 12.50% p.a., payable quarterly and compounded quarterly</t>
  </si>
  <si>
    <t xml:space="preserve">Redeemable at par at issuer's option or at end of 10 years from allotment (2033)</t>
  </si>
  <si>
    <t xml:space="preserve">Reco Rock Private Limited - 12.50% NCDs (122,000 of Rs 1,000, issued 18-Aug-2023) + 10.50% NCDs (15,000 issued 31-Jul-2025 and 985,000 issued 29-Aug-2025, Rs 1,000 each)</t>
  </si>
  <si>
    <t xml:space="preserve">Fixed 12.50% p.a. and 10.50% p.a., payable quarterly and compounded quarterly</t>
  </si>
  <si>
    <t xml:space="preserve">Redeemable at par at issuer's option or at end of 10 years from allotment</t>
  </si>
  <si>
    <t xml:space="preserve">Reco Iris Private Limited - 12.50% NCDs (528,500 of Rs 1,000, issued 28-Aug-2023) + 10.50% NCDs (30,000 issued 31-Jul-2025 and 970,000 issued 29-Aug-2025, Rs 1,000 each)</t>
  </si>
  <si>
    <t xml:space="preserve">Reco Cerium Private Limited - 15% Compulsorily Convertible Debentures (4,561 UCCDs, face Rs ~110,596-110,918, issued Jan-May 2015)</t>
  </si>
  <si>
    <t xml:space="preserve">CCD - liability component of compound financial instrument</t>
  </si>
  <si>
    <t xml:space="preserve">Fixed 15% p.a., payable annually w.e.f. 01-Apr-2015 (issuer discretion on interim payment)</t>
  </si>
  <si>
    <t xml:space="preserve">Convertible into equity shares 1:1 at any time at either party's option</t>
  </si>
  <si>
    <t xml:space="preserve">Reco Europium Private Limited - 14% Compulsorily Convertible Debentures (28,606,156 CCDs of Rs 100, issued 05-Dec-2017)</t>
  </si>
  <si>
    <t xml:space="preserve">CCD (liability component)</t>
  </si>
  <si>
    <t xml:space="preserve">Fixed 14.00% p.a.</t>
  </si>
  <si>
    <t xml:space="preserve">Compulsory conversion into equity 20 years from issuance (Dec 2037) at conversion price = higher of FMV at issuance and FMV at conversion</t>
  </si>
  <si>
    <t xml:space="preserve">Total consolidated borrowings</t>
  </si>
  <si>
    <t xml:space="preserve">B. 50% JV — Rostrum Realty (North Commercial Portfolio), equity-accounted: NOT in consolidated borrowings (100% shown; SEBI Net Borrowings Ratio adds these)</t>
  </si>
  <si>
    <t xml:space="preserve">Rostrum Realty Private Limited (50% JV HoldCo - North Commercial Portfolio; not consolidated, equity method)</t>
  </si>
  <si>
    <t xml:space="preserve">HDFC Bank Limited</t>
  </si>
  <si>
    <t xml:space="preserve">Not disclosed in these documents</t>
  </si>
  <si>
    <t xml:space="preserve">Not disclosed; NCP average maturity 14 years per investor presentation</t>
  </si>
  <si>
    <t xml:space="preserve">Not detailed in these documents</t>
  </si>
  <si>
    <t xml:space="preserve">Oak Infrastructure Developers Private Limited (SPV of Rostrum JV)</t>
  </si>
  <si>
    <t xml:space="preserve">Not disclosed</t>
  </si>
  <si>
    <t xml:space="preserve">Aspen Buildtech Private Limited (SPV of Rostrum JV)</t>
  </si>
  <si>
    <t xml:space="preserve">Arnon Builders &amp; Developers Private Limited (SPV of Rostrum JV)</t>
  </si>
  <si>
    <t xml:space="preserve">Total JV (100%)</t>
  </si>
  <si>
    <t xml:space="preserve">Nexus Select Trust — borrowings as at 2026-03-31</t>
  </si>
  <si>
    <t xml:space="preserve">Term loan from financial institutions (lease rental discounting loan)</t>
  </si>
  <si>
    <t xml:space="preserve">Floating: Repo Rate + spread (rate was 8.40% p.a. as at 31-Mar-2024 per FY24 FS; current rate not disclosed in FY26 documents)</t>
  </si>
  <si>
    <t xml:space="preserve">Per FY24 disclosure: repayable in 156 months including 48-month standstill period; current schedule not disclosed</t>
  </si>
  <si>
    <t xml:space="preserve">Exclusive charge on immovable properties and lease receivables of Nexus Hyderabad Mall, Nexus Centre City and 67.95% of built-up area of Nexus Koramangala Mall; corporate guarantees from NHRPL and NMYRPL (terms as disclosed at 31-Mar-2024)</t>
  </si>
  <si>
    <t xml:space="preserve">NCD Series I Tranche B (ISIN INE0NDH07027)</t>
  </si>
  <si>
    <t xml:space="preserve">Listed non-convertible debentures</t>
  </si>
  <si>
    <t xml:space="preserve">8.00% p.a. payable quarterly (fixed)</t>
  </si>
  <si>
    <t xml:space="preserve">Redemption June 16, 2028 (5-year tenor from deemed allotment June 16, 2023; call option at 54th and 57th month)</t>
  </si>
  <si>
    <t xml:space="preserve">First-ranking mortgage over identified immovable assets of Select Citywalk Mall; hypothecation of escrow account/receivables; corporate guarantee from SIPL capped to value of mortgaged property; asset cover 3.88x at Mar-2026</t>
  </si>
  <si>
    <t xml:space="preserve">NCD Series II Tranche A (ISIN INE0NDH07043)</t>
  </si>
  <si>
    <t xml:space="preserve">7.6937% p.a. payable quarterly (fixed)</t>
  </si>
  <si>
    <t xml:space="preserve">Redemption May 28, 2027 (tenor 31.234 months from deemed allotment October 22, 2024; call options Nov 26, 2026 and Feb 26, 2027)</t>
  </si>
  <si>
    <t xml:space="preserve">First-ranking pari passu mortgage over Select Citywalk Mall; pari passu hypothecation of escrow/cashflows; SIPL corporate guarantee capped to mortgaged property value; asset cover 3.88x at Mar-2026</t>
  </si>
  <si>
    <t xml:space="preserve">NCD Series II Tranche B (ISIN INE0NDH07035)</t>
  </si>
  <si>
    <t xml:space="preserve">7.7165% p.a. payable quarterly (fixed)</t>
  </si>
  <si>
    <t xml:space="preserve">Redemption June 14, 2028 (tenor 43.80 months from deemed allotment October 22, 2024; call options Dec 14, 2027 and Mar 14, 2028)</t>
  </si>
  <si>
    <t xml:space="preserve">Same as Series II Tranche A (pari passu over Select Citywalk Mall + SIPL guarantee); asset cover 3.88x at Mar-2026</t>
  </si>
  <si>
    <t xml:space="preserve">NCD Series III (ISIN INE0NDH07050)</t>
  </si>
  <si>
    <t xml:space="preserve">Coupon not disclosed in on-disk documents (fixed-rate NCD)</t>
  </si>
  <si>
    <t xml:space="preserve">7-year tenor; deemed date of allotment May 02, 2025 (implies redemption ~May 2032); listed on BSE May 05, 2025</t>
  </si>
  <si>
    <t xml:space="preserve">First-ranking exclusive mortgage by SRPL over identified immovable property of Nexus Esplanade; exclusive hypothecation over SRPL identified receivables and bank account; corporate guarantee by SRPL to Debenture Trustee; asset cover 2.12x at Mar-2026</t>
  </si>
  <si>
    <t xml:space="preserve">NCD Series IV Tranche A (ISIN INE0NDH07068)</t>
  </si>
  <si>
    <t xml:space="preserve">Raised during quarter ended December 31, 2025 (Series IV aggregate Rs 700 cr); redemption date not disclosed in on-disk documents</t>
  </si>
  <si>
    <t xml:space="preserve">First-ranking exclusive mortgage by CPPL over identified immovable property of Nexus Westend Complex; exclusive hypothecation over CPPL identified receivables and bank account; corporate guarantee by CPPL to Debenture Trustee; asset cover 2.02x at Mar-2026</t>
  </si>
  <si>
    <t xml:space="preserve">NCD Series IV Tranche B (ISIN INE0NDH07076)</t>
  </si>
  <si>
    <t xml:space="preserve">Raised during quarter ended December 31, 2025; redemption date not disclosed in on-disk documents</t>
  </si>
  <si>
    <t xml:space="preserve">Same as Series IV Tranche A (Nexus Westend Complex / CPPL guarantee); asset cover 2.02x at Mar-2026</t>
  </si>
  <si>
    <t xml:space="preserve">Commercial Paper - Series VI Tranche A &amp; B (listed on BSE)</t>
  </si>
  <si>
    <t xml:space="preserve">Commercial paper</t>
  </si>
  <si>
    <t xml:space="preserve">Discount rate for Series VI not disclosed in on-disk documents (H1 FY26 CP issues were at 6.67% p.a. (May-2025) and 5.89% p.a. (Aug-2025) discount; as at those issue dates)</t>
  </si>
  <si>
    <t xml:space="preserve">Short-term; Rs 345.10 cr CP raised during quarter ended March 31, 2026 (Series VI Tranche A &amp; B); Nexus CP issues have typically been ~81-91 day tenors</t>
  </si>
  <si>
    <t xml:space="preserve">CSJ Infrastructure Private Limited (Nexus Elante Complex)</t>
  </si>
  <si>
    <t xml:space="preserve">Term loan from banks</t>
  </si>
  <si>
    <t xml:space="preserve">Floating; 8.0% p.a. as at 31-Mar-2024 per FY24 FS (current rate not disclosed in FY26 documents)</t>
  </si>
  <si>
    <t xml:space="preserve">Remaining term 176 months as at 31-Mar-2024 (implies ~Nov 2038); current schedule not disclosed</t>
  </si>
  <si>
    <t xml:space="preserve">First charge on lease rentals/cashflows (present and future) from lessees; collateral security of Nexus Elante Mall, Elante Office Suites and Hyatt Regency</t>
  </si>
  <si>
    <t xml:space="preserve">Select Infrastructure Private Limited (Nexus Seawoods)</t>
  </si>
  <si>
    <t xml:space="preserve">Floating; 8.1% p.a. as at 31-Mar-2024 per FY24 FS (current rate not disclosed in FY26 documents)</t>
  </si>
  <si>
    <t xml:space="preserve">Remaining term 180 months as at 31-Mar-2024 (implies ~Mar 2039); current schedule not disclosed</t>
  </si>
  <si>
    <t xml:space="preserve">First charge on lease rentals/cashflows (present and future) from lessees; collateral security of Nexus Seawoods Mall</t>
  </si>
  <si>
    <t xml:space="preserve">Euthoria Developers Private Limited (Nexus Ahmedabad One)</t>
  </si>
  <si>
    <t xml:space="preserve">Floating; 8.3% p.a. as at 31-Mar-2024 per FY24 FS (current rate not disclosed in FY26 documents)</t>
  </si>
  <si>
    <t xml:space="preserve">Remaining term 153 months as at 31-Mar-2024 (implies ~Dec 2036); current schedule not disclosed</t>
  </si>
  <si>
    <t xml:space="preserve">First-ranking charge on future lease rentals/cashflows from lessees and identified immovable property of Nexus Ahmedabad One Mall</t>
  </si>
  <si>
    <t xml:space="preserve">Knowledge Realty Trust - borrowings as at 2026-03-31</t>
  </si>
  <si>
    <t xml:space="preserve">One World Center Private Limited (One World Center, Lower Parel Mumbai)</t>
  </si>
  <si>
    <t xml:space="preserve">Term loan (LRD)</t>
  </si>
  <si>
    <t xml:space="preserve">6-month MCLR-linked; effective 7.15% p.a. as at 31-Mar-2026 (deck: 7.2% p.a.p.q.)</t>
  </si>
  <si>
    <t xml:space="preserve">180 monthly installments from 30-Nov-2023, to be settled by 31-Oct-2038</t>
  </si>
  <si>
    <t xml:space="preserve">Exclusive charge on present/future receivables &amp; lease rentals of One World Center, mortgage of land &amp; building, escrow, negative lien on other SPV assets</t>
  </si>
  <si>
    <t xml:space="preserve">One World Center Private Limited</t>
  </si>
  <si>
    <t xml:space="preserve">6-month MCLR-linked; effective 7.15% p.a. as at 31-Mar-2026</t>
  </si>
  <si>
    <t xml:space="preserve">168 monthly installments from 30-Nov-2024, to be settled by 31-Oct-2038</t>
  </si>
  <si>
    <t xml:space="preserve">Same One World Center security package</t>
  </si>
  <si>
    <t xml:space="preserve">One BKC Realtors Private Limited (One BKC, BKC Mumbai)</t>
  </si>
  <si>
    <t xml:space="preserve">Indian Bank</t>
  </si>
  <si>
    <t xml:space="preserve">1-year MCLR-linked; effective 7.25% p.a. as at 31-Mar-2026 (deck: 7.3%)</t>
  </si>
  <si>
    <t xml:space="preserve">180 monthly installments from 30-Apr-2023</t>
  </si>
  <si>
    <t xml:space="preserve">Exclusive charge on lease rentals of One BKC wings A/B/C (~449,228 sq ft + 644 car parks), first exclusive mortgage on Property 1, PoA to bank to collect rent</t>
  </si>
  <si>
    <t xml:space="preserve">One BKC Realtors Private Limited</t>
  </si>
  <si>
    <t xml:space="preserve">1-year MCLR-linked; effective 7.25% p.a.</t>
  </si>
  <si>
    <t xml:space="preserve">Part of same 180-month facility</t>
  </si>
  <si>
    <t xml:space="preserve">Same One BKC security package</t>
  </si>
  <si>
    <t xml:space="preserve">Prima Bay Private Limited (Prima Bay Park, Mumbai)</t>
  </si>
  <si>
    <t xml:space="preserve">91-day T-Bill + spread; effective 7.09% p.a. as at 31-Mar-2026 (deck: 7.2%)</t>
  </si>
  <si>
    <t xml:space="preserve">180 monthly instalments from Oct-2025, to be settled by Sep-2040</t>
  </si>
  <si>
    <t xml:space="preserve">First pari passu registered mortgage on Prima Bay property, charge on lease rentals/cashflows, escrow, 1-month DSRA</t>
  </si>
  <si>
    <t xml:space="preserve">Prima Bay Private Limited</t>
  </si>
  <si>
    <t xml:space="preserve">91-day T-Bill + spread; effective 7.09% p.a.</t>
  </si>
  <si>
    <t xml:space="preserve">Part of same facility to Sep-2040</t>
  </si>
  <si>
    <t xml:space="preserve">Same Prima Bay security package</t>
  </si>
  <si>
    <t xml:space="preserve">Exora Business Park Private Limited (Exora Business Park, Bengaluru)</t>
  </si>
  <si>
    <t xml:space="preserve">MCLR-linked (AR note text: 'three months marginal cost of funds based lending rate (1 year MCLR)'); effective 7.06% p.a. as at 31-Mar-2026 (deck: 7.1%)</t>
  </si>
  <si>
    <t xml:space="preserve">180 monthly instalments from 31-Oct-2025, to be settled by 30-Sep-2040</t>
  </si>
  <si>
    <t xml:space="preserve">First &amp; exclusive charge over entire Exora Business Parks project assets, hypothecation of present/future rentals &amp; receivables, escrow &amp; DSRA, charge on TDS refunds</t>
  </si>
  <si>
    <t xml:space="preserve">Exora Business Park Private Limited</t>
  </si>
  <si>
    <t xml:space="preserve">Effective 7.06% p.a. (same facility)</t>
  </si>
  <si>
    <t xml:space="preserve">Same Exora security package</t>
  </si>
  <si>
    <t xml:space="preserve">Kosmo One Business Park Private Limited (Kosmo One, Chennai)</t>
  </si>
  <si>
    <t xml:space="preserve">MCLR-linked; effective 7.10% p.a. as at 31-Mar-2026 (deck: 7.1%)</t>
  </si>
  <si>
    <t xml:space="preserve">180 monthly installments from 31-Mar-2024</t>
  </si>
  <si>
    <t xml:space="preserve">First exclusive charge on Kosmo One lease rentals &amp; cashflows, first exclusive equitable mortgage of property, escrow + lien on SBI Liquid Fund units (₹73.65 mn) as DSRA</t>
  </si>
  <si>
    <t xml:space="preserve">Kosmo One Business Park Private Limited</t>
  </si>
  <si>
    <t xml:space="preserve">Effective 7.10% p.a. (same facility)</t>
  </si>
  <si>
    <t xml:space="preserve">Part of same facility</t>
  </si>
  <si>
    <t xml:space="preserve">Same Kosmo One security package</t>
  </si>
  <si>
    <t xml:space="preserve">Knowledge Realty Trust (Trust level)</t>
  </si>
  <si>
    <t xml:space="preserve">Term loan (REIT-level loan facility)</t>
  </si>
  <si>
    <t xml:space="preserve">Repo rate + spread; effective 7.20% p.a. as at 31-Mar-2026 (deck: 7.2%; refinancing spread saving 50 bps; raised Sep-2025)</t>
  </si>
  <si>
    <t xml:space="preserve">15 years from disbursement; 3-year principal moratorium, then 144 monthly instalments starting Nov-2028</t>
  </si>
  <si>
    <t xml:space="preserve">First ranking exclusive charge on Blocks B (Opel) &amp; C (Argus), Sattva Knowledge City, Hyderabad (Devbhumi Realtors land share), lease receivables, escrow hypothecation, corporate guarantee from Devbhumi Realtors</t>
  </si>
  <si>
    <t xml:space="preserve">Repo rate + spread; effective 7.20% p.a. (part of ₹16,000 mn REIT-level loan facility)</t>
  </si>
  <si>
    <t xml:space="preserve">Part of same 15-year facility</t>
  </si>
  <si>
    <t xml:space="preserve">Same Trust-level Bajaj security package</t>
  </si>
  <si>
    <t xml:space="preserve">NCD Series I (BSE-listed, CRISIL/ICRA AAA)</t>
  </si>
  <si>
    <t xml:space="preserve">NCD</t>
  </si>
  <si>
    <t xml:space="preserve">7.20% fixed coupon (p.a.p.q.)</t>
  </si>
  <si>
    <t xml:space="preserve">Allotted 26-Sep-2025; bullet redemption 25-Sep-2028 (3 yrs); issuer call option 3 months prior to redemption</t>
  </si>
  <si>
    <t xml:space="preserve">First pari passu mortgage over undivided 21.73% share of Devbhumi Realtors land (6.52 acres, Block E-2, Cyberabad Knowledge City, Hyderabad), escrow hypothecation, Devbhumi corporate guarantee; asset cover 2.28x</t>
  </si>
  <si>
    <t xml:space="preserve">NCD Series II (BSE-listed, CRISIL/ICRA AAA)</t>
  </si>
  <si>
    <t xml:space="preserve">7.5378% fixed coupon (deck rounds to 7.5%); issued at premium of ₹45.01 mn</t>
  </si>
  <si>
    <t xml:space="preserve">Allotted 09-Feb-2026; bullet redemption 08-May-2029; issuer call option 3 months prior to redemption</t>
  </si>
  <si>
    <t xml:space="preserve">First pari passu mortgage over undivided 18.50% share of Devbhumi Realtors land (5.55 acres, Block D, Cyberabad Knowledge City), escrow hypothecation, Devbhumi corporate guarantee; asset cover 2.28x</t>
  </si>
  <si>
    <t xml:space="preserve">Worldwide Realcon Private Limited (Sattva Knowledge Park, Hyderabad)</t>
  </si>
  <si>
    <t xml:space="preserve">Axis Bank Limited (tranche 1)</t>
  </si>
  <si>
    <t xml:space="preserve">Repo rate + 2.30% (deck blended 7.3% for this LRD)</t>
  </si>
  <si>
    <t xml:space="preserve">Within 180 monthly instalments from first disbursement</t>
  </si>
  <si>
    <t xml:space="preserve">Mortgage of project-specific land &amp; building; hypothecation of movable fixed assets and current assets incl. rent receivables</t>
  </si>
  <si>
    <t xml:space="preserve">Worldwide Realcon Private Limited</t>
  </si>
  <si>
    <t xml:space="preserve">Axis Bank Limited (tranche 2)</t>
  </si>
  <si>
    <t xml:space="preserve">1-year MCLR + 0.25%</t>
  </si>
  <si>
    <t xml:space="preserve">Within 180 monthly installments from first disbursement</t>
  </si>
  <si>
    <t xml:space="preserve">Mortgage of project-specific land &amp; building; hypothecation of movables and rent receivables</t>
  </si>
  <si>
    <t xml:space="preserve">Repo rate + 2.30%</t>
  </si>
  <si>
    <t xml:space="preserve">Same project security package</t>
  </si>
  <si>
    <t xml:space="preserve">Bajaj Housing Finance Limited (two tranches: ₹185.48 cr + ₹425.36 cr)</t>
  </si>
  <si>
    <t xml:space="preserve">1-year MCLR + 0.25% (both tranches; deck blended 7.3%)</t>
  </si>
  <si>
    <t xml:space="preserve">Darshita Infrastructure Private Limited (Sattva Knowledge Capital, Hyderabad)</t>
  </si>
  <si>
    <t xml:space="preserve">Federal Bank Limited (two tranches: ₹70.08 cr + ₹114.18 cr)</t>
  </si>
  <si>
    <t xml:space="preserve">Repo rate + 2.00% (deck: 7.3%)</t>
  </si>
  <si>
    <t xml:space="preserve">180 monthly instalments from Jun-2020 (tranche 1) and 170 monthly instalments from Apr-2021 (tranche 2)</t>
  </si>
  <si>
    <t xml:space="preserve">Equitable mortgage of SPV share in specific project blocks, hypothecation of receivables, charge on escrow of specified blocks</t>
  </si>
  <si>
    <t xml:space="preserve">Darshita Infrastructure Private Limited</t>
  </si>
  <si>
    <t xml:space="preserve">172 monthly instalments from Apr-2021</t>
  </si>
  <si>
    <t xml:space="preserve">Equitable mortgage of SPV share in specific project blocks, hypothecation of receivables, escrow charge</t>
  </si>
  <si>
    <t xml:space="preserve">Federal Bank Limited</t>
  </si>
  <si>
    <t xml:space="preserve">Repo rate + 2.00%</t>
  </si>
  <si>
    <t xml:space="preserve">Repayable in 180/170 monthly instalments (per AR OD note)</t>
  </si>
  <si>
    <t xml:space="preserve">Equitable mortgage of SPV share in project blocks + receivables + escrow</t>
  </si>
  <si>
    <t xml:space="preserve">Repayable in 172 monthly instalments from Apr-2021</t>
  </si>
  <si>
    <t xml:space="preserve">Darshita Hi-Rise Private Limited (Sattva Knowledge Court, Bengaluru)</t>
  </si>
  <si>
    <t xml:space="preserve">Effective interest 7.50% to 8.50% (deck: 7.3%)</t>
  </si>
  <si>
    <t xml:space="preserve">180 monthly installments from date of disbursement</t>
  </si>
  <si>
    <t xml:space="preserve">Registered equitable mortgage of SPV share in Knowledge Court + undivided land share (Doddenakkundi, Bangalore), hypothecation of current/movable assets, charge on rent receivables via Axis escrow</t>
  </si>
  <si>
    <t xml:space="preserve">Darshita Hi-Rise Private Limited</t>
  </si>
  <si>
    <t xml:space="preserve">7.50% to 8.50%</t>
  </si>
  <si>
    <t xml:space="preserve">Per facility terms (180 monthly instalments)</t>
  </si>
  <si>
    <t xml:space="preserve">Same Knowledge Court security package</t>
  </si>
  <si>
    <t xml:space="preserve">GV Techparks Private Limited (Sattva Global City, Bengaluru)</t>
  </si>
  <si>
    <t xml:space="preserve">91-day T-Bill + 1.79% (deck: 7.2%)</t>
  </si>
  <si>
    <t xml:space="preserve">180 monthly instalments</t>
  </si>
  <si>
    <t xml:space="preserve">Exclusive first charge on present and future lease rentals of Sattva Global City</t>
  </si>
  <si>
    <t xml:space="preserve">Softzone Tech Park Limited (Sattva Softzone / Touchstone complex, Bengaluru)</t>
  </si>
  <si>
    <t xml:space="preserve">8.25% p.a. (Repo rate + 2.00% spread)</t>
  </si>
  <si>
    <t xml:space="preserve">Repayable in 144 monthly installments</t>
  </si>
  <si>
    <t xml:space="preserve">Assignment of rent receivables of Sattva Softzone</t>
  </si>
  <si>
    <t xml:space="preserve">Softzone Tech Park Limited</t>
  </si>
  <si>
    <t xml:space="preserve">Term loan / FD-backed OD</t>
  </si>
  <si>
    <t xml:space="preserve">Repayable on demand (per AR loans-on-demand note)</t>
  </si>
  <si>
    <t xml:space="preserve">Fixed deposit pledged as lien against DSRA requirements of overdraft</t>
  </si>
  <si>
    <t xml:space="preserve">Bank of Maharashtra</t>
  </si>
  <si>
    <t xml:space="preserve">8.80% p.a. (1-month MCLR + 0.20% spread)</t>
  </si>
  <si>
    <t xml:space="preserve">Sattva Properties Management Private Limited (CAM Bengaluru-I)</t>
  </si>
  <si>
    <t xml:space="preserve">8.00% p.a. (deck CAM Bengaluru: 7.5%)</t>
  </si>
  <si>
    <t xml:space="preserve">Fixed deposit pledged as lien against DSRA requirements</t>
  </si>
  <si>
    <t xml:space="preserve">Bagmane Prime Office REIT - borrowings as at 2026-03-31</t>
  </si>
  <si>
    <t xml:space="preserve">A. Borrowings as at 31-Mar-2026: NIL</t>
  </si>
  <si>
    <t xml:space="preserve">The Trust had no outstanding borrowings as at 31-Mar-2026 </t>
  </si>
  <si>
    <t xml:space="preserve">B. Pre-listing context — HoldCo/SPV indebtedness as at 31-Dec-2025 per RHP </t>
  </si>
  <si>
    <t xml:space="preserve">HoldCo (BDPL) + SPVs</t>
  </si>
  <si>
    <t xml:space="preserve">Term loans from banks (MCLR/PLR/RBI benchmark + spread; lenders not individually named in RHP)</t>
  </si>
  <si>
    <t xml:space="preserve">Secured term loans</t>
  </si>
  <si>
    <t xml:space="preserve">Floating: MCLR/PLR/RBI benchmark + spread (spread varies by facility; not disclosed)</t>
  </si>
  <si>
    <t xml:space="preserve">Tenors / repayment 24-156 months</t>
  </si>
  <si>
    <t xml:space="preserve">Mortgage over property &amp; buildings, charge on movables/intangibles, assignment of lease rental receivables, negative lien, charge on rental collection accounts</t>
  </si>
  <si>
    <t xml:space="preserve">2025-12-31</t>
  </si>
  <si>
    <t xml:space="preserve">Term loans from financial institutions</t>
  </si>
  <si>
    <t xml:space="preserve">Term loan (FI)</t>
  </si>
  <si>
    <t xml:space="preserve">Floating: benchmark + spread (not disclosed)</t>
  </si>
  <si>
    <t xml:space="preserve">Same security package as bank term loans</t>
  </si>
  <si>
    <t xml:space="preserve">Bank overdraft</t>
  </si>
  <si>
    <t xml:space="preserve">On demand</t>
  </si>
  <si>
    <t xml:space="preserve">Same security package</t>
  </si>
  <si>
    <t xml:space="preserve">HoldCo (BDPL)</t>
  </si>
  <si>
    <t xml:space="preserve">Share Warrants and Optionally Convertible Debentures (650 mn OCDs allotted to Other Investors-I, subscription agreement 22-Dec-2025)</t>
  </si>
  <si>
    <t xml:space="preserve">Warrants / OCD liability</t>
  </si>
  <si>
    <t xml:space="preserve">Per subscription agreement</t>
  </si>
  <si>
    <t xml:space="preserve">Total RHP indebtedness (31-Dec-2025)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</si>
</sst>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%"/>
    <numFmt numFmtId="167" formatCode="0.00%"/>
    <numFmt numFmtId="168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9E2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1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H16" activeCellId="0" sqref="H1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1"/>
    <col collapsed="false" customWidth="true" hidden="false" outlineLevel="0" max="4" min="3" style="1" width="13"/>
    <col collapsed="false" customWidth="true" hidden="false" outlineLevel="0" max="5" min="5" style="1" width="12"/>
    <col collapsed="false" customWidth="true" hidden="false" outlineLevel="0" max="7" min="6" style="1" width="11"/>
    <col collapsed="false" customWidth="true" hidden="false" outlineLevel="0" max="9" min="8" style="1" width="8"/>
    <col collapsed="false" customWidth="true" hidden="false" outlineLevel="0" max="10" min="10" style="1" width="10"/>
    <col collapsed="false" customWidth="true" hidden="false" outlineLevel="0" max="11" min="11" style="1" width="13"/>
    <col collapsed="false" customWidth="true" hidden="false" outlineLevel="0" max="12" min="12" style="0" width="22"/>
    <col collapsed="false" customWidth="true" hidden="false" outlineLevel="0" max="13" min="13" style="0" width="60"/>
  </cols>
  <sheetData>
    <row r="1" customFormat="false" ht="16.15" hidden="false" customHeight="false" outlineLevel="0" collapsed="false">
      <c r="A1" s="2"/>
    </row>
    <row r="2" customFormat="false" ht="15" hidden="false" customHeight="false" outlineLevel="0" collapsed="false">
      <c r="A2" s="3"/>
    </row>
    <row r="4" customFormat="false" ht="35.05" hidden="false" customHeight="false" outlineLevel="0" collapsed="false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</row>
    <row r="5" customFormat="false" ht="51.75" hidden="false" customHeight="true" outlineLevel="0" collapsed="false">
      <c r="A5" s="5" t="s">
        <v>11</v>
      </c>
      <c r="B5" s="5" t="s">
        <v>12</v>
      </c>
      <c r="C5" s="6" t="n">
        <v>22384.79</v>
      </c>
      <c r="D5" s="6" t="n">
        <v>21415.12</v>
      </c>
      <c r="E5" s="7" t="n">
        <v>0.3</v>
      </c>
      <c r="F5" s="8" t="n">
        <v>0.0725</v>
      </c>
      <c r="G5" s="9" t="n">
        <v>3.75</v>
      </c>
      <c r="H5" s="7" t="n">
        <v>0.602</v>
      </c>
      <c r="I5" s="7" t="n">
        <v>0.398</v>
      </c>
      <c r="J5" s="5" t="n">
        <v>47</v>
      </c>
      <c r="K5" s="10" t="n">
        <f aca="false">Embassy!E52</f>
        <v>22384.82</v>
      </c>
    </row>
    <row r="6" customFormat="false" ht="51.75" hidden="false" customHeight="true" outlineLevel="0" collapsed="false">
      <c r="A6" s="5" t="s">
        <v>13</v>
      </c>
      <c r="B6" s="5" t="s">
        <v>12</v>
      </c>
      <c r="C6" s="6" t="n">
        <v>12976.17</v>
      </c>
      <c r="D6" s="6" t="n">
        <v>11803.31</v>
      </c>
      <c r="E6" s="7" t="n">
        <v>0.2374</v>
      </c>
      <c r="F6" s="8" t="n">
        <v>0.0741</v>
      </c>
      <c r="G6" s="9" t="n">
        <v>5.2</v>
      </c>
      <c r="H6" s="7" t="n">
        <v>0.675</v>
      </c>
      <c r="I6" s="7" t="n">
        <v>0.325</v>
      </c>
      <c r="J6" s="5" t="n">
        <v>32</v>
      </c>
      <c r="K6" s="10" t="n">
        <f aca="false">Mindspace!E37</f>
        <v>13007.99</v>
      </c>
    </row>
    <row r="7" customFormat="false" ht="51.75" hidden="false" customHeight="true" outlineLevel="0" collapsed="false">
      <c r="A7" s="5" t="s">
        <v>14</v>
      </c>
      <c r="B7" s="5" t="s">
        <v>12</v>
      </c>
      <c r="C7" s="6" t="n">
        <v>16432.78</v>
      </c>
      <c r="D7" s="6" t="n">
        <v>15758.56</v>
      </c>
      <c r="E7" s="7" t="n">
        <v>0.34</v>
      </c>
      <c r="F7" s="8" t="n">
        <v>0.073</v>
      </c>
      <c r="G7" s="9" t="n">
        <v>10</v>
      </c>
      <c r="H7" s="7" t="n">
        <v>0.1</v>
      </c>
      <c r="I7" s="7" t="n">
        <v>0.9</v>
      </c>
      <c r="J7" s="5" t="n">
        <v>23</v>
      </c>
      <c r="K7" s="10" t="n">
        <f aca="false">Brookfield!E25</f>
        <v>16432.79</v>
      </c>
    </row>
    <row r="8" customFormat="false" ht="51.75" hidden="false" customHeight="true" outlineLevel="0" collapsed="false">
      <c r="A8" s="5" t="s">
        <v>15</v>
      </c>
      <c r="B8" s="5" t="s">
        <v>12</v>
      </c>
      <c r="C8" s="6" t="n">
        <v>6197.23</v>
      </c>
      <c r="D8" s="6" t="n">
        <v>6161.2</v>
      </c>
      <c r="E8" s="7" t="n">
        <v>0.202</v>
      </c>
      <c r="F8" s="8" t="s">
        <v>16</v>
      </c>
      <c r="G8" s="9" t="s">
        <v>16</v>
      </c>
      <c r="H8" s="7" t="n">
        <v>0.443</v>
      </c>
      <c r="I8" s="7" t="n">
        <v>0.557</v>
      </c>
      <c r="J8" s="5" t="n">
        <v>11</v>
      </c>
      <c r="K8" s="10" t="n">
        <f aca="false">'Nexus Select'!E16</f>
        <v>6197.23</v>
      </c>
    </row>
    <row r="9" customFormat="false" ht="51.75" hidden="false" customHeight="true" outlineLevel="0" collapsed="false">
      <c r="A9" s="5" t="s">
        <v>17</v>
      </c>
      <c r="B9" s="5" t="s">
        <v>12</v>
      </c>
      <c r="C9" s="6" t="n">
        <v>12358.64</v>
      </c>
      <c r="D9" s="6" t="n">
        <v>11732.09</v>
      </c>
      <c r="E9" s="7" t="n">
        <v>0.18</v>
      </c>
      <c r="F9" s="8" t="n">
        <v>0.072</v>
      </c>
      <c r="G9" s="9" t="s">
        <v>16</v>
      </c>
      <c r="H9" s="7" t="n">
        <v>0.21</v>
      </c>
      <c r="I9" s="7" t="n">
        <v>0.79</v>
      </c>
      <c r="J9" s="5" t="n">
        <v>29</v>
      </c>
      <c r="K9" s="10" t="n">
        <f aca="false">KRT!E34</f>
        <v>12358.65</v>
      </c>
    </row>
    <row r="10" customFormat="false" ht="51.75" hidden="false" customHeight="true" outlineLevel="0" collapsed="false">
      <c r="A10" s="5" t="s">
        <v>18</v>
      </c>
      <c r="B10" s="5" t="s">
        <v>12</v>
      </c>
      <c r="C10" s="6" t="n">
        <v>0</v>
      </c>
      <c r="D10" s="6" t="n">
        <v>0</v>
      </c>
      <c r="E10" s="7" t="s">
        <v>19</v>
      </c>
      <c r="F10" s="8" t="s">
        <v>16</v>
      </c>
      <c r="G10" s="9" t="s">
        <v>16</v>
      </c>
      <c r="H10" s="7" t="s">
        <v>19</v>
      </c>
      <c r="I10" s="7" t="s">
        <v>19</v>
      </c>
      <c r="J10" s="5" t="n">
        <v>0</v>
      </c>
      <c r="K10" s="11" t="n">
        <v>0</v>
      </c>
    </row>
    <row r="12" customFormat="false" ht="15" hidden="false" customHeight="false" outlineLevel="0" collapsed="false">
      <c r="A12" s="12"/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4" topLeftCell="A5" activePane="bottomLeft" state="frozen"/>
      <selection pane="topLeft" activeCell="A1" activeCellId="0" sqref="A1"/>
      <selection pane="bottomLeft" activeCell="G14" activeCellId="0" sqref="G1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4"/>
    <col collapsed="false" customWidth="true" hidden="false" outlineLevel="0" max="3" min="3" style="1" width="22"/>
    <col collapsed="false" customWidth="true" hidden="false" outlineLevel="0" max="6" min="4" style="1" width="12"/>
    <col collapsed="false" customWidth="true" hidden="false" outlineLevel="0" max="8" min="7" style="1" width="34"/>
    <col collapsed="false" customWidth="true" hidden="false" outlineLevel="0" max="9" min="9" style="1" width="44"/>
    <col collapsed="false" customWidth="true" hidden="false" outlineLevel="0" max="10" min="10" style="1" width="11"/>
    <col collapsed="false" customWidth="true" hidden="false" outlineLevel="0" max="11" min="11" style="0" width="32"/>
    <col collapsed="false" customWidth="true" hidden="false" outlineLevel="0" max="12" min="12" style="0" width="8"/>
  </cols>
  <sheetData>
    <row r="1" customFormat="false" ht="15" hidden="false" customHeight="false" outlineLevel="0" collapsed="false">
      <c r="A1" s="13" t="s">
        <v>20</v>
      </c>
    </row>
    <row r="2" customFormat="false" ht="15" hidden="false" customHeight="false" outlineLevel="0" collapsed="false">
      <c r="A2" s="0"/>
    </row>
    <row r="4" customFormat="false" ht="22.3" hidden="false" customHeight="false" outlineLevel="0" collapsed="false">
      <c r="A4" s="14" t="s">
        <v>21</v>
      </c>
      <c r="B4" s="14" t="s">
        <v>22</v>
      </c>
      <c r="C4" s="14" t="s">
        <v>23</v>
      </c>
      <c r="D4" s="14" t="s">
        <v>24</v>
      </c>
      <c r="E4" s="14" t="s">
        <v>25</v>
      </c>
      <c r="F4" s="14" t="s">
        <v>26</v>
      </c>
      <c r="G4" s="14" t="s">
        <v>27</v>
      </c>
      <c r="H4" s="14" t="s">
        <v>28</v>
      </c>
      <c r="I4" s="14" t="s">
        <v>29</v>
      </c>
      <c r="J4" s="14" t="s">
        <v>1</v>
      </c>
    </row>
    <row r="5" customFormat="false" ht="22.3" hidden="false" customHeight="false" outlineLevel="0" collapsed="false">
      <c r="A5" s="15" t="s">
        <v>11</v>
      </c>
      <c r="B5" s="15" t="s">
        <v>30</v>
      </c>
      <c r="C5" s="15" t="s">
        <v>31</v>
      </c>
      <c r="D5" s="15" t="s">
        <v>32</v>
      </c>
      <c r="E5" s="16" t="n">
        <v>299.76</v>
      </c>
      <c r="F5" s="16"/>
      <c r="G5" s="15" t="s">
        <v>33</v>
      </c>
      <c r="H5" s="15" t="s">
        <v>34</v>
      </c>
      <c r="I5" s="15" t="s">
        <v>35</v>
      </c>
      <c r="J5" s="15" t="s">
        <v>12</v>
      </c>
    </row>
    <row r="6" customFormat="false" ht="32.5" hidden="false" customHeight="false" outlineLevel="0" collapsed="false">
      <c r="A6" s="15" t="s">
        <v>11</v>
      </c>
      <c r="B6" s="15" t="s">
        <v>36</v>
      </c>
      <c r="C6" s="15" t="s">
        <v>31</v>
      </c>
      <c r="D6" s="15" t="s">
        <v>32</v>
      </c>
      <c r="E6" s="16" t="n">
        <v>1099.2</v>
      </c>
      <c r="F6" s="16"/>
      <c r="G6" s="15" t="s">
        <v>37</v>
      </c>
      <c r="H6" s="15" t="s">
        <v>38</v>
      </c>
      <c r="I6" s="15" t="s">
        <v>39</v>
      </c>
      <c r="J6" s="15" t="s">
        <v>12</v>
      </c>
    </row>
    <row r="7" customFormat="false" ht="22.3" hidden="false" customHeight="false" outlineLevel="0" collapsed="false">
      <c r="A7" s="15" t="s">
        <v>11</v>
      </c>
      <c r="B7" s="15" t="s">
        <v>40</v>
      </c>
      <c r="C7" s="15" t="s">
        <v>31</v>
      </c>
      <c r="D7" s="15" t="s">
        <v>32</v>
      </c>
      <c r="E7" s="16" t="n">
        <v>998.96</v>
      </c>
      <c r="F7" s="16"/>
      <c r="G7" s="15" t="s">
        <v>41</v>
      </c>
      <c r="H7" s="15" t="s">
        <v>42</v>
      </c>
      <c r="I7" s="15" t="s">
        <v>43</v>
      </c>
      <c r="J7" s="15" t="s">
        <v>12</v>
      </c>
    </row>
    <row r="8" customFormat="false" ht="22.3" hidden="false" customHeight="false" outlineLevel="0" collapsed="false">
      <c r="A8" s="15" t="s">
        <v>11</v>
      </c>
      <c r="B8" s="15" t="s">
        <v>44</v>
      </c>
      <c r="C8" s="15" t="s">
        <v>31</v>
      </c>
      <c r="D8" s="15" t="s">
        <v>32</v>
      </c>
      <c r="E8" s="16" t="n">
        <v>499.89</v>
      </c>
      <c r="F8" s="16"/>
      <c r="G8" s="15" t="s">
        <v>45</v>
      </c>
      <c r="H8" s="15" t="s">
        <v>46</v>
      </c>
      <c r="I8" s="15" t="s">
        <v>47</v>
      </c>
      <c r="J8" s="15" t="s">
        <v>12</v>
      </c>
    </row>
    <row r="9" customFormat="false" ht="22.3" hidden="false" customHeight="false" outlineLevel="0" collapsed="false">
      <c r="A9" s="15" t="s">
        <v>11</v>
      </c>
      <c r="B9" s="15" t="s">
        <v>48</v>
      </c>
      <c r="C9" s="15" t="s">
        <v>31</v>
      </c>
      <c r="D9" s="15" t="s">
        <v>32</v>
      </c>
      <c r="E9" s="16" t="n">
        <v>900.29</v>
      </c>
      <c r="F9" s="16"/>
      <c r="G9" s="15" t="s">
        <v>49</v>
      </c>
      <c r="H9" s="15" t="s">
        <v>50</v>
      </c>
      <c r="I9" s="15" t="s">
        <v>51</v>
      </c>
      <c r="J9" s="15" t="s">
        <v>12</v>
      </c>
    </row>
    <row r="10" customFormat="false" ht="22.3" hidden="false" customHeight="false" outlineLevel="0" collapsed="false">
      <c r="A10" s="15" t="s">
        <v>11</v>
      </c>
      <c r="B10" s="15" t="s">
        <v>52</v>
      </c>
      <c r="C10" s="15" t="s">
        <v>31</v>
      </c>
      <c r="D10" s="15" t="s">
        <v>32</v>
      </c>
      <c r="E10" s="16" t="n">
        <v>998.89</v>
      </c>
      <c r="F10" s="16"/>
      <c r="G10" s="15" t="s">
        <v>53</v>
      </c>
      <c r="H10" s="15" t="s">
        <v>54</v>
      </c>
      <c r="I10" s="15" t="s">
        <v>55</v>
      </c>
      <c r="J10" s="15" t="s">
        <v>12</v>
      </c>
    </row>
    <row r="11" customFormat="false" ht="32.5" hidden="false" customHeight="false" outlineLevel="0" collapsed="false">
      <c r="A11" s="15" t="s">
        <v>11</v>
      </c>
      <c r="B11" s="15" t="s">
        <v>56</v>
      </c>
      <c r="C11" s="15" t="s">
        <v>31</v>
      </c>
      <c r="D11" s="15" t="s">
        <v>32</v>
      </c>
      <c r="E11" s="16" t="n">
        <v>1497.37</v>
      </c>
      <c r="F11" s="16"/>
      <c r="G11" s="15" t="s">
        <v>57</v>
      </c>
      <c r="H11" s="15" t="s">
        <v>58</v>
      </c>
      <c r="I11" s="15" t="s">
        <v>59</v>
      </c>
      <c r="J11" s="15" t="s">
        <v>12</v>
      </c>
    </row>
    <row r="12" customFormat="false" ht="22.3" hidden="false" customHeight="false" outlineLevel="0" collapsed="false">
      <c r="A12" s="15" t="s">
        <v>11</v>
      </c>
      <c r="B12" s="15" t="s">
        <v>60</v>
      </c>
      <c r="C12" s="15" t="s">
        <v>31</v>
      </c>
      <c r="D12" s="15" t="s">
        <v>32</v>
      </c>
      <c r="E12" s="16" t="n">
        <v>499.2</v>
      </c>
      <c r="F12" s="16"/>
      <c r="G12" s="15" t="s">
        <v>61</v>
      </c>
      <c r="H12" s="15" t="s">
        <v>62</v>
      </c>
      <c r="I12" s="15" t="s">
        <v>63</v>
      </c>
      <c r="J12" s="15" t="s">
        <v>12</v>
      </c>
    </row>
    <row r="13" customFormat="false" ht="22.3" hidden="false" customHeight="false" outlineLevel="0" collapsed="false">
      <c r="A13" s="15" t="s">
        <v>11</v>
      </c>
      <c r="B13" s="15" t="s">
        <v>64</v>
      </c>
      <c r="C13" s="15" t="s">
        <v>31</v>
      </c>
      <c r="D13" s="15" t="s">
        <v>32</v>
      </c>
      <c r="E13" s="16" t="n">
        <v>749.89</v>
      </c>
      <c r="F13" s="16"/>
      <c r="G13" s="15" t="s">
        <v>65</v>
      </c>
      <c r="H13" s="15" t="s">
        <v>66</v>
      </c>
      <c r="I13" s="15" t="s">
        <v>67</v>
      </c>
      <c r="J13" s="15" t="s">
        <v>12</v>
      </c>
    </row>
    <row r="14" customFormat="false" ht="22.3" hidden="false" customHeight="false" outlineLevel="0" collapsed="false">
      <c r="A14" s="15" t="s">
        <v>11</v>
      </c>
      <c r="B14" s="15" t="s">
        <v>68</v>
      </c>
      <c r="C14" s="15" t="s">
        <v>31</v>
      </c>
      <c r="D14" s="15" t="s">
        <v>32</v>
      </c>
      <c r="E14" s="16" t="n">
        <v>1988.91</v>
      </c>
      <c r="F14" s="16"/>
      <c r="G14" s="15" t="s">
        <v>69</v>
      </c>
      <c r="H14" s="15" t="s">
        <v>70</v>
      </c>
      <c r="I14" s="15" t="s">
        <v>71</v>
      </c>
      <c r="J14" s="15" t="s">
        <v>12</v>
      </c>
    </row>
    <row r="15" customFormat="false" ht="22.3" hidden="false" customHeight="false" outlineLevel="0" collapsed="false">
      <c r="A15" s="15" t="s">
        <v>11</v>
      </c>
      <c r="B15" s="15" t="s">
        <v>72</v>
      </c>
      <c r="C15" s="15" t="s">
        <v>31</v>
      </c>
      <c r="D15" s="15" t="s">
        <v>32</v>
      </c>
      <c r="E15" s="16" t="n">
        <v>1393.91</v>
      </c>
      <c r="F15" s="16"/>
      <c r="G15" s="15" t="s">
        <v>73</v>
      </c>
      <c r="H15" s="15" t="s">
        <v>74</v>
      </c>
      <c r="I15" s="15" t="s">
        <v>75</v>
      </c>
      <c r="J15" s="15" t="s">
        <v>12</v>
      </c>
    </row>
    <row r="16" customFormat="false" ht="22.3" hidden="false" customHeight="false" outlineLevel="0" collapsed="false">
      <c r="A16" s="15" t="s">
        <v>76</v>
      </c>
      <c r="B16" s="15" t="s">
        <v>77</v>
      </c>
      <c r="C16" s="15" t="s">
        <v>78</v>
      </c>
      <c r="D16" s="15" t="s">
        <v>32</v>
      </c>
      <c r="E16" s="16" t="n">
        <v>1025</v>
      </c>
      <c r="F16" s="16"/>
      <c r="G16" s="15" t="s">
        <v>79</v>
      </c>
      <c r="H16" s="15" t="s">
        <v>80</v>
      </c>
      <c r="I16" s="15" t="s">
        <v>81</v>
      </c>
      <c r="J16" s="15" t="s">
        <v>12</v>
      </c>
    </row>
    <row r="17" customFormat="false" ht="32.5" hidden="false" customHeight="false" outlineLevel="0" collapsed="false">
      <c r="A17" s="15" t="s">
        <v>82</v>
      </c>
      <c r="B17" s="15" t="s">
        <v>83</v>
      </c>
      <c r="C17" s="15" t="s">
        <v>78</v>
      </c>
      <c r="D17" s="15" t="s">
        <v>32</v>
      </c>
      <c r="E17" s="16" t="n">
        <v>388.62</v>
      </c>
      <c r="F17" s="16"/>
      <c r="G17" s="15" t="s">
        <v>84</v>
      </c>
      <c r="H17" s="15" t="s">
        <v>85</v>
      </c>
      <c r="I17" s="15" t="s">
        <v>86</v>
      </c>
      <c r="J17" s="15" t="s">
        <v>12</v>
      </c>
    </row>
    <row r="18" customFormat="false" ht="22.3" hidden="false" customHeight="false" outlineLevel="0" collapsed="false">
      <c r="A18" s="15" t="s">
        <v>87</v>
      </c>
      <c r="B18" s="15" t="s">
        <v>88</v>
      </c>
      <c r="C18" s="15" t="s">
        <v>78</v>
      </c>
      <c r="D18" s="15" t="s">
        <v>32</v>
      </c>
      <c r="E18" s="16" t="n">
        <v>273.88</v>
      </c>
      <c r="F18" s="16"/>
      <c r="G18" s="15" t="s">
        <v>89</v>
      </c>
      <c r="H18" s="15" t="s">
        <v>90</v>
      </c>
      <c r="I18" s="15" t="s">
        <v>91</v>
      </c>
      <c r="J18" s="15" t="s">
        <v>12</v>
      </c>
    </row>
    <row r="19" customFormat="false" ht="22.3" hidden="false" customHeight="false" outlineLevel="0" collapsed="false">
      <c r="A19" s="15" t="s">
        <v>11</v>
      </c>
      <c r="B19" s="15" t="s">
        <v>92</v>
      </c>
      <c r="C19" s="15" t="s">
        <v>93</v>
      </c>
      <c r="D19" s="15" t="s">
        <v>94</v>
      </c>
      <c r="E19" s="16" t="n">
        <v>394.82</v>
      </c>
      <c r="F19" s="16"/>
      <c r="G19" s="15" t="s">
        <v>95</v>
      </c>
      <c r="H19" s="15" t="s">
        <v>96</v>
      </c>
      <c r="I19" s="15" t="s">
        <v>94</v>
      </c>
      <c r="J19" s="15" t="s">
        <v>12</v>
      </c>
    </row>
    <row r="20" customFormat="false" ht="22.3" hidden="false" customHeight="false" outlineLevel="0" collapsed="false">
      <c r="A20" s="15" t="s">
        <v>11</v>
      </c>
      <c r="B20" s="15" t="s">
        <v>97</v>
      </c>
      <c r="C20" s="15" t="s">
        <v>93</v>
      </c>
      <c r="D20" s="15" t="s">
        <v>94</v>
      </c>
      <c r="E20" s="16" t="n">
        <v>468.26</v>
      </c>
      <c r="F20" s="16"/>
      <c r="G20" s="15" t="s">
        <v>98</v>
      </c>
      <c r="H20" s="15" t="s">
        <v>99</v>
      </c>
      <c r="I20" s="15" t="s">
        <v>94</v>
      </c>
      <c r="J20" s="15" t="s">
        <v>12</v>
      </c>
    </row>
    <row r="21" customFormat="false" ht="22.3" hidden="false" customHeight="false" outlineLevel="0" collapsed="false">
      <c r="A21" s="15" t="s">
        <v>11</v>
      </c>
      <c r="B21" s="15" t="s">
        <v>100</v>
      </c>
      <c r="C21" s="15" t="s">
        <v>101</v>
      </c>
      <c r="D21" s="15" t="s">
        <v>32</v>
      </c>
      <c r="E21" s="16" t="n">
        <v>324.9</v>
      </c>
      <c r="F21" s="16"/>
      <c r="G21" s="15" t="s">
        <v>102</v>
      </c>
      <c r="H21" s="15" t="s">
        <v>103</v>
      </c>
      <c r="I21" s="15" t="s">
        <v>104</v>
      </c>
      <c r="J21" s="15" t="s">
        <v>12</v>
      </c>
    </row>
    <row r="22" customFormat="false" ht="22.3" hidden="false" customHeight="false" outlineLevel="0" collapsed="false">
      <c r="A22" s="15" t="s">
        <v>76</v>
      </c>
      <c r="B22" s="15" t="s">
        <v>105</v>
      </c>
      <c r="C22" s="15" t="s">
        <v>106</v>
      </c>
      <c r="D22" s="15" t="s">
        <v>32</v>
      </c>
      <c r="E22" s="16" t="n">
        <v>100.16</v>
      </c>
      <c r="F22" s="16"/>
      <c r="G22" s="15" t="s">
        <v>107</v>
      </c>
      <c r="H22" s="15" t="s">
        <v>108</v>
      </c>
      <c r="I22" s="15" t="s">
        <v>109</v>
      </c>
      <c r="J22" s="15" t="s">
        <v>12</v>
      </c>
    </row>
    <row r="23" customFormat="false" ht="22.3" hidden="false" customHeight="false" outlineLevel="0" collapsed="false">
      <c r="A23" s="15" t="s">
        <v>110</v>
      </c>
      <c r="B23" s="15" t="s">
        <v>111</v>
      </c>
      <c r="C23" s="15" t="s">
        <v>112</v>
      </c>
      <c r="D23" s="15" t="s">
        <v>32</v>
      </c>
      <c r="E23" s="16" t="n">
        <v>162.29</v>
      </c>
      <c r="F23" s="16"/>
      <c r="G23" s="15" t="s">
        <v>113</v>
      </c>
      <c r="H23" s="15" t="s">
        <v>114</v>
      </c>
      <c r="I23" s="15" t="s">
        <v>115</v>
      </c>
      <c r="J23" s="15" t="s">
        <v>12</v>
      </c>
    </row>
    <row r="24" customFormat="false" ht="22.3" hidden="false" customHeight="false" outlineLevel="0" collapsed="false">
      <c r="A24" s="15" t="s">
        <v>110</v>
      </c>
      <c r="B24" s="15" t="s">
        <v>116</v>
      </c>
      <c r="C24" s="15" t="s">
        <v>106</v>
      </c>
      <c r="D24" s="15" t="s">
        <v>32</v>
      </c>
      <c r="E24" s="16" t="n">
        <v>200.05</v>
      </c>
      <c r="F24" s="16"/>
      <c r="G24" s="15" t="s">
        <v>117</v>
      </c>
      <c r="H24" s="15" t="s">
        <v>118</v>
      </c>
      <c r="I24" s="15" t="s">
        <v>119</v>
      </c>
      <c r="J24" s="15" t="s">
        <v>12</v>
      </c>
    </row>
    <row r="25" customFormat="false" ht="22.3" hidden="false" customHeight="false" outlineLevel="0" collapsed="false">
      <c r="A25" s="15" t="s">
        <v>110</v>
      </c>
      <c r="B25" s="15" t="s">
        <v>116</v>
      </c>
      <c r="C25" s="15" t="s">
        <v>106</v>
      </c>
      <c r="D25" s="15" t="s">
        <v>32</v>
      </c>
      <c r="E25" s="16" t="n">
        <v>99.04</v>
      </c>
      <c r="F25" s="16"/>
      <c r="G25" s="15" t="s">
        <v>120</v>
      </c>
      <c r="H25" s="15" t="s">
        <v>118</v>
      </c>
      <c r="I25" s="15" t="s">
        <v>119</v>
      </c>
      <c r="J25" s="15" t="s">
        <v>12</v>
      </c>
    </row>
    <row r="26" customFormat="false" ht="22.3" hidden="false" customHeight="false" outlineLevel="0" collapsed="false">
      <c r="A26" s="15" t="s">
        <v>110</v>
      </c>
      <c r="B26" s="15" t="s">
        <v>121</v>
      </c>
      <c r="C26" s="15" t="s">
        <v>112</v>
      </c>
      <c r="D26" s="15" t="s">
        <v>32</v>
      </c>
      <c r="E26" s="16" t="n">
        <v>197.92</v>
      </c>
      <c r="F26" s="16"/>
      <c r="G26" s="15" t="s">
        <v>122</v>
      </c>
      <c r="H26" s="15" t="s">
        <v>123</v>
      </c>
      <c r="I26" s="15" t="s">
        <v>119</v>
      </c>
      <c r="J26" s="15" t="s">
        <v>12</v>
      </c>
    </row>
    <row r="27" customFormat="false" ht="22.3" hidden="false" customHeight="false" outlineLevel="0" collapsed="false">
      <c r="A27" s="15" t="s">
        <v>76</v>
      </c>
      <c r="B27" s="15" t="s">
        <v>124</v>
      </c>
      <c r="C27" s="15" t="s">
        <v>112</v>
      </c>
      <c r="D27" s="15" t="s">
        <v>32</v>
      </c>
      <c r="E27" s="16" t="n">
        <v>336</v>
      </c>
      <c r="F27" s="16"/>
      <c r="G27" s="15" t="s">
        <v>125</v>
      </c>
      <c r="H27" s="15" t="s">
        <v>126</v>
      </c>
      <c r="I27" s="15" t="s">
        <v>127</v>
      </c>
      <c r="J27" s="15" t="s">
        <v>12</v>
      </c>
    </row>
    <row r="28" customFormat="false" ht="22.3" hidden="false" customHeight="false" outlineLevel="0" collapsed="false">
      <c r="A28" s="15" t="s">
        <v>76</v>
      </c>
      <c r="B28" s="15" t="s">
        <v>116</v>
      </c>
      <c r="C28" s="15" t="s">
        <v>112</v>
      </c>
      <c r="D28" s="15" t="s">
        <v>32</v>
      </c>
      <c r="E28" s="16" t="n">
        <v>499.85</v>
      </c>
      <c r="F28" s="16"/>
      <c r="G28" s="15" t="s">
        <v>128</v>
      </c>
      <c r="H28" s="15" t="s">
        <v>129</v>
      </c>
      <c r="I28" s="15" t="s">
        <v>130</v>
      </c>
      <c r="J28" s="15" t="s">
        <v>12</v>
      </c>
    </row>
    <row r="29" customFormat="false" ht="22.3" hidden="false" customHeight="false" outlineLevel="0" collapsed="false">
      <c r="A29" s="15" t="s">
        <v>131</v>
      </c>
      <c r="B29" s="15" t="s">
        <v>132</v>
      </c>
      <c r="C29" s="15" t="s">
        <v>112</v>
      </c>
      <c r="D29" s="15" t="s">
        <v>32</v>
      </c>
      <c r="E29" s="16" t="n">
        <v>155</v>
      </c>
      <c r="F29" s="16"/>
      <c r="G29" s="15" t="s">
        <v>133</v>
      </c>
      <c r="H29" s="15" t="s">
        <v>134</v>
      </c>
      <c r="I29" s="15" t="s">
        <v>135</v>
      </c>
      <c r="J29" s="15" t="s">
        <v>12</v>
      </c>
    </row>
    <row r="30" customFormat="false" ht="22.3" hidden="false" customHeight="false" outlineLevel="0" collapsed="false">
      <c r="A30" s="15" t="s">
        <v>131</v>
      </c>
      <c r="B30" s="15" t="s">
        <v>132</v>
      </c>
      <c r="C30" s="15" t="s">
        <v>106</v>
      </c>
      <c r="D30" s="15" t="s">
        <v>32</v>
      </c>
      <c r="E30" s="16" t="n">
        <v>39.81</v>
      </c>
      <c r="F30" s="16"/>
      <c r="G30" s="15" t="s">
        <v>133</v>
      </c>
      <c r="H30" s="15" t="s">
        <v>136</v>
      </c>
      <c r="I30" s="15" t="s">
        <v>137</v>
      </c>
      <c r="J30" s="15" t="s">
        <v>12</v>
      </c>
    </row>
    <row r="31" customFormat="false" ht="22.3" hidden="false" customHeight="false" outlineLevel="0" collapsed="false">
      <c r="A31" s="15" t="s">
        <v>76</v>
      </c>
      <c r="B31" s="15" t="s">
        <v>111</v>
      </c>
      <c r="C31" s="15" t="s">
        <v>112</v>
      </c>
      <c r="D31" s="15" t="s">
        <v>32</v>
      </c>
      <c r="E31" s="16" t="n">
        <v>349.91</v>
      </c>
      <c r="F31" s="16"/>
      <c r="G31" s="15" t="s">
        <v>138</v>
      </c>
      <c r="H31" s="15" t="s">
        <v>139</v>
      </c>
      <c r="I31" s="15" t="s">
        <v>140</v>
      </c>
      <c r="J31" s="15" t="s">
        <v>12</v>
      </c>
    </row>
    <row r="32" customFormat="false" ht="22.3" hidden="false" customHeight="false" outlineLevel="0" collapsed="false">
      <c r="A32" s="15" t="s">
        <v>76</v>
      </c>
      <c r="B32" s="15" t="s">
        <v>132</v>
      </c>
      <c r="C32" s="15" t="s">
        <v>112</v>
      </c>
      <c r="D32" s="15" t="s">
        <v>32</v>
      </c>
      <c r="E32" s="16" t="n">
        <v>697.88</v>
      </c>
      <c r="F32" s="16"/>
      <c r="G32" s="15" t="s">
        <v>141</v>
      </c>
      <c r="H32" s="15" t="s">
        <v>142</v>
      </c>
      <c r="I32" s="15" t="s">
        <v>143</v>
      </c>
      <c r="J32" s="15" t="s">
        <v>12</v>
      </c>
    </row>
    <row r="33" customFormat="false" ht="22.3" hidden="false" customHeight="false" outlineLevel="0" collapsed="false">
      <c r="A33" s="15" t="s">
        <v>76</v>
      </c>
      <c r="B33" s="15" t="s">
        <v>132</v>
      </c>
      <c r="C33" s="15" t="s">
        <v>106</v>
      </c>
      <c r="D33" s="15" t="s">
        <v>32</v>
      </c>
      <c r="E33" s="16" t="n">
        <v>180.29</v>
      </c>
      <c r="F33" s="16"/>
      <c r="G33" s="15" t="s">
        <v>141</v>
      </c>
      <c r="H33" s="15" t="s">
        <v>136</v>
      </c>
      <c r="I33" s="15" t="s">
        <v>144</v>
      </c>
      <c r="J33" s="15" t="s">
        <v>12</v>
      </c>
    </row>
    <row r="34" customFormat="false" ht="22.3" hidden="false" customHeight="false" outlineLevel="0" collapsed="false">
      <c r="A34" s="15" t="s">
        <v>131</v>
      </c>
      <c r="B34" s="15" t="s">
        <v>116</v>
      </c>
      <c r="C34" s="15" t="s">
        <v>145</v>
      </c>
      <c r="D34" s="15" t="s">
        <v>32</v>
      </c>
      <c r="E34" s="16" t="n">
        <v>23.45</v>
      </c>
      <c r="F34" s="16"/>
      <c r="G34" s="15" t="s">
        <v>120</v>
      </c>
      <c r="H34" s="15" t="s">
        <v>146</v>
      </c>
      <c r="I34" s="15" t="s">
        <v>147</v>
      </c>
      <c r="J34" s="15" t="s">
        <v>12</v>
      </c>
    </row>
    <row r="35" customFormat="false" ht="22.3" hidden="false" customHeight="false" outlineLevel="0" collapsed="false">
      <c r="A35" s="15" t="s">
        <v>148</v>
      </c>
      <c r="B35" s="15" t="s">
        <v>149</v>
      </c>
      <c r="C35" s="15" t="s">
        <v>112</v>
      </c>
      <c r="D35" s="15" t="s">
        <v>32</v>
      </c>
      <c r="E35" s="16" t="n">
        <v>544.05</v>
      </c>
      <c r="F35" s="16"/>
      <c r="G35" s="15" t="s">
        <v>150</v>
      </c>
      <c r="H35" s="15" t="s">
        <v>134</v>
      </c>
      <c r="I35" s="15" t="s">
        <v>151</v>
      </c>
      <c r="J35" s="15" t="s">
        <v>12</v>
      </c>
    </row>
    <row r="36" customFormat="false" ht="22.3" hidden="false" customHeight="false" outlineLevel="0" collapsed="false">
      <c r="A36" s="15" t="s">
        <v>76</v>
      </c>
      <c r="B36" s="15" t="s">
        <v>124</v>
      </c>
      <c r="C36" s="15" t="s">
        <v>112</v>
      </c>
      <c r="D36" s="15" t="s">
        <v>32</v>
      </c>
      <c r="E36" s="16" t="n">
        <v>901.87</v>
      </c>
      <c r="F36" s="16"/>
      <c r="G36" s="15" t="s">
        <v>125</v>
      </c>
      <c r="H36" s="15" t="s">
        <v>126</v>
      </c>
      <c r="I36" s="15" t="s">
        <v>152</v>
      </c>
      <c r="J36" s="15" t="s">
        <v>12</v>
      </c>
    </row>
    <row r="37" customFormat="false" ht="22.3" hidden="false" customHeight="false" outlineLevel="0" collapsed="false">
      <c r="A37" s="15" t="s">
        <v>76</v>
      </c>
      <c r="B37" s="15" t="s">
        <v>153</v>
      </c>
      <c r="C37" s="15" t="s">
        <v>112</v>
      </c>
      <c r="D37" s="15" t="s">
        <v>32</v>
      </c>
      <c r="E37" s="16" t="n">
        <v>486.73</v>
      </c>
      <c r="F37" s="16"/>
      <c r="G37" s="15" t="s">
        <v>154</v>
      </c>
      <c r="H37" s="15" t="s">
        <v>134</v>
      </c>
      <c r="I37" s="15" t="s">
        <v>155</v>
      </c>
      <c r="J37" s="15" t="s">
        <v>12</v>
      </c>
    </row>
    <row r="38" customFormat="false" ht="22.3" hidden="false" customHeight="false" outlineLevel="0" collapsed="false">
      <c r="A38" s="15" t="s">
        <v>76</v>
      </c>
      <c r="B38" s="15" t="s">
        <v>153</v>
      </c>
      <c r="C38" s="15" t="s">
        <v>106</v>
      </c>
      <c r="D38" s="15" t="s">
        <v>32</v>
      </c>
      <c r="E38" s="16" t="n">
        <v>49.39</v>
      </c>
      <c r="F38" s="16"/>
      <c r="G38" s="15" t="s">
        <v>156</v>
      </c>
      <c r="H38" s="15" t="s">
        <v>157</v>
      </c>
      <c r="I38" s="15" t="s">
        <v>158</v>
      </c>
      <c r="J38" s="15" t="s">
        <v>12</v>
      </c>
    </row>
    <row r="39" customFormat="false" ht="22.3" hidden="false" customHeight="false" outlineLevel="0" collapsed="false">
      <c r="A39" s="15" t="s">
        <v>110</v>
      </c>
      <c r="B39" s="15" t="s">
        <v>132</v>
      </c>
      <c r="C39" s="15" t="s">
        <v>112</v>
      </c>
      <c r="D39" s="15" t="s">
        <v>32</v>
      </c>
      <c r="E39" s="16" t="n">
        <v>195.34</v>
      </c>
      <c r="F39" s="16"/>
      <c r="G39" s="15" t="s">
        <v>159</v>
      </c>
      <c r="H39" s="15" t="s">
        <v>126</v>
      </c>
      <c r="I39" s="15" t="s">
        <v>160</v>
      </c>
      <c r="J39" s="15" t="s">
        <v>12</v>
      </c>
    </row>
    <row r="40" customFormat="false" ht="22.3" hidden="false" customHeight="false" outlineLevel="0" collapsed="false">
      <c r="A40" s="15" t="s">
        <v>110</v>
      </c>
      <c r="B40" s="15" t="s">
        <v>132</v>
      </c>
      <c r="C40" s="15" t="s">
        <v>106</v>
      </c>
      <c r="D40" s="15" t="s">
        <v>32</v>
      </c>
      <c r="E40" s="16" t="n">
        <v>49.75</v>
      </c>
      <c r="F40" s="16"/>
      <c r="G40" s="15" t="s">
        <v>159</v>
      </c>
      <c r="H40" s="15" t="s">
        <v>161</v>
      </c>
      <c r="I40" s="15" t="s">
        <v>162</v>
      </c>
      <c r="J40" s="15" t="s">
        <v>12</v>
      </c>
    </row>
    <row r="41" customFormat="false" ht="22.3" hidden="false" customHeight="false" outlineLevel="0" collapsed="false">
      <c r="A41" s="15" t="s">
        <v>76</v>
      </c>
      <c r="B41" s="15" t="s">
        <v>105</v>
      </c>
      <c r="C41" s="15" t="s">
        <v>112</v>
      </c>
      <c r="D41" s="15" t="s">
        <v>32</v>
      </c>
      <c r="E41" s="16" t="n">
        <v>494.16</v>
      </c>
      <c r="F41" s="16"/>
      <c r="G41" s="15" t="s">
        <v>163</v>
      </c>
      <c r="H41" s="15" t="s">
        <v>164</v>
      </c>
      <c r="I41" s="15" t="s">
        <v>165</v>
      </c>
      <c r="J41" s="15" t="s">
        <v>12</v>
      </c>
    </row>
    <row r="42" customFormat="false" ht="22.3" hidden="false" customHeight="false" outlineLevel="0" collapsed="false">
      <c r="A42" s="15" t="s">
        <v>110</v>
      </c>
      <c r="B42" s="15" t="s">
        <v>124</v>
      </c>
      <c r="C42" s="15" t="s">
        <v>112</v>
      </c>
      <c r="D42" s="15" t="s">
        <v>32</v>
      </c>
      <c r="E42" s="16" t="n">
        <v>527.92</v>
      </c>
      <c r="F42" s="16"/>
      <c r="G42" s="15" t="s">
        <v>166</v>
      </c>
      <c r="H42" s="15" t="s">
        <v>167</v>
      </c>
      <c r="I42" s="15" t="s">
        <v>168</v>
      </c>
      <c r="J42" s="15" t="s">
        <v>12</v>
      </c>
    </row>
    <row r="43" customFormat="false" ht="22.3" hidden="false" customHeight="false" outlineLevel="0" collapsed="false">
      <c r="A43" s="15" t="s">
        <v>110</v>
      </c>
      <c r="B43" s="15" t="s">
        <v>124</v>
      </c>
      <c r="C43" s="15" t="s">
        <v>112</v>
      </c>
      <c r="D43" s="15" t="s">
        <v>32</v>
      </c>
      <c r="E43" s="16" t="n">
        <v>497.02</v>
      </c>
      <c r="F43" s="16"/>
      <c r="G43" s="15" t="s">
        <v>169</v>
      </c>
      <c r="H43" s="15" t="s">
        <v>126</v>
      </c>
      <c r="I43" s="15" t="s">
        <v>170</v>
      </c>
      <c r="J43" s="15" t="s">
        <v>12</v>
      </c>
    </row>
    <row r="44" customFormat="false" ht="32.5" hidden="false" customHeight="false" outlineLevel="0" collapsed="false">
      <c r="A44" s="15" t="s">
        <v>82</v>
      </c>
      <c r="B44" s="15" t="s">
        <v>105</v>
      </c>
      <c r="C44" s="15" t="s">
        <v>112</v>
      </c>
      <c r="D44" s="15" t="s">
        <v>32</v>
      </c>
      <c r="E44" s="16" t="n">
        <v>787.32</v>
      </c>
      <c r="F44" s="16"/>
      <c r="G44" s="15" t="s">
        <v>163</v>
      </c>
      <c r="H44" s="15" t="s">
        <v>171</v>
      </c>
      <c r="I44" s="15" t="s">
        <v>172</v>
      </c>
      <c r="J44" s="15" t="s">
        <v>12</v>
      </c>
    </row>
    <row r="45" customFormat="false" ht="22.3" hidden="false" customHeight="false" outlineLevel="0" collapsed="false">
      <c r="A45" s="15" t="s">
        <v>110</v>
      </c>
      <c r="B45" s="15" t="s">
        <v>132</v>
      </c>
      <c r="C45" s="15" t="s">
        <v>112</v>
      </c>
      <c r="D45" s="15" t="s">
        <v>32</v>
      </c>
      <c r="E45" s="16" t="n">
        <v>401.05</v>
      </c>
      <c r="F45" s="16"/>
      <c r="G45" s="15" t="s">
        <v>173</v>
      </c>
      <c r="H45" s="15" t="s">
        <v>126</v>
      </c>
      <c r="I45" s="15" t="s">
        <v>174</v>
      </c>
      <c r="J45" s="15" t="s">
        <v>12</v>
      </c>
    </row>
    <row r="46" customFormat="false" ht="22.3" hidden="false" customHeight="false" outlineLevel="0" collapsed="false">
      <c r="A46" s="15" t="s">
        <v>110</v>
      </c>
      <c r="B46" s="15" t="s">
        <v>132</v>
      </c>
      <c r="C46" s="15" t="s">
        <v>106</v>
      </c>
      <c r="D46" s="15" t="s">
        <v>32</v>
      </c>
      <c r="E46" s="16" t="n">
        <v>44.59</v>
      </c>
      <c r="F46" s="16"/>
      <c r="G46" s="15" t="s">
        <v>173</v>
      </c>
      <c r="H46" s="15" t="s">
        <v>175</v>
      </c>
      <c r="I46" s="15" t="s">
        <v>176</v>
      </c>
      <c r="J46" s="15" t="s">
        <v>12</v>
      </c>
    </row>
    <row r="47" customFormat="false" ht="22.3" hidden="false" customHeight="false" outlineLevel="0" collapsed="false">
      <c r="A47" s="15" t="s">
        <v>148</v>
      </c>
      <c r="B47" s="15" t="s">
        <v>116</v>
      </c>
      <c r="C47" s="15" t="s">
        <v>112</v>
      </c>
      <c r="D47" s="15" t="s">
        <v>32</v>
      </c>
      <c r="E47" s="16" t="n">
        <v>170</v>
      </c>
      <c r="F47" s="16"/>
      <c r="G47" s="15" t="s">
        <v>169</v>
      </c>
      <c r="H47" s="15" t="s">
        <v>177</v>
      </c>
      <c r="I47" s="15" t="s">
        <v>178</v>
      </c>
      <c r="J47" s="15" t="s">
        <v>12</v>
      </c>
    </row>
    <row r="48" customFormat="false" ht="22.3" hidden="false" customHeight="false" outlineLevel="0" collapsed="false">
      <c r="A48" s="15" t="s">
        <v>76</v>
      </c>
      <c r="B48" s="15" t="s">
        <v>116</v>
      </c>
      <c r="C48" s="15" t="s">
        <v>179</v>
      </c>
      <c r="D48" s="15" t="s">
        <v>32</v>
      </c>
      <c r="E48" s="16" t="n">
        <v>279.69</v>
      </c>
      <c r="F48" s="16"/>
      <c r="G48" s="15" t="s">
        <v>120</v>
      </c>
      <c r="H48" s="15" t="s">
        <v>180</v>
      </c>
      <c r="I48" s="15" t="s">
        <v>181</v>
      </c>
      <c r="J48" s="15" t="s">
        <v>12</v>
      </c>
    </row>
    <row r="49" customFormat="false" ht="22.3" hidden="false" customHeight="false" outlineLevel="0" collapsed="false">
      <c r="A49" s="15" t="s">
        <v>82</v>
      </c>
      <c r="B49" s="15" t="s">
        <v>116</v>
      </c>
      <c r="C49" s="15" t="s">
        <v>112</v>
      </c>
      <c r="D49" s="15" t="s">
        <v>32</v>
      </c>
      <c r="E49" s="16" t="n">
        <v>24.9</v>
      </c>
      <c r="F49" s="16"/>
      <c r="G49" s="15" t="s">
        <v>120</v>
      </c>
      <c r="H49" s="15" t="s">
        <v>118</v>
      </c>
      <c r="I49" s="15" t="s">
        <v>182</v>
      </c>
      <c r="J49" s="15" t="s">
        <v>12</v>
      </c>
    </row>
    <row r="50" customFormat="false" ht="22.3" hidden="false" customHeight="false" outlineLevel="0" collapsed="false">
      <c r="A50" s="15" t="s">
        <v>82</v>
      </c>
      <c r="B50" s="15" t="s">
        <v>116</v>
      </c>
      <c r="C50" s="15" t="s">
        <v>106</v>
      </c>
      <c r="D50" s="15" t="s">
        <v>32</v>
      </c>
      <c r="E50" s="16" t="n">
        <v>74.12</v>
      </c>
      <c r="F50" s="16"/>
      <c r="G50" s="15" t="s">
        <v>120</v>
      </c>
      <c r="H50" s="15" t="s">
        <v>118</v>
      </c>
      <c r="I50" s="15" t="s">
        <v>182</v>
      </c>
      <c r="J50" s="15" t="s">
        <v>12</v>
      </c>
    </row>
    <row r="51" customFormat="false" ht="22.3" hidden="false" customHeight="false" outlineLevel="0" collapsed="false">
      <c r="A51" s="15" t="s">
        <v>110</v>
      </c>
      <c r="B51" s="15" t="s">
        <v>105</v>
      </c>
      <c r="C51" s="15" t="s">
        <v>145</v>
      </c>
      <c r="D51" s="15" t="s">
        <v>32</v>
      </c>
      <c r="E51" s="16" t="n">
        <v>13.52</v>
      </c>
      <c r="F51" s="16"/>
      <c r="G51" s="15" t="s">
        <v>107</v>
      </c>
      <c r="H51" s="15" t="s">
        <v>183</v>
      </c>
      <c r="I51" s="15" t="s">
        <v>184</v>
      </c>
      <c r="J51" s="15" t="s">
        <v>12</v>
      </c>
    </row>
    <row r="52" customFormat="false" ht="15" hidden="false" customHeight="false" outlineLevel="0" collapsed="false">
      <c r="A52" s="17"/>
      <c r="B52" s="17"/>
      <c r="C52" s="17"/>
      <c r="D52" s="18" t="s">
        <v>185</v>
      </c>
      <c r="E52" s="19" t="n">
        <f aca="false">SUM(E5:E51)</f>
        <v>22384.82</v>
      </c>
      <c r="F52" s="17"/>
      <c r="G52" s="17"/>
      <c r="H52" s="17"/>
      <c r="I52" s="17"/>
      <c r="J52" s="17"/>
    </row>
    <row r="54" customFormat="false" ht="15" hidden="false" customHeight="false" outlineLevel="0" collapsed="false">
      <c r="A54" s="0"/>
      <c r="B54" s="0"/>
      <c r="C54" s="0"/>
      <c r="D54" s="0"/>
      <c r="E54" s="0"/>
      <c r="F54" s="0"/>
      <c r="G54" s="0"/>
      <c r="H54" s="0"/>
      <c r="I54" s="0"/>
      <c r="J54" s="0"/>
    </row>
    <row r="55" customFormat="false" ht="60" hidden="false" customHeight="true" outlineLevel="0" collapsed="false">
      <c r="A55" s="0"/>
      <c r="B55" s="0"/>
      <c r="C55" s="0"/>
      <c r="D55" s="0"/>
      <c r="E55" s="0"/>
      <c r="F55" s="0"/>
      <c r="G55" s="0"/>
      <c r="H55" s="0"/>
      <c r="I55" s="0"/>
      <c r="J55" s="0"/>
    </row>
    <row r="56" customFormat="false" ht="15" hidden="false" customHeight="false" outlineLevel="0" collapsed="false">
      <c r="A56" s="0"/>
      <c r="B56" s="0"/>
      <c r="C56" s="0"/>
      <c r="D56" s="0"/>
      <c r="E56" s="0"/>
      <c r="F56" s="0"/>
      <c r="G56" s="0"/>
      <c r="H56" s="0"/>
      <c r="I56" s="0"/>
      <c r="J56" s="0"/>
    </row>
    <row r="57" customFormat="false" ht="15" hidden="false" customHeight="false" outlineLevel="0" collapsed="false">
      <c r="A57" s="0"/>
      <c r="B57" s="0"/>
      <c r="C57" s="0"/>
      <c r="D57" s="0"/>
      <c r="E57" s="0"/>
      <c r="F57" s="0"/>
      <c r="G57" s="0"/>
      <c r="H57" s="0"/>
      <c r="I57" s="0"/>
      <c r="J57" s="0"/>
    </row>
    <row r="58" customFormat="false" ht="13.5" hidden="false" customHeight="true" outlineLevel="0" collapsed="false">
      <c r="A58" s="0"/>
      <c r="B58" s="0"/>
      <c r="C58" s="0"/>
      <c r="D58" s="0"/>
      <c r="E58" s="0"/>
      <c r="F58" s="0"/>
      <c r="G58" s="0"/>
      <c r="H58" s="0"/>
      <c r="I58" s="0"/>
      <c r="J58" s="0"/>
    </row>
    <row r="59" customFormat="false" ht="25.5" hidden="false" customHeight="true" outlineLevel="0" collapsed="false">
      <c r="A59" s="0"/>
      <c r="B59" s="0"/>
      <c r="C59" s="0"/>
      <c r="D59" s="0"/>
      <c r="E59" s="0"/>
      <c r="F59" s="0"/>
      <c r="G59" s="0"/>
      <c r="H59" s="0"/>
      <c r="I59" s="0"/>
      <c r="J59" s="0"/>
    </row>
    <row r="60" customFormat="false" ht="13.5" hidden="false" customHeight="true" outlineLevel="0" collapsed="false">
      <c r="A60" s="0"/>
      <c r="B60" s="0"/>
      <c r="C60" s="0"/>
      <c r="D60" s="0"/>
      <c r="E60" s="0"/>
      <c r="F60" s="0"/>
      <c r="G60" s="0"/>
      <c r="H60" s="0"/>
      <c r="I60" s="0"/>
      <c r="J60" s="0"/>
    </row>
    <row r="61" customFormat="false" ht="15" hidden="false" customHeight="false" outlineLevel="0" collapsed="false">
      <c r="A61" s="0"/>
      <c r="B61" s="0"/>
      <c r="C61" s="0"/>
      <c r="D61" s="0"/>
      <c r="E61" s="0"/>
      <c r="F61" s="0"/>
      <c r="G61" s="0"/>
      <c r="H61" s="0"/>
      <c r="I61" s="0"/>
      <c r="J61" s="0"/>
    </row>
    <row r="62" customFormat="false" ht="15" hidden="false" customHeight="false" outlineLevel="0" collapsed="false">
      <c r="A62" s="0"/>
      <c r="B62" s="0"/>
      <c r="C62" s="0"/>
      <c r="D62" s="0"/>
      <c r="E62" s="0"/>
      <c r="F62" s="0"/>
      <c r="G62" s="0"/>
      <c r="H62" s="0"/>
      <c r="I62" s="0"/>
      <c r="J62" s="0"/>
    </row>
    <row r="63" customFormat="false" ht="39" hidden="false" customHeight="true" outlineLevel="0" collapsed="false">
      <c r="A63" s="0"/>
      <c r="B63" s="0"/>
      <c r="C63" s="0"/>
      <c r="D63" s="0"/>
      <c r="E63" s="0"/>
      <c r="F63" s="0"/>
      <c r="G63" s="0"/>
      <c r="H63" s="0"/>
      <c r="I63" s="0"/>
      <c r="J63" s="0"/>
    </row>
    <row r="64" customFormat="false" ht="25.5" hidden="false" customHeight="true" outlineLevel="0" collapsed="false">
      <c r="A64" s="0"/>
      <c r="B64" s="0"/>
      <c r="C64" s="0"/>
      <c r="D64" s="0"/>
      <c r="E64" s="0"/>
      <c r="F64" s="0"/>
      <c r="G64" s="0"/>
      <c r="H64" s="0"/>
      <c r="I64" s="0"/>
      <c r="J64" s="0"/>
    </row>
    <row r="65" customFormat="false" ht="25.5" hidden="false" customHeight="true" outlineLevel="0" collapsed="false">
      <c r="A65" s="0"/>
      <c r="B65" s="0"/>
      <c r="C65" s="0"/>
      <c r="D65" s="0"/>
      <c r="E65" s="0"/>
      <c r="F65" s="0"/>
      <c r="G65" s="0"/>
      <c r="H65" s="0"/>
      <c r="I65" s="0"/>
      <c r="J65" s="0"/>
    </row>
    <row r="66" customFormat="false" ht="25.5" hidden="false" customHeight="true" outlineLevel="0" collapsed="false">
      <c r="A66" s="0"/>
      <c r="B66" s="0"/>
      <c r="C66" s="0"/>
      <c r="D66" s="0"/>
      <c r="E66" s="0"/>
      <c r="F66" s="0"/>
      <c r="G66" s="0"/>
      <c r="H66" s="0"/>
      <c r="I66" s="0"/>
      <c r="J66" s="0"/>
    </row>
    <row r="67" customFormat="false" ht="39" hidden="false" customHeight="true" outlineLevel="0" collapsed="false">
      <c r="A67" s="0"/>
      <c r="B67" s="0"/>
      <c r="C67" s="0"/>
      <c r="D67" s="0"/>
      <c r="E67" s="0"/>
      <c r="F67" s="0"/>
      <c r="G67" s="0"/>
      <c r="H67" s="0"/>
      <c r="I67" s="0"/>
      <c r="J67" s="0"/>
    </row>
    <row r="68" customFormat="false" ht="39" hidden="false" customHeight="true" outlineLevel="0" collapsed="false">
      <c r="A68" s="0"/>
      <c r="B68" s="0"/>
      <c r="C68" s="0"/>
      <c r="D68" s="0"/>
      <c r="E68" s="0"/>
      <c r="F68" s="0"/>
      <c r="G68" s="0"/>
      <c r="H68" s="0"/>
      <c r="I68" s="0"/>
      <c r="J68" s="0"/>
    </row>
    <row r="69" customFormat="false" ht="25.5" hidden="false" customHeight="true" outlineLevel="0" collapsed="false">
      <c r="A69" s="0"/>
      <c r="B69" s="0"/>
      <c r="C69" s="0"/>
      <c r="D69" s="0"/>
      <c r="E69" s="0"/>
      <c r="F69" s="0"/>
      <c r="G69" s="0"/>
      <c r="H69" s="0"/>
      <c r="I69" s="0"/>
      <c r="J69" s="0"/>
    </row>
    <row r="70" customFormat="false" ht="13.5" hidden="false" customHeight="true" outlineLevel="0" collapsed="false">
      <c r="A70" s="0"/>
      <c r="B70" s="0"/>
      <c r="C70" s="0"/>
      <c r="D70" s="0"/>
      <c r="E70" s="0"/>
      <c r="F70" s="0"/>
      <c r="G70" s="0"/>
      <c r="H70" s="0"/>
      <c r="I70" s="0"/>
      <c r="J70" s="0"/>
    </row>
    <row r="71" customFormat="false" ht="13.5" hidden="false" customHeight="true" outlineLevel="0" collapsed="false">
      <c r="A71" s="0"/>
      <c r="B71" s="0"/>
      <c r="C71" s="0"/>
      <c r="D71" s="0"/>
      <c r="E71" s="0"/>
      <c r="F71" s="0"/>
      <c r="G71" s="0"/>
      <c r="H71" s="0"/>
      <c r="I71" s="0"/>
      <c r="J71" s="0"/>
    </row>
    <row r="72" customFormat="false" ht="13.5" hidden="false" customHeight="true" outlineLevel="0" collapsed="false">
      <c r="A72" s="0"/>
      <c r="B72" s="0"/>
      <c r="C72" s="0"/>
      <c r="D72" s="0"/>
      <c r="E72" s="0"/>
      <c r="F72" s="0"/>
      <c r="G72" s="0"/>
      <c r="H72" s="0"/>
      <c r="I72" s="0"/>
      <c r="J72" s="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4" topLeftCell="A5" activePane="bottomLeft" state="frozen"/>
      <selection pane="topLeft" activeCell="A1" activeCellId="0" sqref="A1"/>
      <selection pane="bottomLeft" activeCell="G11" activeCellId="0" sqref="G1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4"/>
    <col collapsed="false" customWidth="true" hidden="false" outlineLevel="0" max="3" min="3" style="1" width="22"/>
    <col collapsed="false" customWidth="true" hidden="false" outlineLevel="0" max="6" min="4" style="1" width="12"/>
    <col collapsed="false" customWidth="true" hidden="false" outlineLevel="0" max="8" min="7" style="1" width="34"/>
    <col collapsed="false" customWidth="true" hidden="false" outlineLevel="0" max="9" min="9" style="1" width="44"/>
    <col collapsed="false" customWidth="true" hidden="false" outlineLevel="0" max="10" min="10" style="1" width="11"/>
    <col collapsed="false" customWidth="true" hidden="false" outlineLevel="0" max="11" min="11" style="0" width="32"/>
    <col collapsed="false" customWidth="true" hidden="false" outlineLevel="0" max="12" min="12" style="0" width="8"/>
  </cols>
  <sheetData>
    <row r="1" customFormat="false" ht="15" hidden="false" customHeight="false" outlineLevel="0" collapsed="false">
      <c r="A1" s="13" t="s">
        <v>186</v>
      </c>
    </row>
    <row r="2" customFormat="false" ht="15" hidden="false" customHeight="false" outlineLevel="0" collapsed="false">
      <c r="A2" s="0"/>
    </row>
    <row r="4" customFormat="false" ht="22.3" hidden="false" customHeight="false" outlineLevel="0" collapsed="false">
      <c r="A4" s="14" t="s">
        <v>21</v>
      </c>
      <c r="B4" s="14" t="s">
        <v>22</v>
      </c>
      <c r="C4" s="14" t="s">
        <v>23</v>
      </c>
      <c r="D4" s="14" t="s">
        <v>24</v>
      </c>
      <c r="E4" s="14" t="s">
        <v>25</v>
      </c>
      <c r="F4" s="14" t="s">
        <v>26</v>
      </c>
      <c r="G4" s="14" t="s">
        <v>27</v>
      </c>
      <c r="H4" s="14" t="s">
        <v>28</v>
      </c>
      <c r="I4" s="14" t="s">
        <v>29</v>
      </c>
      <c r="J4" s="14" t="s">
        <v>1</v>
      </c>
    </row>
    <row r="5" customFormat="false" ht="32.5" hidden="false" customHeight="false" outlineLevel="0" collapsed="false">
      <c r="A5" s="15" t="s">
        <v>187</v>
      </c>
      <c r="B5" s="15" t="s">
        <v>188</v>
      </c>
      <c r="C5" s="15" t="s">
        <v>189</v>
      </c>
      <c r="D5" s="15" t="s">
        <v>32</v>
      </c>
      <c r="E5" s="16" t="n">
        <v>498.94</v>
      </c>
      <c r="F5" s="16" t="n">
        <v>500</v>
      </c>
      <c r="G5" s="15" t="s">
        <v>89</v>
      </c>
      <c r="H5" s="15" t="s">
        <v>190</v>
      </c>
      <c r="I5" s="15" t="s">
        <v>191</v>
      </c>
      <c r="J5" s="15" t="s">
        <v>12</v>
      </c>
    </row>
    <row r="6" customFormat="false" ht="22.3" hidden="false" customHeight="false" outlineLevel="0" collapsed="false">
      <c r="A6" s="15" t="s">
        <v>187</v>
      </c>
      <c r="B6" s="15" t="s">
        <v>192</v>
      </c>
      <c r="C6" s="15" t="s">
        <v>193</v>
      </c>
      <c r="D6" s="15" t="s">
        <v>32</v>
      </c>
      <c r="E6" s="16" t="n">
        <v>549.95</v>
      </c>
      <c r="F6" s="16" t="n">
        <v>550</v>
      </c>
      <c r="G6" s="15" t="s">
        <v>194</v>
      </c>
      <c r="H6" s="15" t="s">
        <v>195</v>
      </c>
      <c r="I6" s="15" t="s">
        <v>196</v>
      </c>
      <c r="J6" s="15" t="s">
        <v>12</v>
      </c>
    </row>
    <row r="7" customFormat="false" ht="32.5" hidden="false" customHeight="false" outlineLevel="0" collapsed="false">
      <c r="A7" s="15" t="s">
        <v>187</v>
      </c>
      <c r="B7" s="15" t="s">
        <v>197</v>
      </c>
      <c r="C7" s="15" t="s">
        <v>198</v>
      </c>
      <c r="D7" s="15" t="s">
        <v>32</v>
      </c>
      <c r="E7" s="16" t="n">
        <v>499.74</v>
      </c>
      <c r="F7" s="16" t="n">
        <v>500</v>
      </c>
      <c r="G7" s="15" t="s">
        <v>199</v>
      </c>
      <c r="H7" s="15" t="s">
        <v>200</v>
      </c>
      <c r="I7" s="15" t="s">
        <v>201</v>
      </c>
      <c r="J7" s="15" t="s">
        <v>12</v>
      </c>
    </row>
    <row r="8" customFormat="false" ht="32.5" hidden="false" customHeight="false" outlineLevel="0" collapsed="false">
      <c r="A8" s="15" t="s">
        <v>187</v>
      </c>
      <c r="B8" s="15" t="s">
        <v>202</v>
      </c>
      <c r="C8" s="15" t="s">
        <v>198</v>
      </c>
      <c r="D8" s="15" t="s">
        <v>32</v>
      </c>
      <c r="E8" s="16" t="n">
        <v>499.63</v>
      </c>
      <c r="F8" s="16" t="n">
        <v>500</v>
      </c>
      <c r="G8" s="15" t="s">
        <v>203</v>
      </c>
      <c r="H8" s="15" t="s">
        <v>204</v>
      </c>
      <c r="I8" s="15" t="s">
        <v>205</v>
      </c>
      <c r="J8" s="15" t="s">
        <v>12</v>
      </c>
    </row>
    <row r="9" customFormat="false" ht="32.5" hidden="false" customHeight="false" outlineLevel="0" collapsed="false">
      <c r="A9" s="15" t="s">
        <v>187</v>
      </c>
      <c r="B9" s="15" t="s">
        <v>206</v>
      </c>
      <c r="C9" s="15" t="s">
        <v>198</v>
      </c>
      <c r="D9" s="15" t="s">
        <v>32</v>
      </c>
      <c r="E9" s="16" t="n">
        <v>339.74</v>
      </c>
      <c r="F9" s="16" t="n">
        <v>340</v>
      </c>
      <c r="G9" s="15" t="s">
        <v>207</v>
      </c>
      <c r="H9" s="15" t="s">
        <v>208</v>
      </c>
      <c r="I9" s="15" t="s">
        <v>209</v>
      </c>
      <c r="J9" s="15" t="s">
        <v>12</v>
      </c>
    </row>
    <row r="10" customFormat="false" ht="32.5" hidden="false" customHeight="false" outlineLevel="0" collapsed="false">
      <c r="A10" s="15" t="s">
        <v>187</v>
      </c>
      <c r="B10" s="15" t="s">
        <v>210</v>
      </c>
      <c r="C10" s="15" t="s">
        <v>189</v>
      </c>
      <c r="D10" s="15" t="s">
        <v>32</v>
      </c>
      <c r="E10" s="16" t="n">
        <v>498.9</v>
      </c>
      <c r="F10" s="16" t="n">
        <v>500</v>
      </c>
      <c r="G10" s="15" t="s">
        <v>49</v>
      </c>
      <c r="H10" s="15" t="s">
        <v>211</v>
      </c>
      <c r="I10" s="15" t="s">
        <v>212</v>
      </c>
      <c r="J10" s="15" t="s">
        <v>12</v>
      </c>
    </row>
    <row r="11" customFormat="false" ht="32.5" hidden="false" customHeight="false" outlineLevel="0" collapsed="false">
      <c r="A11" s="15" t="s">
        <v>187</v>
      </c>
      <c r="B11" s="15" t="s">
        <v>213</v>
      </c>
      <c r="C11" s="15" t="s">
        <v>214</v>
      </c>
      <c r="D11" s="15" t="s">
        <v>32</v>
      </c>
      <c r="E11" s="16" t="n">
        <v>649.69</v>
      </c>
      <c r="F11" s="16" t="n">
        <v>650</v>
      </c>
      <c r="G11" s="15" t="s">
        <v>215</v>
      </c>
      <c r="H11" s="15" t="s">
        <v>216</v>
      </c>
      <c r="I11" s="15" t="s">
        <v>217</v>
      </c>
      <c r="J11" s="15" t="s">
        <v>12</v>
      </c>
    </row>
    <row r="12" customFormat="false" ht="32.5" hidden="false" customHeight="false" outlineLevel="0" collapsed="false">
      <c r="A12" s="15" t="s">
        <v>187</v>
      </c>
      <c r="B12" s="15" t="s">
        <v>218</v>
      </c>
      <c r="C12" s="15" t="s">
        <v>189</v>
      </c>
      <c r="D12" s="15" t="s">
        <v>32</v>
      </c>
      <c r="E12" s="16" t="n">
        <v>497.99</v>
      </c>
      <c r="F12" s="16" t="n">
        <v>500</v>
      </c>
      <c r="G12" s="15" t="s">
        <v>219</v>
      </c>
      <c r="H12" s="15" t="s">
        <v>220</v>
      </c>
      <c r="I12" s="15" t="s">
        <v>221</v>
      </c>
      <c r="J12" s="15" t="s">
        <v>12</v>
      </c>
    </row>
    <row r="13" customFormat="false" ht="32.5" hidden="false" customHeight="false" outlineLevel="0" collapsed="false">
      <c r="A13" s="15" t="s">
        <v>187</v>
      </c>
      <c r="B13" s="15" t="s">
        <v>222</v>
      </c>
      <c r="C13" s="15" t="s">
        <v>189</v>
      </c>
      <c r="D13" s="15" t="s">
        <v>32</v>
      </c>
      <c r="E13" s="16" t="n">
        <v>598.91</v>
      </c>
      <c r="F13" s="16" t="n">
        <v>600</v>
      </c>
      <c r="G13" s="15" t="s">
        <v>223</v>
      </c>
      <c r="H13" s="15" t="s">
        <v>224</v>
      </c>
      <c r="I13" s="15" t="s">
        <v>225</v>
      </c>
      <c r="J13" s="15" t="s">
        <v>12</v>
      </c>
    </row>
    <row r="14" customFormat="false" ht="32.5" hidden="false" customHeight="false" outlineLevel="0" collapsed="false">
      <c r="A14" s="15" t="s">
        <v>187</v>
      </c>
      <c r="B14" s="15" t="s">
        <v>226</v>
      </c>
      <c r="C14" s="15" t="s">
        <v>214</v>
      </c>
      <c r="D14" s="15" t="s">
        <v>32</v>
      </c>
      <c r="E14" s="16" t="n">
        <v>549.33</v>
      </c>
      <c r="F14" s="16" t="n">
        <v>550</v>
      </c>
      <c r="G14" s="15" t="s">
        <v>227</v>
      </c>
      <c r="H14" s="15" t="s">
        <v>228</v>
      </c>
      <c r="I14" s="15" t="s">
        <v>229</v>
      </c>
      <c r="J14" s="15" t="s">
        <v>12</v>
      </c>
    </row>
    <row r="15" customFormat="false" ht="32.5" hidden="false" customHeight="false" outlineLevel="0" collapsed="false">
      <c r="A15" s="15" t="s">
        <v>187</v>
      </c>
      <c r="B15" s="15" t="s">
        <v>230</v>
      </c>
      <c r="C15" s="15" t="s">
        <v>189</v>
      </c>
      <c r="D15" s="15" t="s">
        <v>32</v>
      </c>
      <c r="E15" s="16" t="n">
        <v>599.49</v>
      </c>
      <c r="F15" s="16" t="n">
        <v>600</v>
      </c>
      <c r="G15" s="15" t="s">
        <v>231</v>
      </c>
      <c r="H15" s="15" t="s">
        <v>232</v>
      </c>
      <c r="I15" s="15" t="s">
        <v>233</v>
      </c>
      <c r="J15" s="15" t="s">
        <v>12</v>
      </c>
    </row>
    <row r="16" customFormat="false" ht="32.5" hidden="false" customHeight="false" outlineLevel="0" collapsed="false">
      <c r="A16" s="15" t="s">
        <v>187</v>
      </c>
      <c r="B16" s="15" t="s">
        <v>234</v>
      </c>
      <c r="C16" s="15" t="s">
        <v>189</v>
      </c>
      <c r="D16" s="15" t="s">
        <v>32</v>
      </c>
      <c r="E16" s="16" t="n">
        <v>699.54</v>
      </c>
      <c r="F16" s="16" t="n">
        <v>700</v>
      </c>
      <c r="G16" s="15" t="s">
        <v>235</v>
      </c>
      <c r="H16" s="15" t="s">
        <v>236</v>
      </c>
      <c r="I16" s="15" t="s">
        <v>237</v>
      </c>
      <c r="J16" s="15" t="s">
        <v>12</v>
      </c>
    </row>
    <row r="17" customFormat="false" ht="32.5" hidden="false" customHeight="false" outlineLevel="0" collapsed="false">
      <c r="A17" s="15" t="s">
        <v>187</v>
      </c>
      <c r="B17" s="15" t="s">
        <v>238</v>
      </c>
      <c r="C17" s="15" t="s">
        <v>189</v>
      </c>
      <c r="D17" s="15" t="s">
        <v>32</v>
      </c>
      <c r="E17" s="16" t="n">
        <v>1199.3</v>
      </c>
      <c r="F17" s="16" t="n">
        <v>1200</v>
      </c>
      <c r="G17" s="15" t="s">
        <v>239</v>
      </c>
      <c r="H17" s="15" t="s">
        <v>240</v>
      </c>
      <c r="I17" s="15" t="s">
        <v>241</v>
      </c>
      <c r="J17" s="15" t="s">
        <v>12</v>
      </c>
    </row>
    <row r="18" customFormat="false" ht="32.5" hidden="false" customHeight="false" outlineLevel="0" collapsed="false">
      <c r="A18" s="15" t="s">
        <v>187</v>
      </c>
      <c r="B18" s="15" t="s">
        <v>242</v>
      </c>
      <c r="C18" s="15" t="s">
        <v>189</v>
      </c>
      <c r="D18" s="15" t="s">
        <v>32</v>
      </c>
      <c r="E18" s="16" t="n">
        <v>560</v>
      </c>
      <c r="F18" s="16" t="n">
        <v>560</v>
      </c>
      <c r="G18" s="15" t="s">
        <v>243</v>
      </c>
      <c r="H18" s="15" t="s">
        <v>244</v>
      </c>
      <c r="I18" s="15" t="s">
        <v>245</v>
      </c>
      <c r="J18" s="15" t="s">
        <v>12</v>
      </c>
    </row>
    <row r="19" customFormat="false" ht="32.5" hidden="false" customHeight="false" outlineLevel="0" collapsed="false">
      <c r="A19" s="15" t="s">
        <v>187</v>
      </c>
      <c r="B19" s="15" t="s">
        <v>246</v>
      </c>
      <c r="C19" s="15" t="s">
        <v>247</v>
      </c>
      <c r="D19" s="15" t="s">
        <v>94</v>
      </c>
      <c r="E19" s="16" t="n">
        <v>535.98</v>
      </c>
      <c r="F19" s="16" t="n">
        <v>540</v>
      </c>
      <c r="G19" s="15" t="s">
        <v>248</v>
      </c>
      <c r="H19" s="15" t="s">
        <v>249</v>
      </c>
      <c r="I19" s="15" t="s">
        <v>94</v>
      </c>
      <c r="J19" s="15" t="s">
        <v>12</v>
      </c>
    </row>
    <row r="20" customFormat="false" ht="32.5" hidden="false" customHeight="false" outlineLevel="0" collapsed="false">
      <c r="A20" s="15" t="s">
        <v>250</v>
      </c>
      <c r="B20" s="15" t="s">
        <v>251</v>
      </c>
      <c r="C20" s="15" t="s">
        <v>252</v>
      </c>
      <c r="D20" s="15" t="s">
        <v>32</v>
      </c>
      <c r="E20" s="16" t="n">
        <v>261.76</v>
      </c>
      <c r="F20" s="16" t="n">
        <v>215</v>
      </c>
      <c r="G20" s="15" t="s">
        <v>253</v>
      </c>
      <c r="H20" s="15" t="s">
        <v>254</v>
      </c>
      <c r="I20" s="15" t="s">
        <v>255</v>
      </c>
      <c r="J20" s="15" t="s">
        <v>12</v>
      </c>
    </row>
    <row r="21" customFormat="false" ht="32.5" hidden="false" customHeight="false" outlineLevel="0" collapsed="false">
      <c r="A21" s="15" t="s">
        <v>250</v>
      </c>
      <c r="B21" s="15" t="s">
        <v>153</v>
      </c>
      <c r="C21" s="15" t="s">
        <v>256</v>
      </c>
      <c r="D21" s="15" t="s">
        <v>32</v>
      </c>
      <c r="E21" s="16" t="n">
        <v>358.2</v>
      </c>
      <c r="F21" s="16" t="n">
        <v>400</v>
      </c>
      <c r="G21" s="15" t="s">
        <v>257</v>
      </c>
      <c r="H21" s="15" t="s">
        <v>258</v>
      </c>
      <c r="I21" s="15" t="s">
        <v>259</v>
      </c>
      <c r="J21" s="15" t="s">
        <v>12</v>
      </c>
    </row>
    <row r="22" customFormat="false" ht="32.5" hidden="false" customHeight="false" outlineLevel="0" collapsed="false">
      <c r="A22" s="15" t="s">
        <v>250</v>
      </c>
      <c r="B22" s="15" t="s">
        <v>149</v>
      </c>
      <c r="C22" s="15" t="s">
        <v>260</v>
      </c>
      <c r="D22" s="15" t="s">
        <v>32</v>
      </c>
      <c r="E22" s="16" t="n">
        <v>377.96</v>
      </c>
      <c r="F22" s="16" t="n">
        <v>375</v>
      </c>
      <c r="G22" s="15" t="s">
        <v>261</v>
      </c>
      <c r="H22" s="15" t="s">
        <v>262</v>
      </c>
      <c r="I22" s="15" t="s">
        <v>263</v>
      </c>
      <c r="J22" s="15" t="s">
        <v>12</v>
      </c>
    </row>
    <row r="23" customFormat="false" ht="22.3" hidden="false" customHeight="false" outlineLevel="0" collapsed="false">
      <c r="A23" s="15" t="s">
        <v>250</v>
      </c>
      <c r="B23" s="15" t="s">
        <v>105</v>
      </c>
      <c r="C23" s="15" t="s">
        <v>264</v>
      </c>
      <c r="D23" s="15" t="s">
        <v>32</v>
      </c>
      <c r="E23" s="16" t="n">
        <v>103.38</v>
      </c>
      <c r="F23" s="16" t="n">
        <v>145</v>
      </c>
      <c r="G23" s="15" t="s">
        <v>265</v>
      </c>
      <c r="H23" s="15" t="s">
        <v>266</v>
      </c>
      <c r="I23" s="15" t="s">
        <v>267</v>
      </c>
      <c r="J23" s="15" t="s">
        <v>12</v>
      </c>
    </row>
    <row r="24" customFormat="false" ht="22.3" hidden="false" customHeight="false" outlineLevel="0" collapsed="false">
      <c r="A24" s="15" t="s">
        <v>268</v>
      </c>
      <c r="B24" s="15" t="s">
        <v>116</v>
      </c>
      <c r="C24" s="15" t="s">
        <v>145</v>
      </c>
      <c r="D24" s="15" t="s">
        <v>32</v>
      </c>
      <c r="E24" s="16" t="n">
        <v>10.29</v>
      </c>
      <c r="F24" s="16"/>
      <c r="G24" s="15" t="s">
        <v>269</v>
      </c>
      <c r="H24" s="15" t="s">
        <v>270</v>
      </c>
      <c r="I24" s="15" t="s">
        <v>271</v>
      </c>
      <c r="J24" s="15" t="s">
        <v>12</v>
      </c>
    </row>
    <row r="25" customFormat="false" ht="22.3" hidden="false" customHeight="false" outlineLevel="0" collapsed="false">
      <c r="A25" s="15" t="s">
        <v>272</v>
      </c>
      <c r="B25" s="15" t="s">
        <v>273</v>
      </c>
      <c r="C25" s="15" t="s">
        <v>274</v>
      </c>
      <c r="D25" s="15" t="s">
        <v>32</v>
      </c>
      <c r="E25" s="16" t="n">
        <v>210.8</v>
      </c>
      <c r="F25" s="16"/>
      <c r="G25" s="15" t="s">
        <v>275</v>
      </c>
      <c r="H25" s="15" t="s">
        <v>276</v>
      </c>
      <c r="I25" s="15" t="s">
        <v>277</v>
      </c>
      <c r="J25" s="15" t="s">
        <v>12</v>
      </c>
    </row>
    <row r="26" customFormat="false" ht="22.3" hidden="false" customHeight="false" outlineLevel="0" collapsed="false">
      <c r="A26" s="15" t="s">
        <v>278</v>
      </c>
      <c r="B26" s="15" t="s">
        <v>116</v>
      </c>
      <c r="C26" s="15" t="s">
        <v>256</v>
      </c>
      <c r="D26" s="15" t="s">
        <v>32</v>
      </c>
      <c r="E26" s="16" t="n">
        <v>70.26</v>
      </c>
      <c r="F26" s="16"/>
      <c r="G26" s="15" t="s">
        <v>279</v>
      </c>
      <c r="H26" s="15" t="s">
        <v>280</v>
      </c>
      <c r="I26" s="15" t="s">
        <v>281</v>
      </c>
      <c r="J26" s="15" t="s">
        <v>12</v>
      </c>
    </row>
    <row r="27" customFormat="false" ht="22.3" hidden="false" customHeight="false" outlineLevel="0" collapsed="false">
      <c r="A27" s="15" t="s">
        <v>282</v>
      </c>
      <c r="B27" s="15" t="s">
        <v>105</v>
      </c>
      <c r="C27" s="15" t="s">
        <v>145</v>
      </c>
      <c r="D27" s="15" t="s">
        <v>32</v>
      </c>
      <c r="E27" s="16" t="n">
        <v>129.6</v>
      </c>
      <c r="F27" s="16"/>
      <c r="G27" s="15" t="s">
        <v>265</v>
      </c>
      <c r="H27" s="15" t="s">
        <v>283</v>
      </c>
      <c r="I27" s="15" t="s">
        <v>284</v>
      </c>
      <c r="J27" s="15" t="s">
        <v>12</v>
      </c>
    </row>
    <row r="28" customFormat="false" ht="32.5" hidden="false" customHeight="false" outlineLevel="0" collapsed="false">
      <c r="A28" s="15" t="s">
        <v>285</v>
      </c>
      <c r="B28" s="15" t="s">
        <v>286</v>
      </c>
      <c r="C28" s="15" t="s">
        <v>256</v>
      </c>
      <c r="D28" s="15" t="s">
        <v>32</v>
      </c>
      <c r="E28" s="16" t="n">
        <v>420.07</v>
      </c>
      <c r="F28" s="16"/>
      <c r="G28" s="15" t="s">
        <v>287</v>
      </c>
      <c r="H28" s="15" t="s">
        <v>288</v>
      </c>
      <c r="I28" s="15" t="s">
        <v>289</v>
      </c>
      <c r="J28" s="15" t="s">
        <v>12</v>
      </c>
    </row>
    <row r="29" customFormat="false" ht="42.7" hidden="false" customHeight="false" outlineLevel="0" collapsed="false">
      <c r="A29" s="15" t="s">
        <v>285</v>
      </c>
      <c r="B29" s="15" t="s">
        <v>132</v>
      </c>
      <c r="C29" s="15" t="s">
        <v>290</v>
      </c>
      <c r="D29" s="15" t="s">
        <v>32</v>
      </c>
      <c r="E29" s="16" t="n">
        <v>396.55</v>
      </c>
      <c r="F29" s="16" t="n">
        <v>414</v>
      </c>
      <c r="G29" s="15" t="s">
        <v>291</v>
      </c>
      <c r="H29" s="15" t="s">
        <v>292</v>
      </c>
      <c r="I29" s="15" t="s">
        <v>293</v>
      </c>
      <c r="J29" s="15" t="s">
        <v>12</v>
      </c>
    </row>
    <row r="30" customFormat="false" ht="32.5" hidden="false" customHeight="false" outlineLevel="0" collapsed="false">
      <c r="A30" s="15" t="s">
        <v>294</v>
      </c>
      <c r="B30" s="15" t="s">
        <v>105</v>
      </c>
      <c r="C30" s="15" t="s">
        <v>256</v>
      </c>
      <c r="D30" s="15" t="s">
        <v>32</v>
      </c>
      <c r="E30" s="16" t="n">
        <v>187.55</v>
      </c>
      <c r="F30" s="16"/>
      <c r="G30" s="15" t="s">
        <v>295</v>
      </c>
      <c r="H30" s="15" t="s">
        <v>296</v>
      </c>
      <c r="I30" s="15" t="s">
        <v>297</v>
      </c>
      <c r="J30" s="15" t="s">
        <v>12</v>
      </c>
    </row>
    <row r="31" customFormat="false" ht="32.5" hidden="false" customHeight="false" outlineLevel="0" collapsed="false">
      <c r="A31" s="15" t="s">
        <v>294</v>
      </c>
      <c r="B31" s="15" t="s">
        <v>153</v>
      </c>
      <c r="C31" s="15" t="s">
        <v>298</v>
      </c>
      <c r="D31" s="15" t="s">
        <v>32</v>
      </c>
      <c r="E31" s="16" t="n">
        <v>550.57</v>
      </c>
      <c r="F31" s="16"/>
      <c r="G31" s="15" t="s">
        <v>299</v>
      </c>
      <c r="H31" s="15" t="s">
        <v>300</v>
      </c>
      <c r="I31" s="15" t="s">
        <v>301</v>
      </c>
      <c r="J31" s="15" t="s">
        <v>12</v>
      </c>
    </row>
    <row r="32" customFormat="false" ht="32.5" hidden="false" customHeight="false" outlineLevel="0" collapsed="false">
      <c r="A32" s="15" t="s">
        <v>294</v>
      </c>
      <c r="B32" s="15" t="s">
        <v>302</v>
      </c>
      <c r="C32" s="15" t="s">
        <v>303</v>
      </c>
      <c r="D32" s="15" t="s">
        <v>32</v>
      </c>
      <c r="E32" s="16" t="n">
        <v>139.66</v>
      </c>
      <c r="F32" s="16"/>
      <c r="G32" s="15" t="s">
        <v>304</v>
      </c>
      <c r="H32" s="15" t="s">
        <v>305</v>
      </c>
      <c r="I32" s="15" t="s">
        <v>306</v>
      </c>
      <c r="J32" s="15" t="s">
        <v>12</v>
      </c>
    </row>
    <row r="33" customFormat="false" ht="32.5" hidden="false" customHeight="false" outlineLevel="0" collapsed="false">
      <c r="A33" s="15" t="s">
        <v>307</v>
      </c>
      <c r="B33" s="15" t="s">
        <v>302</v>
      </c>
      <c r="C33" s="15" t="s">
        <v>256</v>
      </c>
      <c r="D33" s="15" t="s">
        <v>32</v>
      </c>
      <c r="E33" s="16" t="n">
        <v>741.06</v>
      </c>
      <c r="F33" s="16"/>
      <c r="G33" s="15" t="s">
        <v>308</v>
      </c>
      <c r="H33" s="15" t="s">
        <v>309</v>
      </c>
      <c r="I33" s="15" t="s">
        <v>310</v>
      </c>
      <c r="J33" s="15" t="s">
        <v>12</v>
      </c>
    </row>
    <row r="34" customFormat="false" ht="32.5" hidden="false" customHeight="false" outlineLevel="0" collapsed="false">
      <c r="A34" s="15" t="s">
        <v>311</v>
      </c>
      <c r="B34" s="15" t="s">
        <v>312</v>
      </c>
      <c r="C34" s="15" t="s">
        <v>112</v>
      </c>
      <c r="D34" s="15" t="s">
        <v>32</v>
      </c>
      <c r="E34" s="16" t="n">
        <v>32.8</v>
      </c>
      <c r="F34" s="16"/>
      <c r="G34" s="15" t="s">
        <v>313</v>
      </c>
      <c r="H34" s="15" t="s">
        <v>314</v>
      </c>
      <c r="I34" s="15" t="s">
        <v>315</v>
      </c>
      <c r="J34" s="15" t="s">
        <v>12</v>
      </c>
    </row>
    <row r="35" customFormat="false" ht="32.5" hidden="false" customHeight="false" outlineLevel="0" collapsed="false">
      <c r="A35" s="15" t="s">
        <v>316</v>
      </c>
      <c r="B35" s="15" t="s">
        <v>317</v>
      </c>
      <c r="C35" s="15" t="s">
        <v>318</v>
      </c>
      <c r="D35" s="15" t="s">
        <v>32</v>
      </c>
      <c r="E35" s="16" t="n">
        <v>235.24</v>
      </c>
      <c r="F35" s="16" t="n">
        <v>250</v>
      </c>
      <c r="G35" s="15" t="s">
        <v>319</v>
      </c>
      <c r="H35" s="15" t="s">
        <v>320</v>
      </c>
      <c r="I35" s="15" t="s">
        <v>321</v>
      </c>
      <c r="J35" s="15" t="s">
        <v>12</v>
      </c>
    </row>
    <row r="36" customFormat="false" ht="15" hidden="false" customHeight="false" outlineLevel="0" collapsed="false">
      <c r="A36" s="15" t="s">
        <v>322</v>
      </c>
      <c r="B36" s="15" t="s">
        <v>302</v>
      </c>
      <c r="C36" s="15" t="s">
        <v>145</v>
      </c>
      <c r="D36" s="15" t="s">
        <v>32</v>
      </c>
      <c r="E36" s="16" t="n">
        <v>5.11</v>
      </c>
      <c r="F36" s="16"/>
      <c r="G36" s="15" t="s">
        <v>323</v>
      </c>
      <c r="H36" s="15" t="s">
        <v>270</v>
      </c>
      <c r="I36" s="15" t="s">
        <v>271</v>
      </c>
      <c r="J36" s="15" t="s">
        <v>12</v>
      </c>
    </row>
    <row r="37" customFormat="false" ht="15" hidden="false" customHeight="false" outlineLevel="0" collapsed="false">
      <c r="A37" s="17"/>
      <c r="B37" s="17"/>
      <c r="C37" s="17"/>
      <c r="D37" s="18" t="s">
        <v>185</v>
      </c>
      <c r="E37" s="19" t="n">
        <f aca="false">SUM(E5:E36)</f>
        <v>13007.99</v>
      </c>
      <c r="F37" s="17"/>
      <c r="G37" s="17"/>
      <c r="H37" s="17"/>
      <c r="I37" s="17"/>
      <c r="J37" s="17"/>
    </row>
    <row r="39" customFormat="false" ht="15" hidden="false" customHeight="false" outlineLevel="0" collapsed="false">
      <c r="A39" s="0"/>
      <c r="B39" s="0"/>
      <c r="C39" s="0"/>
      <c r="D39" s="0"/>
      <c r="E39" s="0"/>
      <c r="F39" s="0"/>
      <c r="G39" s="0"/>
      <c r="H39" s="0"/>
      <c r="I39" s="0"/>
      <c r="J39" s="0"/>
    </row>
    <row r="40" customFormat="false" ht="60" hidden="false" customHeight="true" outlineLevel="0" collapsed="false">
      <c r="A40" s="0"/>
      <c r="B40" s="0"/>
      <c r="C40" s="0"/>
      <c r="D40" s="0"/>
      <c r="E40" s="0"/>
      <c r="F40" s="0"/>
      <c r="G40" s="0"/>
      <c r="H40" s="0"/>
      <c r="I40" s="0"/>
      <c r="J40" s="0"/>
    </row>
    <row r="41" customFormat="false" ht="15" hidden="false" customHeight="false" outlineLevel="0" collapsed="false">
      <c r="A41" s="0"/>
      <c r="B41" s="0"/>
      <c r="C41" s="0"/>
      <c r="D41" s="0"/>
      <c r="E41" s="0"/>
      <c r="F41" s="0"/>
      <c r="G41" s="0"/>
      <c r="H41" s="0"/>
      <c r="I41" s="0"/>
      <c r="J41" s="0"/>
    </row>
    <row r="42" customFormat="false" ht="15" hidden="false" customHeight="false" outlineLevel="0" collapsed="false">
      <c r="A42" s="0"/>
      <c r="B42" s="0"/>
      <c r="C42" s="0"/>
      <c r="D42" s="0"/>
      <c r="E42" s="0"/>
      <c r="F42" s="0"/>
      <c r="G42" s="0"/>
      <c r="H42" s="0"/>
      <c r="I42" s="0"/>
      <c r="J42" s="0"/>
    </row>
    <row r="43" customFormat="false" ht="13.5" hidden="false" customHeight="true" outlineLevel="0" collapsed="false">
      <c r="A43" s="0"/>
      <c r="B43" s="0"/>
      <c r="C43" s="0"/>
      <c r="D43" s="0"/>
      <c r="E43" s="0"/>
      <c r="F43" s="0"/>
      <c r="G43" s="0"/>
      <c r="H43" s="0"/>
      <c r="I43" s="0"/>
      <c r="J43" s="0"/>
    </row>
    <row r="44" customFormat="false" ht="25.5" hidden="false" customHeight="true" outlineLevel="0" collapsed="false">
      <c r="A44" s="0"/>
      <c r="B44" s="0"/>
      <c r="C44" s="0"/>
      <c r="D44" s="0"/>
      <c r="E44" s="0"/>
      <c r="F44" s="0"/>
      <c r="G44" s="0"/>
      <c r="H44" s="0"/>
      <c r="I44" s="0"/>
      <c r="J44" s="0"/>
    </row>
    <row r="45" customFormat="false" ht="13.5" hidden="false" customHeight="true" outlineLevel="0" collapsed="false">
      <c r="A45" s="0"/>
      <c r="B45" s="0"/>
      <c r="C45" s="0"/>
      <c r="D45" s="0"/>
      <c r="E45" s="0"/>
      <c r="F45" s="0"/>
      <c r="G45" s="0"/>
      <c r="H45" s="0"/>
      <c r="I45" s="0"/>
      <c r="J45" s="0"/>
    </row>
    <row r="46" customFormat="false" ht="15" hidden="false" customHeight="false" outlineLevel="0" collapsed="false">
      <c r="A46" s="0"/>
      <c r="B46" s="0"/>
      <c r="C46" s="0"/>
      <c r="D46" s="0"/>
      <c r="E46" s="0"/>
      <c r="F46" s="0"/>
      <c r="G46" s="0"/>
      <c r="H46" s="0"/>
      <c r="I46" s="0"/>
      <c r="J46" s="0"/>
    </row>
    <row r="47" customFormat="false" ht="15" hidden="false" customHeight="false" outlineLevel="0" collapsed="false">
      <c r="A47" s="0"/>
      <c r="B47" s="0"/>
      <c r="C47" s="0"/>
      <c r="D47" s="0"/>
      <c r="E47" s="0"/>
      <c r="F47" s="0"/>
      <c r="G47" s="0"/>
      <c r="H47" s="0"/>
      <c r="I47" s="0"/>
      <c r="J47" s="0"/>
    </row>
    <row r="48" customFormat="false" ht="13.5" hidden="false" customHeight="true" outlineLevel="0" collapsed="false">
      <c r="A48" s="0"/>
      <c r="B48" s="0"/>
      <c r="C48" s="0"/>
      <c r="D48" s="0"/>
      <c r="E48" s="0"/>
      <c r="F48" s="0"/>
      <c r="G48" s="0"/>
      <c r="H48" s="0"/>
      <c r="I48" s="0"/>
      <c r="J48" s="0"/>
    </row>
    <row r="49" customFormat="false" ht="25.5" hidden="false" customHeight="true" outlineLevel="0" collapsed="false">
      <c r="A49" s="0"/>
      <c r="B49" s="0"/>
      <c r="C49" s="0"/>
      <c r="D49" s="0"/>
      <c r="E49" s="0"/>
      <c r="F49" s="0"/>
      <c r="G49" s="0"/>
      <c r="H49" s="0"/>
      <c r="I49" s="0"/>
      <c r="J49" s="0"/>
    </row>
    <row r="50" customFormat="false" ht="13.5" hidden="false" customHeight="true" outlineLevel="0" collapsed="false">
      <c r="A50" s="0"/>
      <c r="B50" s="0"/>
      <c r="C50" s="0"/>
      <c r="D50" s="0"/>
      <c r="E50" s="0"/>
      <c r="F50" s="0"/>
      <c r="G50" s="0"/>
      <c r="H50" s="0"/>
      <c r="I50" s="0"/>
      <c r="J50" s="0"/>
    </row>
    <row r="51" customFormat="false" ht="25.5" hidden="false" customHeight="true" outlineLevel="0" collapsed="false">
      <c r="A51" s="0"/>
      <c r="B51" s="0"/>
      <c r="C51" s="0"/>
      <c r="D51" s="0"/>
      <c r="E51" s="0"/>
      <c r="F51" s="0"/>
      <c r="G51" s="0"/>
      <c r="H51" s="0"/>
      <c r="I51" s="0"/>
      <c r="J51" s="0"/>
    </row>
    <row r="52" customFormat="false" ht="39" hidden="false" customHeight="true" outlineLevel="0" collapsed="false">
      <c r="A52" s="0"/>
      <c r="B52" s="0"/>
      <c r="C52" s="0"/>
      <c r="D52" s="0"/>
      <c r="E52" s="0"/>
      <c r="F52" s="0"/>
      <c r="G52" s="0"/>
      <c r="H52" s="0"/>
      <c r="I52" s="0"/>
      <c r="J52" s="0"/>
    </row>
    <row r="53" customFormat="false" ht="25.5" hidden="false" customHeight="true" outlineLevel="0" collapsed="false">
      <c r="A53" s="0"/>
      <c r="B53" s="0"/>
      <c r="C53" s="0"/>
      <c r="D53" s="0"/>
      <c r="E53" s="0"/>
      <c r="F53" s="0"/>
      <c r="G53" s="0"/>
      <c r="H53" s="0"/>
      <c r="I53" s="0"/>
      <c r="J53" s="0"/>
    </row>
    <row r="54" customFormat="false" ht="13.5" hidden="false" customHeight="true" outlineLevel="0" collapsed="false">
      <c r="A54" s="0"/>
      <c r="B54" s="0"/>
      <c r="C54" s="0"/>
      <c r="D54" s="0"/>
      <c r="E54" s="0"/>
      <c r="F54" s="0"/>
      <c r="G54" s="0"/>
      <c r="H54" s="0"/>
      <c r="I54" s="0"/>
      <c r="J54" s="0"/>
    </row>
    <row r="55" customFormat="false" ht="25.5" hidden="false" customHeight="true" outlineLevel="0" collapsed="false">
      <c r="A55" s="0"/>
      <c r="B55" s="0"/>
      <c r="C55" s="0"/>
      <c r="D55" s="0"/>
      <c r="E55" s="0"/>
      <c r="F55" s="0"/>
      <c r="G55" s="0"/>
      <c r="H55" s="0"/>
      <c r="I55" s="0"/>
      <c r="J55" s="0"/>
    </row>
    <row r="56" customFormat="false" ht="25.5" hidden="false" customHeight="true" outlineLevel="0" collapsed="false">
      <c r="A56" s="0"/>
      <c r="B56" s="0"/>
      <c r="C56" s="0"/>
      <c r="D56" s="0"/>
      <c r="E56" s="0"/>
      <c r="F56" s="0"/>
      <c r="G56" s="0"/>
      <c r="H56" s="0"/>
      <c r="I56" s="0"/>
      <c r="J56" s="0"/>
    </row>
    <row r="57" customFormat="false" ht="13.5" hidden="false" customHeight="true" outlineLevel="0" collapsed="false">
      <c r="A57" s="0"/>
      <c r="B57" s="0"/>
      <c r="C57" s="0"/>
      <c r="D57" s="0"/>
      <c r="E57" s="0"/>
      <c r="F57" s="0"/>
      <c r="G57" s="0"/>
      <c r="H57" s="0"/>
      <c r="I57" s="0"/>
      <c r="J57" s="0"/>
    </row>
    <row r="58" customFormat="false" ht="15" hidden="false" customHeight="false" outlineLevel="0" collapsed="false">
      <c r="A58" s="0"/>
      <c r="B58" s="0"/>
      <c r="C58" s="0"/>
      <c r="D58" s="0"/>
      <c r="E58" s="0"/>
      <c r="F58" s="0"/>
      <c r="G58" s="0"/>
      <c r="H58" s="0"/>
      <c r="I58" s="0"/>
      <c r="J58" s="0"/>
    </row>
    <row r="59" customFormat="false" ht="15" hidden="false" customHeight="false" outlineLevel="0" collapsed="false">
      <c r="A59" s="0"/>
      <c r="B59" s="0"/>
      <c r="C59" s="0"/>
      <c r="D59" s="0"/>
      <c r="E59" s="0"/>
      <c r="F59" s="0"/>
      <c r="G59" s="0"/>
      <c r="H59" s="0"/>
      <c r="I59" s="0"/>
      <c r="J59" s="0"/>
    </row>
    <row r="60" customFormat="false" ht="15" hidden="false" customHeight="false" outlineLevel="0" collapsed="false">
      <c r="A60" s="0"/>
      <c r="B60" s="0"/>
      <c r="C60" s="0"/>
      <c r="D60" s="0"/>
      <c r="E60" s="0"/>
      <c r="F60" s="0"/>
      <c r="G60" s="0"/>
      <c r="H60" s="0"/>
      <c r="I60" s="0"/>
      <c r="J60" s="0"/>
    </row>
    <row r="61" customFormat="false" ht="15" hidden="false" customHeight="false" outlineLevel="0" collapsed="false">
      <c r="A61" s="0"/>
      <c r="B61" s="0"/>
      <c r="C61" s="0"/>
      <c r="D61" s="0"/>
      <c r="E61" s="0"/>
      <c r="F61" s="0"/>
      <c r="G61" s="0"/>
      <c r="H61" s="0"/>
      <c r="I61" s="0"/>
      <c r="J61" s="0"/>
    </row>
    <row r="62" customFormat="false" ht="15" hidden="false" customHeight="false" outlineLevel="0" collapsed="false">
      <c r="A62" s="0"/>
      <c r="B62" s="0"/>
      <c r="C62" s="0"/>
      <c r="D62" s="0"/>
      <c r="E62" s="0"/>
      <c r="F62" s="0"/>
      <c r="G62" s="0"/>
      <c r="H62" s="0"/>
      <c r="I62" s="0"/>
      <c r="J62" s="0"/>
    </row>
    <row r="63" customFormat="false" ht="15" hidden="false" customHeight="false" outlineLevel="0" collapsed="false">
      <c r="A63" s="0"/>
      <c r="B63" s="0"/>
      <c r="C63" s="0"/>
      <c r="D63" s="0"/>
      <c r="E63" s="0"/>
      <c r="F63" s="0"/>
      <c r="G63" s="0"/>
      <c r="H63" s="0"/>
      <c r="I63" s="0"/>
      <c r="J63" s="0"/>
    </row>
    <row r="64" customFormat="false" ht="15" hidden="false" customHeight="false" outlineLevel="0" collapsed="false">
      <c r="A64" s="0"/>
      <c r="B64" s="0"/>
      <c r="C64" s="0"/>
      <c r="D64" s="0"/>
      <c r="E64" s="0"/>
      <c r="F64" s="0"/>
      <c r="G64" s="0"/>
      <c r="H64" s="0"/>
      <c r="I64" s="0"/>
      <c r="J64" s="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6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5" topLeftCell="A6" activePane="bottomLeft" state="frozen"/>
      <selection pane="topLeft" activeCell="A1" activeCellId="0" sqref="A1"/>
      <selection pane="bottomLeft" activeCell="I12" activeCellId="0" sqref="I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4"/>
    <col collapsed="false" customWidth="true" hidden="false" outlineLevel="0" max="3" min="3" style="1" width="22"/>
    <col collapsed="false" customWidth="true" hidden="false" outlineLevel="0" max="6" min="4" style="1" width="12"/>
    <col collapsed="false" customWidth="true" hidden="false" outlineLevel="0" max="8" min="7" style="1" width="34"/>
    <col collapsed="false" customWidth="true" hidden="false" outlineLevel="0" max="9" min="9" style="1" width="44"/>
    <col collapsed="false" customWidth="true" hidden="false" outlineLevel="0" max="10" min="10" style="1" width="11"/>
    <col collapsed="false" customWidth="true" hidden="false" outlineLevel="0" max="11" min="11" style="0" width="32"/>
    <col collapsed="false" customWidth="true" hidden="false" outlineLevel="0" max="12" min="12" style="0" width="8"/>
  </cols>
  <sheetData>
    <row r="1" customFormat="false" ht="15" hidden="false" customHeight="false" outlineLevel="0" collapsed="false">
      <c r="A1" s="13" t="s">
        <v>324</v>
      </c>
    </row>
    <row r="2" customFormat="false" ht="15" hidden="false" customHeight="false" outlineLevel="0" collapsed="false">
      <c r="A2" s="0"/>
    </row>
    <row r="4" customFormat="false" ht="15" hidden="false" customHeight="false" outlineLevel="0" collapsed="false">
      <c r="A4" s="20" t="s">
        <v>325</v>
      </c>
      <c r="B4" s="21"/>
      <c r="C4" s="21"/>
      <c r="D4" s="21"/>
      <c r="E4" s="21"/>
      <c r="F4" s="21"/>
      <c r="G4" s="21"/>
      <c r="H4" s="21"/>
      <c r="I4" s="21"/>
      <c r="J4" s="21"/>
    </row>
    <row r="5" customFormat="false" ht="22.3" hidden="false" customHeight="false" outlineLevel="0" collapsed="false">
      <c r="A5" s="14" t="s">
        <v>21</v>
      </c>
      <c r="B5" s="14" t="s">
        <v>22</v>
      </c>
      <c r="C5" s="14" t="s">
        <v>23</v>
      </c>
      <c r="D5" s="14" t="s">
        <v>24</v>
      </c>
      <c r="E5" s="14" t="s">
        <v>25</v>
      </c>
      <c r="F5" s="14" t="s">
        <v>26</v>
      </c>
      <c r="G5" s="14" t="s">
        <v>27</v>
      </c>
      <c r="H5" s="14" t="s">
        <v>28</v>
      </c>
      <c r="I5" s="14" t="s">
        <v>29</v>
      </c>
      <c r="J5" s="14" t="s">
        <v>1</v>
      </c>
    </row>
    <row r="6" customFormat="false" ht="42.7" hidden="false" customHeight="false" outlineLevel="0" collapsed="false">
      <c r="A6" s="15" t="s">
        <v>326</v>
      </c>
      <c r="B6" s="15" t="s">
        <v>327</v>
      </c>
      <c r="C6" s="15" t="s">
        <v>328</v>
      </c>
      <c r="D6" s="15" t="s">
        <v>32</v>
      </c>
      <c r="E6" s="16" t="n">
        <v>900.73</v>
      </c>
      <c r="F6" s="16"/>
      <c r="G6" s="15" t="s">
        <v>329</v>
      </c>
      <c r="H6" s="15" t="s">
        <v>330</v>
      </c>
      <c r="I6" s="15" t="s">
        <v>331</v>
      </c>
      <c r="J6" s="15" t="s">
        <v>12</v>
      </c>
    </row>
    <row r="7" customFormat="false" ht="42.7" hidden="false" customHeight="false" outlineLevel="0" collapsed="false">
      <c r="A7" s="15" t="s">
        <v>326</v>
      </c>
      <c r="B7" s="15" t="s">
        <v>332</v>
      </c>
      <c r="C7" s="15" t="s">
        <v>328</v>
      </c>
      <c r="D7" s="15" t="s">
        <v>32</v>
      </c>
      <c r="E7" s="16" t="n">
        <v>803.82</v>
      </c>
      <c r="F7" s="16"/>
      <c r="G7" s="15" t="s">
        <v>329</v>
      </c>
      <c r="H7" s="15" t="s">
        <v>333</v>
      </c>
      <c r="I7" s="15" t="s">
        <v>334</v>
      </c>
      <c r="J7" s="15" t="s">
        <v>12</v>
      </c>
    </row>
    <row r="8" customFormat="false" ht="32.5" hidden="false" customHeight="false" outlineLevel="0" collapsed="false">
      <c r="A8" s="15" t="s">
        <v>326</v>
      </c>
      <c r="B8" s="15" t="s">
        <v>335</v>
      </c>
      <c r="C8" s="15" t="s">
        <v>328</v>
      </c>
      <c r="D8" s="15" t="s">
        <v>32</v>
      </c>
      <c r="E8" s="16" t="n">
        <v>179.24</v>
      </c>
      <c r="F8" s="16"/>
      <c r="G8" s="15" t="s">
        <v>329</v>
      </c>
      <c r="H8" s="15" t="s">
        <v>336</v>
      </c>
      <c r="I8" s="15" t="s">
        <v>337</v>
      </c>
      <c r="J8" s="15" t="s">
        <v>12</v>
      </c>
    </row>
    <row r="9" customFormat="false" ht="52.9" hidden="false" customHeight="false" outlineLevel="0" collapsed="false">
      <c r="A9" s="15" t="s">
        <v>338</v>
      </c>
      <c r="B9" s="15" t="s">
        <v>339</v>
      </c>
      <c r="C9" s="15" t="s">
        <v>340</v>
      </c>
      <c r="D9" s="15" t="s">
        <v>32</v>
      </c>
      <c r="E9" s="16" t="n">
        <v>2384.01</v>
      </c>
      <c r="F9" s="16"/>
      <c r="G9" s="15" t="s">
        <v>341</v>
      </c>
      <c r="H9" s="15" t="s">
        <v>342</v>
      </c>
      <c r="I9" s="15" t="s">
        <v>343</v>
      </c>
      <c r="J9" s="15" t="s">
        <v>12</v>
      </c>
    </row>
    <row r="10" customFormat="false" ht="32.5" hidden="false" customHeight="false" outlineLevel="0" collapsed="false">
      <c r="A10" s="15" t="s">
        <v>338</v>
      </c>
      <c r="B10" s="15" t="s">
        <v>344</v>
      </c>
      <c r="C10" s="15" t="s">
        <v>345</v>
      </c>
      <c r="D10" s="15" t="s">
        <v>32</v>
      </c>
      <c r="E10" s="16" t="n">
        <v>169.37</v>
      </c>
      <c r="F10" s="16"/>
      <c r="G10" s="15" t="s">
        <v>346</v>
      </c>
      <c r="H10" s="15" t="s">
        <v>347</v>
      </c>
      <c r="I10" s="15" t="s">
        <v>348</v>
      </c>
      <c r="J10" s="15" t="s">
        <v>12</v>
      </c>
    </row>
    <row r="11" customFormat="false" ht="32.5" hidden="false" customHeight="false" outlineLevel="0" collapsed="false">
      <c r="A11" s="15" t="s">
        <v>349</v>
      </c>
      <c r="B11" s="15" t="s">
        <v>350</v>
      </c>
      <c r="C11" s="15" t="s">
        <v>351</v>
      </c>
      <c r="D11" s="15" t="s">
        <v>32</v>
      </c>
      <c r="E11" s="16" t="n">
        <v>372</v>
      </c>
      <c r="F11" s="16"/>
      <c r="G11" s="15" t="s">
        <v>352</v>
      </c>
      <c r="H11" s="15" t="s">
        <v>353</v>
      </c>
      <c r="I11" s="15" t="s">
        <v>354</v>
      </c>
      <c r="J11" s="15" t="s">
        <v>12</v>
      </c>
    </row>
    <row r="12" customFormat="false" ht="32.5" hidden="false" customHeight="false" outlineLevel="0" collapsed="false">
      <c r="A12" s="15" t="s">
        <v>355</v>
      </c>
      <c r="B12" s="15" t="s">
        <v>350</v>
      </c>
      <c r="C12" s="15" t="s">
        <v>351</v>
      </c>
      <c r="D12" s="15" t="s">
        <v>32</v>
      </c>
      <c r="E12" s="16" t="n">
        <v>573.96</v>
      </c>
      <c r="F12" s="16"/>
      <c r="G12" s="15" t="s">
        <v>352</v>
      </c>
      <c r="H12" s="15" t="s">
        <v>353</v>
      </c>
      <c r="I12" s="15" t="s">
        <v>356</v>
      </c>
      <c r="J12" s="15" t="s">
        <v>12</v>
      </c>
    </row>
    <row r="13" customFormat="false" ht="52.9" hidden="false" customHeight="false" outlineLevel="0" collapsed="false">
      <c r="A13" s="15" t="s">
        <v>355</v>
      </c>
      <c r="B13" s="15" t="s">
        <v>357</v>
      </c>
      <c r="C13" s="15" t="s">
        <v>358</v>
      </c>
      <c r="D13" s="15" t="s">
        <v>32</v>
      </c>
      <c r="E13" s="16" t="n">
        <v>149.05</v>
      </c>
      <c r="F13" s="16"/>
      <c r="G13" s="15" t="s">
        <v>352</v>
      </c>
      <c r="H13" s="15" t="s">
        <v>359</v>
      </c>
      <c r="I13" s="15" t="s">
        <v>360</v>
      </c>
      <c r="J13" s="15" t="s">
        <v>12</v>
      </c>
    </row>
    <row r="14" customFormat="false" ht="42.7" hidden="false" customHeight="false" outlineLevel="0" collapsed="false">
      <c r="A14" s="15" t="s">
        <v>361</v>
      </c>
      <c r="B14" s="15" t="s">
        <v>362</v>
      </c>
      <c r="C14" s="15" t="s">
        <v>328</v>
      </c>
      <c r="D14" s="15" t="s">
        <v>32</v>
      </c>
      <c r="E14" s="16" t="n">
        <v>1395.63</v>
      </c>
      <c r="F14" s="16"/>
      <c r="G14" s="15" t="s">
        <v>363</v>
      </c>
      <c r="H14" s="15" t="s">
        <v>364</v>
      </c>
      <c r="I14" s="15" t="s">
        <v>365</v>
      </c>
      <c r="J14" s="15" t="s">
        <v>12</v>
      </c>
    </row>
    <row r="15" customFormat="false" ht="32.5" hidden="false" customHeight="false" outlineLevel="0" collapsed="false">
      <c r="A15" s="15" t="s">
        <v>361</v>
      </c>
      <c r="B15" s="15" t="s">
        <v>366</v>
      </c>
      <c r="C15" s="15" t="s">
        <v>328</v>
      </c>
      <c r="D15" s="15" t="s">
        <v>32</v>
      </c>
      <c r="E15" s="16" t="n">
        <v>1213.84</v>
      </c>
      <c r="F15" s="16"/>
      <c r="G15" s="15" t="s">
        <v>363</v>
      </c>
      <c r="H15" s="15" t="s">
        <v>367</v>
      </c>
      <c r="I15" s="15" t="s">
        <v>368</v>
      </c>
      <c r="J15" s="15" t="s">
        <v>12</v>
      </c>
    </row>
    <row r="16" customFormat="false" ht="52.9" hidden="false" customHeight="false" outlineLevel="0" collapsed="false">
      <c r="A16" s="15" t="s">
        <v>369</v>
      </c>
      <c r="B16" s="15" t="s">
        <v>132</v>
      </c>
      <c r="C16" s="15" t="s">
        <v>370</v>
      </c>
      <c r="D16" s="15" t="s">
        <v>32</v>
      </c>
      <c r="E16" s="16" t="n">
        <v>1989.17</v>
      </c>
      <c r="F16" s="16"/>
      <c r="G16" s="15" t="s">
        <v>371</v>
      </c>
      <c r="H16" s="15" t="s">
        <v>372</v>
      </c>
      <c r="I16" s="15" t="s">
        <v>373</v>
      </c>
      <c r="J16" s="15" t="s">
        <v>12</v>
      </c>
    </row>
    <row r="17" customFormat="false" ht="22.3" hidden="false" customHeight="false" outlineLevel="0" collapsed="false">
      <c r="A17" s="15" t="s">
        <v>374</v>
      </c>
      <c r="B17" s="15" t="s">
        <v>153</v>
      </c>
      <c r="C17" s="15" t="s">
        <v>370</v>
      </c>
      <c r="D17" s="15" t="s">
        <v>32</v>
      </c>
      <c r="E17" s="16" t="n">
        <v>1664.61</v>
      </c>
      <c r="F17" s="16"/>
      <c r="G17" s="15" t="s">
        <v>371</v>
      </c>
      <c r="H17" s="15" t="s">
        <v>375</v>
      </c>
      <c r="I17" s="15" t="s">
        <v>376</v>
      </c>
      <c r="J17" s="15" t="s">
        <v>12</v>
      </c>
    </row>
    <row r="18" customFormat="false" ht="22.3" hidden="false" customHeight="false" outlineLevel="0" collapsed="false">
      <c r="A18" s="15" t="s">
        <v>374</v>
      </c>
      <c r="B18" s="15" t="s">
        <v>251</v>
      </c>
      <c r="C18" s="15" t="s">
        <v>370</v>
      </c>
      <c r="D18" s="15" t="s">
        <v>32</v>
      </c>
      <c r="E18" s="16" t="n">
        <v>1662.5</v>
      </c>
      <c r="F18" s="16"/>
      <c r="G18" s="15" t="s">
        <v>371</v>
      </c>
      <c r="H18" s="15" t="s">
        <v>375</v>
      </c>
      <c r="I18" s="15" t="s">
        <v>377</v>
      </c>
      <c r="J18" s="15" t="s">
        <v>12</v>
      </c>
    </row>
    <row r="19" customFormat="false" ht="42.7" hidden="false" customHeight="false" outlineLevel="0" collapsed="false">
      <c r="A19" s="15" t="s">
        <v>355</v>
      </c>
      <c r="B19" s="15" t="s">
        <v>378</v>
      </c>
      <c r="C19" s="15" t="s">
        <v>379</v>
      </c>
      <c r="D19" s="15" t="s">
        <v>32</v>
      </c>
      <c r="E19" s="16" t="n">
        <v>1988.89</v>
      </c>
      <c r="F19" s="16" t="n">
        <v>2000</v>
      </c>
      <c r="G19" s="15" t="s">
        <v>380</v>
      </c>
      <c r="H19" s="15" t="s">
        <v>381</v>
      </c>
      <c r="I19" s="15" t="s">
        <v>382</v>
      </c>
      <c r="J19" s="15" t="s">
        <v>12</v>
      </c>
    </row>
    <row r="20" customFormat="false" ht="52.9" hidden="false" customHeight="false" outlineLevel="0" collapsed="false">
      <c r="A20" s="15" t="s">
        <v>326</v>
      </c>
      <c r="B20" s="15" t="s">
        <v>383</v>
      </c>
      <c r="C20" s="15" t="s">
        <v>384</v>
      </c>
      <c r="D20" s="15" t="s">
        <v>94</v>
      </c>
      <c r="E20" s="16" t="n">
        <v>347.17</v>
      </c>
      <c r="F20" s="16"/>
      <c r="G20" s="15" t="s">
        <v>385</v>
      </c>
      <c r="H20" s="15" t="s">
        <v>386</v>
      </c>
      <c r="I20" s="15" t="s">
        <v>94</v>
      </c>
      <c r="J20" s="15" t="s">
        <v>12</v>
      </c>
    </row>
    <row r="21" customFormat="false" ht="42.7" hidden="false" customHeight="false" outlineLevel="0" collapsed="false">
      <c r="A21" s="15" t="s">
        <v>326</v>
      </c>
      <c r="B21" s="15" t="s">
        <v>387</v>
      </c>
      <c r="C21" s="15" t="s">
        <v>384</v>
      </c>
      <c r="D21" s="15" t="s">
        <v>94</v>
      </c>
      <c r="E21" s="16" t="n">
        <v>114.74</v>
      </c>
      <c r="F21" s="16"/>
      <c r="G21" s="15" t="s">
        <v>388</v>
      </c>
      <c r="H21" s="15" t="s">
        <v>389</v>
      </c>
      <c r="I21" s="15" t="s">
        <v>94</v>
      </c>
      <c r="J21" s="15" t="s">
        <v>12</v>
      </c>
    </row>
    <row r="22" customFormat="false" ht="42.7" hidden="false" customHeight="false" outlineLevel="0" collapsed="false">
      <c r="A22" s="15" t="s">
        <v>361</v>
      </c>
      <c r="B22" s="15" t="s">
        <v>390</v>
      </c>
      <c r="C22" s="15" t="s">
        <v>384</v>
      </c>
      <c r="D22" s="15" t="s">
        <v>94</v>
      </c>
      <c r="E22" s="16" t="n">
        <v>156.87</v>
      </c>
      <c r="F22" s="16"/>
      <c r="G22" s="15" t="s">
        <v>388</v>
      </c>
      <c r="H22" s="15" t="s">
        <v>389</v>
      </c>
      <c r="I22" s="15" t="s">
        <v>94</v>
      </c>
      <c r="J22" s="15" t="s">
        <v>12</v>
      </c>
    </row>
    <row r="23" customFormat="false" ht="42.7" hidden="false" customHeight="false" outlineLevel="0" collapsed="false">
      <c r="A23" s="15" t="s">
        <v>326</v>
      </c>
      <c r="B23" s="15" t="s">
        <v>391</v>
      </c>
      <c r="C23" s="15" t="s">
        <v>392</v>
      </c>
      <c r="D23" s="15" t="s">
        <v>94</v>
      </c>
      <c r="E23" s="16" t="n">
        <v>13.82</v>
      </c>
      <c r="F23" s="16"/>
      <c r="G23" s="15" t="s">
        <v>393</v>
      </c>
      <c r="H23" s="15" t="s">
        <v>394</v>
      </c>
      <c r="I23" s="15" t="s">
        <v>94</v>
      </c>
      <c r="J23" s="15" t="s">
        <v>12</v>
      </c>
    </row>
    <row r="24" customFormat="false" ht="42.7" hidden="false" customHeight="false" outlineLevel="0" collapsed="false">
      <c r="A24" s="15" t="s">
        <v>361</v>
      </c>
      <c r="B24" s="15" t="s">
        <v>395</v>
      </c>
      <c r="C24" s="15" t="s">
        <v>396</v>
      </c>
      <c r="D24" s="15" t="s">
        <v>94</v>
      </c>
      <c r="E24" s="16" t="n">
        <v>353.37</v>
      </c>
      <c r="F24" s="16"/>
      <c r="G24" s="15" t="s">
        <v>397</v>
      </c>
      <c r="H24" s="15" t="s">
        <v>398</v>
      </c>
      <c r="I24" s="15" t="s">
        <v>94</v>
      </c>
      <c r="J24" s="15" t="s">
        <v>12</v>
      </c>
    </row>
    <row r="25" customFormat="false" ht="15" hidden="false" customHeight="false" outlineLevel="0" collapsed="false">
      <c r="A25" s="17"/>
      <c r="B25" s="17"/>
      <c r="C25" s="17"/>
      <c r="D25" s="18" t="s">
        <v>399</v>
      </c>
      <c r="E25" s="19" t="n">
        <f aca="false">SUM(E6:E24)</f>
        <v>16432.79</v>
      </c>
      <c r="F25" s="17"/>
      <c r="G25" s="17"/>
      <c r="H25" s="17"/>
      <c r="I25" s="17"/>
      <c r="J25" s="17"/>
    </row>
    <row r="27" customFormat="false" ht="15" hidden="false" customHeight="false" outlineLevel="0" collapsed="false">
      <c r="A27" s="20" t="s">
        <v>400</v>
      </c>
      <c r="B27" s="21"/>
      <c r="C27" s="21"/>
      <c r="D27" s="21"/>
      <c r="E27" s="21"/>
      <c r="F27" s="21"/>
      <c r="G27" s="21"/>
      <c r="H27" s="21"/>
      <c r="I27" s="21"/>
      <c r="J27" s="21"/>
    </row>
    <row r="28" customFormat="false" ht="22.3" hidden="false" customHeight="false" outlineLevel="0" collapsed="false">
      <c r="A28" s="14" t="s">
        <v>21</v>
      </c>
      <c r="B28" s="14" t="s">
        <v>22</v>
      </c>
      <c r="C28" s="14" t="s">
        <v>23</v>
      </c>
      <c r="D28" s="14" t="s">
        <v>24</v>
      </c>
      <c r="E28" s="14" t="s">
        <v>25</v>
      </c>
      <c r="F28" s="14" t="s">
        <v>26</v>
      </c>
      <c r="G28" s="14" t="s">
        <v>27</v>
      </c>
      <c r="H28" s="14" t="s">
        <v>28</v>
      </c>
      <c r="I28" s="14" t="s">
        <v>29</v>
      </c>
      <c r="J28" s="14" t="s">
        <v>1</v>
      </c>
    </row>
    <row r="29" customFormat="false" ht="32.5" hidden="false" customHeight="false" outlineLevel="0" collapsed="false">
      <c r="A29" s="15" t="s">
        <v>401</v>
      </c>
      <c r="B29" s="15" t="s">
        <v>402</v>
      </c>
      <c r="C29" s="15" t="s">
        <v>351</v>
      </c>
      <c r="D29" s="15" t="s">
        <v>32</v>
      </c>
      <c r="E29" s="16" t="n">
        <v>788.28</v>
      </c>
      <c r="F29" s="16"/>
      <c r="G29" s="15" t="s">
        <v>403</v>
      </c>
      <c r="H29" s="15" t="s">
        <v>404</v>
      </c>
      <c r="I29" s="15" t="s">
        <v>405</v>
      </c>
      <c r="J29" s="15" t="s">
        <v>12</v>
      </c>
    </row>
    <row r="30" customFormat="false" ht="22.3" hidden="false" customHeight="false" outlineLevel="0" collapsed="false">
      <c r="A30" s="15" t="s">
        <v>406</v>
      </c>
      <c r="B30" s="15" t="s">
        <v>402</v>
      </c>
      <c r="C30" s="15" t="s">
        <v>351</v>
      </c>
      <c r="D30" s="15" t="s">
        <v>32</v>
      </c>
      <c r="E30" s="16" t="n">
        <v>273.91</v>
      </c>
      <c r="F30" s="16"/>
      <c r="G30" s="15" t="s">
        <v>403</v>
      </c>
      <c r="H30" s="15" t="s">
        <v>407</v>
      </c>
      <c r="I30" s="15" t="s">
        <v>405</v>
      </c>
      <c r="J30" s="15" t="s">
        <v>12</v>
      </c>
    </row>
    <row r="31" customFormat="false" ht="22.3" hidden="false" customHeight="false" outlineLevel="0" collapsed="false">
      <c r="A31" s="15" t="s">
        <v>408</v>
      </c>
      <c r="B31" s="15" t="s">
        <v>402</v>
      </c>
      <c r="C31" s="15" t="s">
        <v>351</v>
      </c>
      <c r="D31" s="15" t="s">
        <v>32</v>
      </c>
      <c r="E31" s="16" t="n">
        <v>315.52</v>
      </c>
      <c r="F31" s="16"/>
      <c r="G31" s="15" t="s">
        <v>403</v>
      </c>
      <c r="H31" s="15" t="s">
        <v>407</v>
      </c>
      <c r="I31" s="15" t="s">
        <v>405</v>
      </c>
      <c r="J31" s="15" t="s">
        <v>12</v>
      </c>
    </row>
    <row r="32" customFormat="false" ht="22.3" hidden="false" customHeight="false" outlineLevel="0" collapsed="false">
      <c r="A32" s="15" t="s">
        <v>409</v>
      </c>
      <c r="B32" s="15" t="s">
        <v>402</v>
      </c>
      <c r="C32" s="15" t="s">
        <v>351</v>
      </c>
      <c r="D32" s="15" t="s">
        <v>32</v>
      </c>
      <c r="E32" s="16" t="n">
        <v>319.67</v>
      </c>
      <c r="F32" s="16"/>
      <c r="G32" s="15" t="s">
        <v>403</v>
      </c>
      <c r="H32" s="15" t="s">
        <v>407</v>
      </c>
      <c r="I32" s="15" t="s">
        <v>405</v>
      </c>
      <c r="J32" s="15" t="s">
        <v>12</v>
      </c>
    </row>
    <row r="33" customFormat="false" ht="15" hidden="false" customHeight="false" outlineLevel="0" collapsed="false">
      <c r="A33" s="17"/>
      <c r="B33" s="17"/>
      <c r="C33" s="17"/>
      <c r="D33" s="18" t="s">
        <v>410</v>
      </c>
      <c r="E33" s="19" t="n">
        <f aca="false">SUM(E29:E32)</f>
        <v>1697.38</v>
      </c>
      <c r="F33" s="17"/>
      <c r="G33" s="17"/>
      <c r="H33" s="17"/>
      <c r="I33" s="17"/>
      <c r="J33" s="17"/>
    </row>
    <row r="35" customFormat="false" ht="15" hidden="false" customHeight="false" outlineLevel="0" collapsed="false">
      <c r="A35" s="0"/>
      <c r="B35" s="0"/>
      <c r="C35" s="0"/>
      <c r="D35" s="0"/>
      <c r="E35" s="0"/>
      <c r="F35" s="0"/>
      <c r="G35" s="0"/>
      <c r="H35" s="0"/>
      <c r="I35" s="0"/>
      <c r="J35" s="0"/>
    </row>
    <row r="36" customFormat="false" ht="60" hidden="false" customHeight="true" outlineLevel="0" collapsed="false">
      <c r="A36" s="0"/>
      <c r="B36" s="0"/>
      <c r="C36" s="0"/>
      <c r="D36" s="0"/>
      <c r="E36" s="0"/>
      <c r="F36" s="0"/>
      <c r="G36" s="0"/>
      <c r="H36" s="0"/>
      <c r="I36" s="0"/>
      <c r="J36" s="0"/>
    </row>
    <row r="37" customFormat="false" ht="15" hidden="false" customHeight="false" outlineLevel="0" collapsed="false">
      <c r="A37" s="0"/>
      <c r="B37" s="0"/>
      <c r="C37" s="0"/>
      <c r="D37" s="0"/>
      <c r="E37" s="0"/>
      <c r="F37" s="0"/>
      <c r="G37" s="0"/>
      <c r="H37" s="0"/>
      <c r="I37" s="0"/>
      <c r="J37" s="0"/>
    </row>
    <row r="38" customFormat="false" ht="15" hidden="false" customHeight="false" outlineLevel="0" collapsed="false">
      <c r="A38" s="0"/>
      <c r="B38" s="0"/>
      <c r="C38" s="0"/>
      <c r="D38" s="0"/>
      <c r="E38" s="0"/>
      <c r="F38" s="0"/>
      <c r="G38" s="0"/>
      <c r="H38" s="0"/>
      <c r="I38" s="0"/>
      <c r="J38" s="0"/>
    </row>
    <row r="39" customFormat="false" ht="25.5" hidden="false" customHeight="true" outlineLevel="0" collapsed="false">
      <c r="A39" s="0"/>
      <c r="B39" s="0"/>
      <c r="C39" s="0"/>
      <c r="D39" s="0"/>
      <c r="E39" s="0"/>
      <c r="F39" s="0"/>
      <c r="G39" s="0"/>
      <c r="H39" s="0"/>
      <c r="I39" s="0"/>
      <c r="J39" s="0"/>
    </row>
    <row r="40" customFormat="false" ht="13.5" hidden="false" customHeight="true" outlineLevel="0" collapsed="false">
      <c r="A40" s="0"/>
      <c r="B40" s="0"/>
      <c r="C40" s="0"/>
      <c r="D40" s="0"/>
      <c r="E40" s="0"/>
      <c r="F40" s="0"/>
      <c r="G40" s="0"/>
      <c r="H40" s="0"/>
      <c r="I40" s="0"/>
      <c r="J40" s="0"/>
    </row>
    <row r="41" customFormat="false" ht="13.5" hidden="false" customHeight="true" outlineLevel="0" collapsed="false">
      <c r="A41" s="0"/>
      <c r="B41" s="0"/>
      <c r="C41" s="0"/>
      <c r="D41" s="0"/>
      <c r="E41" s="0"/>
      <c r="F41" s="0"/>
      <c r="G41" s="0"/>
      <c r="H41" s="0"/>
      <c r="I41" s="0"/>
      <c r="J41" s="0"/>
    </row>
    <row r="42" customFormat="false" ht="13.5" hidden="false" customHeight="true" outlineLevel="0" collapsed="false">
      <c r="A42" s="0"/>
      <c r="B42" s="0"/>
      <c r="C42" s="0"/>
      <c r="D42" s="0"/>
      <c r="E42" s="0"/>
      <c r="F42" s="0"/>
      <c r="G42" s="0"/>
      <c r="H42" s="0"/>
      <c r="I42" s="0"/>
      <c r="J42" s="0"/>
    </row>
    <row r="43" customFormat="false" ht="13.5" hidden="false" customHeight="true" outlineLevel="0" collapsed="false">
      <c r="A43" s="0"/>
      <c r="B43" s="0"/>
      <c r="C43" s="0"/>
      <c r="D43" s="0"/>
      <c r="E43" s="0"/>
      <c r="F43" s="0"/>
      <c r="G43" s="0"/>
      <c r="H43" s="0"/>
      <c r="I43" s="0"/>
      <c r="J43" s="0"/>
    </row>
    <row r="44" customFormat="false" ht="13.5" hidden="false" customHeight="true" outlineLevel="0" collapsed="false">
      <c r="A44" s="0"/>
      <c r="B44" s="0"/>
      <c r="C44" s="0"/>
      <c r="D44" s="0"/>
      <c r="E44" s="0"/>
      <c r="F44" s="0"/>
      <c r="G44" s="0"/>
      <c r="H44" s="0"/>
      <c r="I44" s="0"/>
      <c r="J44" s="0"/>
    </row>
    <row r="45" customFormat="false" ht="15" hidden="false" customHeight="false" outlineLevel="0" collapsed="false">
      <c r="A45" s="0"/>
      <c r="B45" s="0"/>
      <c r="C45" s="0"/>
      <c r="D45" s="0"/>
      <c r="E45" s="0"/>
      <c r="F45" s="0"/>
      <c r="G45" s="0"/>
      <c r="H45" s="0"/>
      <c r="I45" s="0"/>
      <c r="J45" s="0"/>
    </row>
    <row r="46" customFormat="false" ht="15" hidden="false" customHeight="false" outlineLevel="0" collapsed="false">
      <c r="A46" s="0"/>
      <c r="B46" s="0"/>
      <c r="C46" s="0"/>
      <c r="D46" s="0"/>
      <c r="E46" s="0"/>
      <c r="F46" s="0"/>
      <c r="G46" s="0"/>
      <c r="H46" s="0"/>
      <c r="I46" s="0"/>
      <c r="J46" s="0"/>
    </row>
    <row r="47" customFormat="false" ht="13.5" hidden="false" customHeight="true" outlineLevel="0" collapsed="false">
      <c r="A47" s="0"/>
      <c r="B47" s="0"/>
      <c r="C47" s="0"/>
      <c r="D47" s="0"/>
      <c r="E47" s="0"/>
      <c r="F47" s="0"/>
      <c r="G47" s="0"/>
      <c r="H47" s="0"/>
      <c r="I47" s="0"/>
      <c r="J47" s="0"/>
    </row>
    <row r="48" customFormat="false" ht="25.5" hidden="false" customHeight="true" outlineLevel="0" collapsed="false">
      <c r="A48" s="0"/>
      <c r="B48" s="0"/>
      <c r="C48" s="0"/>
      <c r="D48" s="0"/>
      <c r="E48" s="0"/>
      <c r="F48" s="0"/>
      <c r="G48" s="0"/>
      <c r="H48" s="0"/>
      <c r="I48" s="0"/>
      <c r="J48" s="0"/>
    </row>
    <row r="49" customFormat="false" ht="13.5" hidden="false" customHeight="true" outlineLevel="0" collapsed="false">
      <c r="A49" s="0"/>
      <c r="B49" s="0"/>
      <c r="C49" s="0"/>
      <c r="D49" s="0"/>
      <c r="E49" s="0"/>
      <c r="F49" s="0"/>
      <c r="G49" s="0"/>
      <c r="H49" s="0"/>
      <c r="I49" s="0"/>
      <c r="J49" s="0"/>
    </row>
    <row r="50" customFormat="false" ht="25.5" hidden="false" customHeight="true" outlineLevel="0" collapsed="false">
      <c r="A50" s="0"/>
      <c r="B50" s="0"/>
      <c r="C50" s="0"/>
      <c r="D50" s="0"/>
      <c r="E50" s="0"/>
      <c r="F50" s="0"/>
      <c r="G50" s="0"/>
      <c r="H50" s="0"/>
      <c r="I50" s="0"/>
      <c r="J50" s="0"/>
    </row>
    <row r="51" customFormat="false" ht="25.5" hidden="false" customHeight="true" outlineLevel="0" collapsed="false">
      <c r="A51" s="0"/>
      <c r="B51" s="0"/>
      <c r="C51" s="0"/>
      <c r="D51" s="0"/>
      <c r="E51" s="0"/>
      <c r="F51" s="0"/>
      <c r="G51" s="0"/>
      <c r="H51" s="0"/>
      <c r="I51" s="0"/>
      <c r="J51" s="0"/>
    </row>
    <row r="52" customFormat="false" ht="25.5" hidden="false" customHeight="true" outlineLevel="0" collapsed="false">
      <c r="A52" s="0"/>
      <c r="B52" s="0"/>
      <c r="C52" s="0"/>
      <c r="D52" s="0"/>
      <c r="E52" s="0"/>
      <c r="F52" s="0"/>
      <c r="G52" s="0"/>
      <c r="H52" s="0"/>
      <c r="I52" s="0"/>
      <c r="J52" s="0"/>
    </row>
    <row r="53" customFormat="false" ht="25.5" hidden="false" customHeight="true" outlineLevel="0" collapsed="false">
      <c r="A53" s="0"/>
      <c r="B53" s="0"/>
      <c r="C53" s="0"/>
      <c r="D53" s="0"/>
      <c r="E53" s="0"/>
      <c r="F53" s="0"/>
      <c r="G53" s="0"/>
      <c r="H53" s="0"/>
      <c r="I53" s="0"/>
      <c r="J53" s="0"/>
    </row>
    <row r="54" customFormat="false" ht="13.5" hidden="false" customHeight="true" outlineLevel="0" collapsed="false">
      <c r="A54" s="0"/>
      <c r="B54" s="0"/>
      <c r="C54" s="0"/>
      <c r="D54" s="0"/>
      <c r="E54" s="0"/>
      <c r="F54" s="0"/>
      <c r="G54" s="0"/>
      <c r="H54" s="0"/>
      <c r="I54" s="0"/>
      <c r="J54" s="0"/>
    </row>
    <row r="55" customFormat="false" ht="25.5" hidden="false" customHeight="true" outlineLevel="0" collapsed="false">
      <c r="A55" s="0"/>
      <c r="B55" s="0"/>
      <c r="C55" s="0"/>
      <c r="D55" s="0"/>
      <c r="E55" s="0"/>
      <c r="F55" s="0"/>
      <c r="G55" s="0"/>
      <c r="H55" s="0"/>
      <c r="I55" s="0"/>
      <c r="J55" s="0"/>
    </row>
    <row r="56" customFormat="false" ht="25.5" hidden="false" customHeight="true" outlineLevel="0" collapsed="false">
      <c r="A56" s="0"/>
      <c r="B56" s="0"/>
      <c r="C56" s="0"/>
      <c r="D56" s="0"/>
      <c r="E56" s="0"/>
      <c r="F56" s="0"/>
      <c r="G56" s="0"/>
      <c r="H56" s="0"/>
      <c r="I56" s="0"/>
      <c r="J56" s="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4" topLeftCell="A5" activePane="bottomLeft" state="frozen"/>
      <selection pane="topLeft" activeCell="A1" activeCellId="0" sqref="A1"/>
      <selection pane="bottomLeft" activeCell="E9" activeCellId="0" sqref="E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4"/>
    <col collapsed="false" customWidth="true" hidden="false" outlineLevel="0" max="3" min="3" style="1" width="22"/>
    <col collapsed="false" customWidth="true" hidden="false" outlineLevel="0" max="6" min="4" style="1" width="12"/>
    <col collapsed="false" customWidth="true" hidden="false" outlineLevel="0" max="8" min="7" style="1" width="34"/>
    <col collapsed="false" customWidth="true" hidden="false" outlineLevel="0" max="9" min="9" style="1" width="44"/>
    <col collapsed="false" customWidth="true" hidden="false" outlineLevel="0" max="10" min="10" style="1" width="11"/>
    <col collapsed="false" customWidth="true" hidden="false" outlineLevel="0" max="11" min="11" style="0" width="32"/>
    <col collapsed="false" customWidth="true" hidden="false" outlineLevel="0" max="12" min="12" style="0" width="8"/>
  </cols>
  <sheetData>
    <row r="1" customFormat="false" ht="15" hidden="false" customHeight="false" outlineLevel="0" collapsed="false">
      <c r="A1" s="13" t="s">
        <v>411</v>
      </c>
    </row>
    <row r="2" customFormat="false" ht="15" hidden="false" customHeight="false" outlineLevel="0" collapsed="false">
      <c r="A2" s="0"/>
    </row>
    <row r="4" customFormat="false" ht="22.3" hidden="false" customHeight="false" outlineLevel="0" collapsed="false">
      <c r="A4" s="14" t="s">
        <v>21</v>
      </c>
      <c r="B4" s="14" t="s">
        <v>22</v>
      </c>
      <c r="C4" s="14" t="s">
        <v>23</v>
      </c>
      <c r="D4" s="14" t="s">
        <v>24</v>
      </c>
      <c r="E4" s="14" t="s">
        <v>25</v>
      </c>
      <c r="F4" s="14" t="s">
        <v>26</v>
      </c>
      <c r="G4" s="14" t="s">
        <v>27</v>
      </c>
      <c r="H4" s="14" t="s">
        <v>28</v>
      </c>
      <c r="I4" s="14" t="s">
        <v>29</v>
      </c>
      <c r="J4" s="14" t="s">
        <v>1</v>
      </c>
    </row>
    <row r="5" customFormat="false" ht="52.9" hidden="false" customHeight="false" outlineLevel="0" collapsed="false">
      <c r="A5" s="15" t="s">
        <v>15</v>
      </c>
      <c r="B5" s="15" t="s">
        <v>350</v>
      </c>
      <c r="C5" s="15" t="s">
        <v>412</v>
      </c>
      <c r="D5" s="15" t="s">
        <v>32</v>
      </c>
      <c r="E5" s="16" t="n">
        <v>1640.94</v>
      </c>
      <c r="F5" s="16"/>
      <c r="G5" s="15" t="s">
        <v>413</v>
      </c>
      <c r="H5" s="15" t="s">
        <v>414</v>
      </c>
      <c r="I5" s="15" t="s">
        <v>415</v>
      </c>
      <c r="J5" s="15" t="s">
        <v>12</v>
      </c>
    </row>
    <row r="6" customFormat="false" ht="52.9" hidden="false" customHeight="false" outlineLevel="0" collapsed="false">
      <c r="A6" s="15" t="s">
        <v>15</v>
      </c>
      <c r="B6" s="15" t="s">
        <v>416</v>
      </c>
      <c r="C6" s="15" t="s">
        <v>417</v>
      </c>
      <c r="D6" s="15" t="s">
        <v>32</v>
      </c>
      <c r="E6" s="16" t="n">
        <v>298.86</v>
      </c>
      <c r="F6" s="16" t="n">
        <v>300</v>
      </c>
      <c r="G6" s="15" t="s">
        <v>418</v>
      </c>
      <c r="H6" s="15" t="s">
        <v>419</v>
      </c>
      <c r="I6" s="15" t="s">
        <v>420</v>
      </c>
      <c r="J6" s="15" t="s">
        <v>12</v>
      </c>
    </row>
    <row r="7" customFormat="false" ht="42.7" hidden="false" customHeight="false" outlineLevel="0" collapsed="false">
      <c r="A7" s="15" t="s">
        <v>15</v>
      </c>
      <c r="B7" s="15" t="s">
        <v>421</v>
      </c>
      <c r="C7" s="15" t="s">
        <v>417</v>
      </c>
      <c r="D7" s="15" t="s">
        <v>32</v>
      </c>
      <c r="E7" s="16" t="n">
        <v>599.61</v>
      </c>
      <c r="F7" s="16" t="n">
        <v>600</v>
      </c>
      <c r="G7" s="15" t="s">
        <v>422</v>
      </c>
      <c r="H7" s="15" t="s">
        <v>423</v>
      </c>
      <c r="I7" s="15" t="s">
        <v>424</v>
      </c>
      <c r="J7" s="15" t="s">
        <v>12</v>
      </c>
    </row>
    <row r="8" customFormat="false" ht="42.7" hidden="false" customHeight="false" outlineLevel="0" collapsed="false">
      <c r="A8" s="15" t="s">
        <v>15</v>
      </c>
      <c r="B8" s="15" t="s">
        <v>425</v>
      </c>
      <c r="C8" s="15" t="s">
        <v>417</v>
      </c>
      <c r="D8" s="15" t="s">
        <v>32</v>
      </c>
      <c r="E8" s="16" t="n">
        <v>399.66</v>
      </c>
      <c r="F8" s="16" t="n">
        <v>400</v>
      </c>
      <c r="G8" s="15" t="s">
        <v>426</v>
      </c>
      <c r="H8" s="15" t="s">
        <v>427</v>
      </c>
      <c r="I8" s="15" t="s">
        <v>428</v>
      </c>
      <c r="J8" s="15" t="s">
        <v>12</v>
      </c>
    </row>
    <row r="9" customFormat="false" ht="52.9" hidden="false" customHeight="false" outlineLevel="0" collapsed="false">
      <c r="A9" s="15" t="s">
        <v>15</v>
      </c>
      <c r="B9" s="15" t="s">
        <v>429</v>
      </c>
      <c r="C9" s="15" t="s">
        <v>417</v>
      </c>
      <c r="D9" s="15" t="s">
        <v>32</v>
      </c>
      <c r="E9" s="16" t="n">
        <v>549.53</v>
      </c>
      <c r="F9" s="16" t="n">
        <v>550</v>
      </c>
      <c r="G9" s="15" t="s">
        <v>430</v>
      </c>
      <c r="H9" s="15" t="s">
        <v>431</v>
      </c>
      <c r="I9" s="15" t="s">
        <v>432</v>
      </c>
      <c r="J9" s="15" t="s">
        <v>12</v>
      </c>
    </row>
    <row r="10" customFormat="false" ht="52.9" hidden="false" customHeight="false" outlineLevel="0" collapsed="false">
      <c r="A10" s="15" t="s">
        <v>15</v>
      </c>
      <c r="B10" s="15" t="s">
        <v>433</v>
      </c>
      <c r="C10" s="15" t="s">
        <v>417</v>
      </c>
      <c r="D10" s="15" t="s">
        <v>32</v>
      </c>
      <c r="E10" s="16" t="n">
        <v>498.4</v>
      </c>
      <c r="F10" s="16" t="n">
        <v>500</v>
      </c>
      <c r="G10" s="15" t="s">
        <v>430</v>
      </c>
      <c r="H10" s="15" t="s">
        <v>434</v>
      </c>
      <c r="I10" s="15" t="s">
        <v>435</v>
      </c>
      <c r="J10" s="15" t="s">
        <v>12</v>
      </c>
    </row>
    <row r="11" customFormat="false" ht="32.5" hidden="false" customHeight="false" outlineLevel="0" collapsed="false">
      <c r="A11" s="15" t="s">
        <v>15</v>
      </c>
      <c r="B11" s="15" t="s">
        <v>436</v>
      </c>
      <c r="C11" s="15" t="s">
        <v>417</v>
      </c>
      <c r="D11" s="15" t="s">
        <v>32</v>
      </c>
      <c r="E11" s="16" t="n">
        <v>199.4</v>
      </c>
      <c r="F11" s="16" t="n">
        <v>200</v>
      </c>
      <c r="G11" s="15" t="s">
        <v>430</v>
      </c>
      <c r="H11" s="15" t="s">
        <v>437</v>
      </c>
      <c r="I11" s="15" t="s">
        <v>438</v>
      </c>
      <c r="J11" s="15" t="s">
        <v>12</v>
      </c>
    </row>
    <row r="12" customFormat="false" ht="42.7" hidden="false" customHeight="false" outlineLevel="0" collapsed="false">
      <c r="A12" s="15" t="s">
        <v>15</v>
      </c>
      <c r="B12" s="15" t="s">
        <v>439</v>
      </c>
      <c r="C12" s="15" t="s">
        <v>440</v>
      </c>
      <c r="D12" s="15" t="s">
        <v>94</v>
      </c>
      <c r="E12" s="16" t="n">
        <v>198.51</v>
      </c>
      <c r="F12" s="16"/>
      <c r="G12" s="15" t="s">
        <v>441</v>
      </c>
      <c r="H12" s="15" t="s">
        <v>442</v>
      </c>
      <c r="I12" s="15" t="s">
        <v>94</v>
      </c>
      <c r="J12" s="15" t="s">
        <v>12</v>
      </c>
    </row>
    <row r="13" customFormat="false" ht="32.5" hidden="false" customHeight="false" outlineLevel="0" collapsed="false">
      <c r="A13" s="15" t="s">
        <v>443</v>
      </c>
      <c r="B13" s="15" t="s">
        <v>132</v>
      </c>
      <c r="C13" s="15" t="s">
        <v>444</v>
      </c>
      <c r="D13" s="15" t="s">
        <v>32</v>
      </c>
      <c r="E13" s="16" t="n">
        <v>730.85</v>
      </c>
      <c r="F13" s="16"/>
      <c r="G13" s="15" t="s">
        <v>445</v>
      </c>
      <c r="H13" s="15" t="s">
        <v>446</v>
      </c>
      <c r="I13" s="15" t="s">
        <v>447</v>
      </c>
      <c r="J13" s="15" t="s">
        <v>12</v>
      </c>
    </row>
    <row r="14" customFormat="false" ht="32.5" hidden="false" customHeight="false" outlineLevel="0" collapsed="false">
      <c r="A14" s="15" t="s">
        <v>448</v>
      </c>
      <c r="B14" s="15" t="s">
        <v>132</v>
      </c>
      <c r="C14" s="15" t="s">
        <v>444</v>
      </c>
      <c r="D14" s="15" t="s">
        <v>32</v>
      </c>
      <c r="E14" s="16" t="n">
        <v>934.42</v>
      </c>
      <c r="F14" s="16"/>
      <c r="G14" s="15" t="s">
        <v>449</v>
      </c>
      <c r="H14" s="15" t="s">
        <v>450</v>
      </c>
      <c r="I14" s="15" t="s">
        <v>451</v>
      </c>
      <c r="J14" s="15" t="s">
        <v>12</v>
      </c>
    </row>
    <row r="15" customFormat="false" ht="32.5" hidden="false" customHeight="false" outlineLevel="0" collapsed="false">
      <c r="A15" s="15" t="s">
        <v>452</v>
      </c>
      <c r="B15" s="15" t="s">
        <v>132</v>
      </c>
      <c r="C15" s="15" t="s">
        <v>444</v>
      </c>
      <c r="D15" s="15" t="s">
        <v>32</v>
      </c>
      <c r="E15" s="16" t="n">
        <v>147.05</v>
      </c>
      <c r="F15" s="16"/>
      <c r="G15" s="15" t="s">
        <v>453</v>
      </c>
      <c r="H15" s="15" t="s">
        <v>454</v>
      </c>
      <c r="I15" s="15" t="s">
        <v>455</v>
      </c>
      <c r="J15" s="15" t="s">
        <v>12</v>
      </c>
    </row>
    <row r="16" customFormat="false" ht="15" hidden="false" customHeight="false" outlineLevel="0" collapsed="false">
      <c r="A16" s="17"/>
      <c r="B16" s="17"/>
      <c r="C16" s="17"/>
      <c r="D16" s="18" t="s">
        <v>185</v>
      </c>
      <c r="E16" s="19" t="n">
        <f aca="false">SUM(E5:E15)</f>
        <v>6197.23</v>
      </c>
      <c r="F16" s="17"/>
      <c r="G16" s="17"/>
      <c r="H16" s="17"/>
      <c r="I16" s="17"/>
      <c r="J16" s="17"/>
    </row>
    <row r="18" customFormat="false" ht="15" hidden="false" customHeight="false" outlineLevel="0" collapsed="false">
      <c r="A18" s="0"/>
      <c r="B18" s="0"/>
      <c r="C18" s="0"/>
      <c r="D18" s="0"/>
      <c r="E18" s="0"/>
      <c r="F18" s="0"/>
      <c r="G18" s="0"/>
      <c r="H18" s="0"/>
      <c r="I18" s="0"/>
      <c r="J18" s="0"/>
    </row>
    <row r="19" customFormat="false" ht="60" hidden="false" customHeight="true" outlineLevel="0" collapsed="false">
      <c r="A19" s="0"/>
      <c r="B19" s="0"/>
      <c r="C19" s="0"/>
      <c r="D19" s="0"/>
      <c r="E19" s="0"/>
      <c r="F19" s="0"/>
      <c r="G19" s="0"/>
      <c r="H19" s="0"/>
      <c r="I19" s="0"/>
      <c r="J19" s="0"/>
    </row>
    <row r="20" customFormat="false" ht="15" hidden="false" customHeight="false" outlineLevel="0" collapsed="false">
      <c r="A20" s="0"/>
      <c r="B20" s="0"/>
      <c r="C20" s="0"/>
      <c r="D20" s="0"/>
      <c r="E20" s="0"/>
      <c r="F20" s="0"/>
      <c r="G20" s="0"/>
      <c r="H20" s="0"/>
      <c r="I20" s="0"/>
      <c r="J20" s="0"/>
    </row>
    <row r="21" customFormat="false" ht="15" hidden="false" customHeight="false" outlineLevel="0" collapsed="false">
      <c r="A21" s="0"/>
      <c r="B21" s="0"/>
      <c r="C21" s="0"/>
      <c r="D21" s="0"/>
      <c r="E21" s="0"/>
      <c r="F21" s="0"/>
      <c r="G21" s="0"/>
      <c r="H21" s="0"/>
      <c r="I21" s="0"/>
      <c r="J21" s="0"/>
    </row>
    <row r="22" customFormat="false" ht="25.5" hidden="false" customHeight="true" outlineLevel="0" collapsed="false">
      <c r="A22" s="0"/>
      <c r="B22" s="0"/>
      <c r="C22" s="0"/>
      <c r="D22" s="0"/>
      <c r="E22" s="0"/>
      <c r="F22" s="0"/>
      <c r="G22" s="0"/>
      <c r="H22" s="0"/>
      <c r="I22" s="0"/>
      <c r="J22" s="0"/>
    </row>
    <row r="23" customFormat="false" ht="13.5" hidden="false" customHeight="true" outlineLevel="0" collapsed="false">
      <c r="A23" s="0"/>
      <c r="B23" s="0"/>
      <c r="C23" s="0"/>
      <c r="D23" s="0"/>
      <c r="E23" s="0"/>
      <c r="F23" s="0"/>
      <c r="G23" s="0"/>
      <c r="H23" s="0"/>
      <c r="I23" s="0"/>
      <c r="J23" s="0"/>
    </row>
    <row r="24" customFormat="false" ht="25.5" hidden="false" customHeight="true" outlineLevel="0" collapsed="false">
      <c r="A24" s="0"/>
      <c r="B24" s="0"/>
      <c r="C24" s="0"/>
      <c r="D24" s="0"/>
      <c r="E24" s="0"/>
      <c r="F24" s="0"/>
      <c r="G24" s="0"/>
      <c r="H24" s="0"/>
      <c r="I24" s="0"/>
      <c r="J24" s="0"/>
    </row>
    <row r="25" customFormat="false" ht="13.5" hidden="false" customHeight="true" outlineLevel="0" collapsed="false">
      <c r="A25" s="0"/>
      <c r="B25" s="0"/>
      <c r="C25" s="0"/>
      <c r="D25" s="0"/>
      <c r="E25" s="0"/>
      <c r="F25" s="0"/>
      <c r="G25" s="0"/>
      <c r="H25" s="0"/>
      <c r="I25" s="0"/>
      <c r="J25" s="0"/>
    </row>
    <row r="26" customFormat="false" ht="25.5" hidden="false" customHeight="true" outlineLevel="0" collapsed="false">
      <c r="A26" s="0"/>
      <c r="B26" s="0"/>
      <c r="C26" s="0"/>
      <c r="D26" s="0"/>
      <c r="E26" s="0"/>
      <c r="F26" s="0"/>
      <c r="G26" s="0"/>
      <c r="H26" s="0"/>
      <c r="I26" s="0"/>
      <c r="J26" s="0"/>
    </row>
    <row r="27" customFormat="false" ht="13.5" hidden="false" customHeight="true" outlineLevel="0" collapsed="false">
      <c r="A27" s="0"/>
      <c r="B27" s="0"/>
      <c r="C27" s="0"/>
      <c r="D27" s="0"/>
      <c r="E27" s="0"/>
      <c r="F27" s="0"/>
      <c r="G27" s="0"/>
      <c r="H27" s="0"/>
      <c r="I27" s="0"/>
      <c r="J27" s="0"/>
    </row>
    <row r="28" customFormat="false" ht="13.5" hidden="false" customHeight="true" outlineLevel="0" collapsed="false">
      <c r="A28" s="0"/>
      <c r="B28" s="0"/>
      <c r="C28" s="0"/>
      <c r="D28" s="0"/>
      <c r="E28" s="0"/>
      <c r="F28" s="0"/>
      <c r="G28" s="0"/>
      <c r="H28" s="0"/>
      <c r="I28" s="0"/>
      <c r="J28" s="0"/>
    </row>
    <row r="29" customFormat="false" ht="15" hidden="false" customHeight="false" outlineLevel="0" collapsed="false">
      <c r="A29" s="0"/>
      <c r="B29" s="0"/>
      <c r="C29" s="0"/>
      <c r="D29" s="0"/>
      <c r="E29" s="0"/>
      <c r="F29" s="0"/>
      <c r="G29" s="0"/>
      <c r="H29" s="0"/>
      <c r="I29" s="0"/>
      <c r="J29" s="0"/>
    </row>
    <row r="30" customFormat="false" ht="15" hidden="false" customHeight="false" outlineLevel="0" collapsed="false">
      <c r="A30" s="0"/>
      <c r="B30" s="0"/>
      <c r="C30" s="0"/>
      <c r="D30" s="0"/>
      <c r="E30" s="0"/>
      <c r="F30" s="0"/>
      <c r="G30" s="0"/>
      <c r="H30" s="0"/>
      <c r="I30" s="0"/>
      <c r="J30" s="0"/>
    </row>
    <row r="31" customFormat="false" ht="25.5" hidden="false" customHeight="true" outlineLevel="0" collapsed="false">
      <c r="A31" s="0"/>
      <c r="B31" s="0"/>
      <c r="C31" s="0"/>
      <c r="D31" s="0"/>
      <c r="E31" s="0"/>
      <c r="F31" s="0"/>
      <c r="G31" s="0"/>
      <c r="H31" s="0"/>
      <c r="I31" s="0"/>
      <c r="J31" s="0"/>
    </row>
    <row r="32" customFormat="false" ht="25.5" hidden="false" customHeight="true" outlineLevel="0" collapsed="false">
      <c r="A32" s="0"/>
      <c r="B32" s="0"/>
      <c r="C32" s="0"/>
      <c r="D32" s="0"/>
      <c r="E32" s="0"/>
      <c r="F32" s="0"/>
      <c r="G32" s="0"/>
      <c r="H32" s="0"/>
      <c r="I32" s="0"/>
      <c r="J32" s="0"/>
    </row>
    <row r="33" customFormat="false" ht="25.5" hidden="false" customHeight="true" outlineLevel="0" collapsed="false">
      <c r="A33" s="0"/>
      <c r="B33" s="0"/>
      <c r="C33" s="0"/>
      <c r="D33" s="0"/>
      <c r="E33" s="0"/>
      <c r="F33" s="0"/>
      <c r="G33" s="0"/>
      <c r="H33" s="0"/>
      <c r="I33" s="0"/>
      <c r="J33" s="0"/>
    </row>
    <row r="34" customFormat="false" ht="25.5" hidden="false" customHeight="true" outlineLevel="0" collapsed="false">
      <c r="A34" s="0"/>
      <c r="B34" s="0"/>
      <c r="C34" s="0"/>
      <c r="D34" s="0"/>
      <c r="E34" s="0"/>
      <c r="F34" s="0"/>
      <c r="G34" s="0"/>
      <c r="H34" s="0"/>
      <c r="I34" s="0"/>
      <c r="J34" s="0"/>
    </row>
    <row r="35" customFormat="false" ht="25.5" hidden="false" customHeight="true" outlineLevel="0" collapsed="false">
      <c r="A35" s="0"/>
      <c r="B35" s="0"/>
      <c r="C35" s="0"/>
      <c r="D35" s="0"/>
      <c r="E35" s="0"/>
      <c r="F35" s="0"/>
      <c r="G35" s="0"/>
      <c r="H35" s="0"/>
      <c r="I35" s="0"/>
      <c r="J35" s="0"/>
    </row>
    <row r="36" customFormat="false" ht="25.5" hidden="false" customHeight="true" outlineLevel="0" collapsed="false">
      <c r="A36" s="0"/>
      <c r="B36" s="0"/>
      <c r="C36" s="0"/>
      <c r="D36" s="0"/>
      <c r="E36" s="0"/>
      <c r="F36" s="0"/>
      <c r="G36" s="0"/>
      <c r="H36" s="0"/>
      <c r="I36" s="0"/>
      <c r="J36" s="0"/>
    </row>
    <row r="37" customFormat="false" ht="25.5" hidden="false" customHeight="true" outlineLevel="0" collapsed="false">
      <c r="A37" s="0"/>
      <c r="B37" s="0"/>
      <c r="C37" s="0"/>
      <c r="D37" s="0"/>
      <c r="E37" s="0"/>
      <c r="F37" s="0"/>
      <c r="G37" s="0"/>
      <c r="H37" s="0"/>
      <c r="I37" s="0"/>
      <c r="J37" s="0"/>
    </row>
    <row r="38" customFormat="false" ht="25.5" hidden="false" customHeight="true" outlineLevel="0" collapsed="false">
      <c r="A38" s="0"/>
      <c r="B38" s="0"/>
      <c r="C38" s="0"/>
      <c r="D38" s="0"/>
      <c r="E38" s="0"/>
      <c r="F38" s="0"/>
      <c r="G38" s="0"/>
      <c r="H38" s="0"/>
      <c r="I38" s="0"/>
      <c r="J38" s="0"/>
    </row>
    <row r="39" customFormat="false" ht="25.5" hidden="false" customHeight="true" outlineLevel="0" collapsed="false">
      <c r="A39" s="0"/>
      <c r="B39" s="0"/>
      <c r="C39" s="0"/>
      <c r="D39" s="0"/>
      <c r="E39" s="0"/>
      <c r="F39" s="0"/>
      <c r="G39" s="0"/>
      <c r="H39" s="0"/>
      <c r="I39" s="0"/>
      <c r="J39" s="0"/>
    </row>
    <row r="40" customFormat="false" ht="15" hidden="false" customHeight="false" outlineLevel="0" collapsed="false">
      <c r="A40" s="0"/>
      <c r="B40" s="0"/>
      <c r="C40" s="0"/>
      <c r="D40" s="0"/>
      <c r="E40" s="0"/>
      <c r="F40" s="0"/>
      <c r="G40" s="0"/>
      <c r="H40" s="0"/>
      <c r="I40" s="0"/>
      <c r="J40" s="0"/>
    </row>
    <row r="41" customFormat="false" ht="15" hidden="false" customHeight="false" outlineLevel="0" collapsed="false">
      <c r="A41" s="0"/>
      <c r="B41" s="0"/>
      <c r="C41" s="0"/>
      <c r="D41" s="0"/>
      <c r="E41" s="0"/>
      <c r="F41" s="0"/>
      <c r="G41" s="0"/>
      <c r="H41" s="0"/>
      <c r="I41" s="0"/>
      <c r="J41" s="0"/>
    </row>
    <row r="42" customFormat="false" ht="15" hidden="false" customHeight="false" outlineLevel="0" collapsed="false">
      <c r="A42" s="0"/>
      <c r="B42" s="0"/>
      <c r="C42" s="0"/>
      <c r="D42" s="0"/>
      <c r="E42" s="0"/>
      <c r="F42" s="0"/>
      <c r="G42" s="0"/>
      <c r="H42" s="0"/>
      <c r="I42" s="0"/>
      <c r="J42" s="0"/>
    </row>
    <row r="43" customFormat="false" ht="15" hidden="false" customHeight="false" outlineLevel="0" collapsed="false">
      <c r="A43" s="0"/>
      <c r="B43" s="0"/>
      <c r="C43" s="0"/>
      <c r="D43" s="0"/>
      <c r="E43" s="0"/>
      <c r="F43" s="0"/>
      <c r="G43" s="0"/>
      <c r="H43" s="0"/>
      <c r="I43" s="0"/>
      <c r="J43" s="0"/>
    </row>
    <row r="44" customFormat="false" ht="15" hidden="false" customHeight="false" outlineLevel="0" collapsed="false">
      <c r="A44" s="0"/>
      <c r="B44" s="0"/>
      <c r="C44" s="0"/>
      <c r="D44" s="0"/>
      <c r="E44" s="0"/>
      <c r="F44" s="0"/>
      <c r="G44" s="0"/>
      <c r="H44" s="0"/>
      <c r="I44" s="0"/>
      <c r="J44" s="0"/>
    </row>
    <row r="45" customFormat="false" ht="15" hidden="false" customHeight="false" outlineLevel="0" collapsed="false">
      <c r="A45" s="0"/>
      <c r="B45" s="0"/>
      <c r="C45" s="0"/>
      <c r="D45" s="0"/>
      <c r="E45" s="0"/>
      <c r="F45" s="0"/>
      <c r="G45" s="0"/>
      <c r="H45" s="0"/>
      <c r="I45" s="0"/>
      <c r="J45" s="0"/>
    </row>
    <row r="46" customFormat="false" ht="15" hidden="false" customHeight="false" outlineLevel="0" collapsed="false">
      <c r="A46" s="0"/>
      <c r="B46" s="0"/>
      <c r="C46" s="0"/>
      <c r="D46" s="0"/>
      <c r="E46" s="0"/>
      <c r="F46" s="0"/>
      <c r="G46" s="0"/>
      <c r="H46" s="0"/>
      <c r="I46" s="0"/>
      <c r="J46" s="0"/>
    </row>
    <row r="47" customFormat="false" ht="15" hidden="false" customHeight="false" outlineLevel="0" collapsed="false">
      <c r="A47" s="0"/>
      <c r="B47" s="0"/>
      <c r="C47" s="0"/>
      <c r="D47" s="0"/>
      <c r="E47" s="0"/>
      <c r="F47" s="0"/>
      <c r="G47" s="0"/>
      <c r="H47" s="0"/>
      <c r="I47" s="0"/>
      <c r="J47" s="0"/>
    </row>
    <row r="48" customFormat="false" ht="15" hidden="false" customHeight="false" outlineLevel="0" collapsed="false">
      <c r="A48" s="0"/>
      <c r="B48" s="0"/>
      <c r="C48" s="0"/>
      <c r="D48" s="0"/>
      <c r="E48" s="0"/>
      <c r="F48" s="0"/>
      <c r="G48" s="0"/>
      <c r="H48" s="0"/>
      <c r="I48" s="0"/>
      <c r="J48" s="0"/>
    </row>
    <row r="49" customFormat="false" ht="15" hidden="false" customHeight="false" outlineLevel="0" collapsed="false">
      <c r="A49" s="0"/>
      <c r="B49" s="0"/>
      <c r="C49" s="0"/>
      <c r="D49" s="0"/>
      <c r="E49" s="0"/>
      <c r="F49" s="0"/>
      <c r="G49" s="0"/>
      <c r="H49" s="0"/>
      <c r="I49" s="0"/>
      <c r="J49" s="0"/>
    </row>
    <row r="50" customFormat="false" ht="15" hidden="false" customHeight="false" outlineLevel="0" collapsed="false">
      <c r="A50" s="0"/>
      <c r="B50" s="0"/>
      <c r="C50" s="0"/>
      <c r="D50" s="0"/>
      <c r="E50" s="0"/>
      <c r="F50" s="0"/>
      <c r="G50" s="0"/>
      <c r="H50" s="0"/>
      <c r="I50" s="0"/>
      <c r="J50" s="0"/>
    </row>
    <row r="51" customFormat="false" ht="15" hidden="false" customHeight="false" outlineLevel="0" collapsed="false">
      <c r="A51" s="0"/>
      <c r="B51" s="0"/>
      <c r="C51" s="0"/>
      <c r="D51" s="0"/>
      <c r="E51" s="0"/>
      <c r="F51" s="0"/>
      <c r="G51" s="0"/>
      <c r="H51" s="0"/>
      <c r="I51" s="0"/>
      <c r="J51" s="0"/>
    </row>
    <row r="52" customFormat="false" ht="15" hidden="false" customHeight="false" outlineLevel="0" collapsed="false">
      <c r="A52" s="0"/>
      <c r="B52" s="0"/>
      <c r="C52" s="0"/>
      <c r="D52" s="0"/>
      <c r="E52" s="0"/>
      <c r="F52" s="0"/>
      <c r="G52" s="0"/>
      <c r="H52" s="0"/>
      <c r="I52" s="0"/>
      <c r="J52" s="0"/>
    </row>
    <row r="53" customFormat="false" ht="15" hidden="false" customHeight="false" outlineLevel="0" collapsed="false">
      <c r="A53" s="0"/>
      <c r="B53" s="0"/>
      <c r="C53" s="0"/>
      <c r="D53" s="0"/>
      <c r="E53" s="0"/>
      <c r="F53" s="0"/>
      <c r="G53" s="0"/>
      <c r="H53" s="0"/>
      <c r="I53" s="0"/>
      <c r="J53" s="0"/>
    </row>
    <row r="54" customFormat="false" ht="15" hidden="false" customHeight="false" outlineLevel="0" collapsed="false">
      <c r="A54" s="0"/>
      <c r="B54" s="0"/>
      <c r="C54" s="0"/>
      <c r="D54" s="0"/>
      <c r="E54" s="0"/>
      <c r="F54" s="0"/>
      <c r="G54" s="0"/>
      <c r="H54" s="0"/>
      <c r="I54" s="0"/>
      <c r="J54" s="0"/>
    </row>
    <row r="55" customFormat="false" ht="15" hidden="false" customHeight="false" outlineLevel="0" collapsed="false">
      <c r="A55" s="0"/>
      <c r="B55" s="0"/>
      <c r="C55" s="0"/>
      <c r="D55" s="0"/>
      <c r="E55" s="0"/>
      <c r="F55" s="0"/>
      <c r="G55" s="0"/>
      <c r="H55" s="0"/>
      <c r="I55" s="0"/>
      <c r="J55" s="0"/>
    </row>
    <row r="56" customFormat="false" ht="15" hidden="false" customHeight="false" outlineLevel="0" collapsed="false">
      <c r="A56" s="0"/>
      <c r="B56" s="0"/>
      <c r="C56" s="0"/>
      <c r="D56" s="0"/>
      <c r="E56" s="0"/>
      <c r="F56" s="0"/>
      <c r="G56" s="0"/>
      <c r="H56" s="0"/>
      <c r="I56" s="0"/>
      <c r="J56" s="0"/>
    </row>
    <row r="57" customFormat="false" ht="15" hidden="false" customHeight="false" outlineLevel="0" collapsed="false">
      <c r="A57" s="0"/>
      <c r="B57" s="0"/>
      <c r="C57" s="0"/>
      <c r="D57" s="0"/>
      <c r="E57" s="0"/>
      <c r="F57" s="0"/>
      <c r="G57" s="0"/>
      <c r="H57" s="0"/>
      <c r="I57" s="0"/>
      <c r="J57" s="0"/>
    </row>
    <row r="58" customFormat="false" ht="15" hidden="false" customHeight="false" outlineLevel="0" collapsed="false">
      <c r="A58" s="0"/>
      <c r="B58" s="0"/>
      <c r="C58" s="0"/>
      <c r="D58" s="0"/>
      <c r="E58" s="0"/>
      <c r="F58" s="0"/>
      <c r="G58" s="0"/>
      <c r="H58" s="0"/>
      <c r="I58" s="0"/>
      <c r="J58" s="0"/>
    </row>
    <row r="59" customFormat="false" ht="15" hidden="false" customHeight="false" outlineLevel="0" collapsed="false">
      <c r="A59" s="0"/>
      <c r="B59" s="0"/>
      <c r="C59" s="0"/>
      <c r="D59" s="0"/>
      <c r="E59" s="0"/>
      <c r="F59" s="0"/>
      <c r="G59" s="0"/>
      <c r="H59" s="0"/>
      <c r="I59" s="0"/>
      <c r="J59" s="0"/>
    </row>
    <row r="60" customFormat="false" ht="15" hidden="false" customHeight="false" outlineLevel="0" collapsed="false">
      <c r="A60" s="0"/>
      <c r="B60" s="0"/>
      <c r="C60" s="0"/>
      <c r="D60" s="0"/>
      <c r="E60" s="0"/>
      <c r="F60" s="0"/>
      <c r="G60" s="0"/>
      <c r="H60" s="0"/>
      <c r="I60" s="0"/>
      <c r="J60" s="0"/>
    </row>
    <row r="61" customFormat="false" ht="15" hidden="false" customHeight="false" outlineLevel="0" collapsed="false">
      <c r="A61" s="0"/>
      <c r="B61" s="0"/>
      <c r="C61" s="0"/>
      <c r="D61" s="0"/>
      <c r="E61" s="0"/>
      <c r="F61" s="0"/>
      <c r="G61" s="0"/>
      <c r="H61" s="0"/>
      <c r="I61" s="0"/>
      <c r="J61" s="0"/>
    </row>
    <row r="62" customFormat="false" ht="15" hidden="false" customHeight="false" outlineLevel="0" collapsed="false">
      <c r="A62" s="0"/>
      <c r="B62" s="0"/>
      <c r="C62" s="0"/>
      <c r="D62" s="0"/>
      <c r="E62" s="0"/>
      <c r="F62" s="0"/>
      <c r="G62" s="0"/>
      <c r="H62" s="0"/>
      <c r="I62" s="0"/>
      <c r="J62" s="0"/>
    </row>
    <row r="63" customFormat="false" ht="15" hidden="false" customHeight="false" outlineLevel="0" collapsed="false">
      <c r="A63" s="0"/>
      <c r="B63" s="0"/>
      <c r="C63" s="0"/>
      <c r="D63" s="0"/>
      <c r="E63" s="0"/>
      <c r="F63" s="0"/>
      <c r="G63" s="0"/>
      <c r="H63" s="0"/>
      <c r="I63" s="0"/>
      <c r="J63" s="0"/>
    </row>
    <row r="64" customFormat="false" ht="15" hidden="false" customHeight="false" outlineLevel="0" collapsed="false">
      <c r="A64" s="0"/>
      <c r="B64" s="0"/>
      <c r="C64" s="0"/>
      <c r="D64" s="0"/>
      <c r="E64" s="0"/>
      <c r="F64" s="0"/>
      <c r="G64" s="0"/>
      <c r="H64" s="0"/>
      <c r="I64" s="0"/>
      <c r="J64" s="0"/>
    </row>
    <row r="65" customFormat="false" ht="15" hidden="false" customHeight="false" outlineLevel="0" collapsed="false">
      <c r="A65" s="0"/>
      <c r="B65" s="0"/>
      <c r="C65" s="0"/>
      <c r="D65" s="0"/>
      <c r="E65" s="0"/>
      <c r="F65" s="0"/>
      <c r="G65" s="0"/>
      <c r="H65" s="0"/>
      <c r="I65" s="0"/>
      <c r="J65" s="0"/>
    </row>
    <row r="66" customFormat="false" ht="15" hidden="false" customHeight="false" outlineLevel="0" collapsed="false">
      <c r="A66" s="0"/>
      <c r="B66" s="0"/>
      <c r="C66" s="0"/>
      <c r="D66" s="0"/>
      <c r="E66" s="0"/>
      <c r="F66" s="0"/>
      <c r="G66" s="0"/>
      <c r="H66" s="0"/>
      <c r="I66" s="0"/>
      <c r="J66" s="0"/>
    </row>
    <row r="67" customFormat="false" ht="15" hidden="false" customHeight="false" outlineLevel="0" collapsed="false">
      <c r="A67" s="0"/>
      <c r="B67" s="0"/>
      <c r="C67" s="0"/>
      <c r="D67" s="0"/>
      <c r="E67" s="0"/>
      <c r="F67" s="0"/>
      <c r="G67" s="0"/>
      <c r="H67" s="0"/>
      <c r="I67" s="0"/>
      <c r="J67" s="0"/>
    </row>
    <row r="68" customFormat="false" ht="15" hidden="false" customHeight="false" outlineLevel="0" collapsed="false">
      <c r="A68" s="0"/>
      <c r="B68" s="0"/>
      <c r="C68" s="0"/>
      <c r="D68" s="0"/>
      <c r="E68" s="0"/>
      <c r="F68" s="0"/>
      <c r="G68" s="0"/>
      <c r="H68" s="0"/>
      <c r="I68" s="0"/>
      <c r="J68" s="0"/>
    </row>
    <row r="69" customFormat="false" ht="15" hidden="false" customHeight="false" outlineLevel="0" collapsed="false">
      <c r="A69" s="0"/>
      <c r="B69" s="0"/>
      <c r="C69" s="0"/>
      <c r="D69" s="0"/>
      <c r="E69" s="0"/>
      <c r="F69" s="0"/>
      <c r="G69" s="0"/>
      <c r="H69" s="0"/>
      <c r="I69" s="0"/>
      <c r="J69" s="0"/>
    </row>
    <row r="70" customFormat="false" ht="15" hidden="false" customHeight="false" outlineLevel="0" collapsed="false">
      <c r="A70" s="0"/>
      <c r="B70" s="0"/>
      <c r="C70" s="0"/>
      <c r="D70" s="0"/>
      <c r="E70" s="0"/>
      <c r="F70" s="0"/>
      <c r="G70" s="0"/>
      <c r="H70" s="0"/>
      <c r="I70" s="0"/>
      <c r="J70" s="0"/>
    </row>
    <row r="71" customFormat="false" ht="15" hidden="false" customHeight="false" outlineLevel="0" collapsed="false">
      <c r="A71" s="0"/>
      <c r="B71" s="0"/>
      <c r="C71" s="0"/>
      <c r="D71" s="0"/>
      <c r="E71" s="0"/>
      <c r="F71" s="0"/>
      <c r="G71" s="0"/>
      <c r="H71" s="0"/>
      <c r="I71" s="0"/>
      <c r="J71" s="0"/>
    </row>
    <row r="72" customFormat="false" ht="15" hidden="false" customHeight="false" outlineLevel="0" collapsed="false">
      <c r="A72" s="0"/>
      <c r="B72" s="0"/>
      <c r="C72" s="0"/>
      <c r="D72" s="0"/>
      <c r="E72" s="0"/>
      <c r="F72" s="0"/>
      <c r="G72" s="0"/>
      <c r="H72" s="0"/>
      <c r="I72" s="0"/>
      <c r="J72" s="0"/>
    </row>
    <row r="73" customFormat="false" ht="15" hidden="false" customHeight="false" outlineLevel="0" collapsed="false">
      <c r="A73" s="0"/>
      <c r="B73" s="0"/>
      <c r="C73" s="0"/>
      <c r="D73" s="0"/>
      <c r="E73" s="0"/>
      <c r="F73" s="0"/>
      <c r="G73" s="0"/>
      <c r="H73" s="0"/>
      <c r="I73" s="0"/>
      <c r="J73" s="0"/>
    </row>
    <row r="74" customFormat="false" ht="15" hidden="false" customHeight="false" outlineLevel="0" collapsed="false">
      <c r="A74" s="0"/>
      <c r="B74" s="0"/>
      <c r="C74" s="0"/>
      <c r="D74" s="0"/>
      <c r="E74" s="0"/>
      <c r="F74" s="0"/>
      <c r="G74" s="0"/>
      <c r="H74" s="0"/>
      <c r="I74" s="0"/>
      <c r="J74" s="0"/>
    </row>
    <row r="75" customFormat="false" ht="15" hidden="false" customHeight="false" outlineLevel="0" collapsed="false">
      <c r="A75" s="0"/>
      <c r="B75" s="0"/>
      <c r="C75" s="0"/>
      <c r="D75" s="0"/>
      <c r="E75" s="0"/>
      <c r="F75" s="0"/>
      <c r="G75" s="0"/>
      <c r="H75" s="0"/>
      <c r="I75" s="0"/>
      <c r="J75" s="0"/>
    </row>
    <row r="76" customFormat="false" ht="15" hidden="false" customHeight="false" outlineLevel="0" collapsed="false">
      <c r="A76" s="0"/>
      <c r="B76" s="0"/>
      <c r="C76" s="0"/>
      <c r="D76" s="0"/>
      <c r="E76" s="0"/>
      <c r="F76" s="0"/>
      <c r="G76" s="0"/>
      <c r="H76" s="0"/>
      <c r="I76" s="0"/>
      <c r="J76" s="0"/>
    </row>
    <row r="77" customFormat="false" ht="15" hidden="false" customHeight="false" outlineLevel="0" collapsed="false">
      <c r="A77" s="0"/>
      <c r="B77" s="0"/>
      <c r="C77" s="0"/>
      <c r="D77" s="0"/>
      <c r="E77" s="0"/>
      <c r="F77" s="0"/>
      <c r="G77" s="0"/>
      <c r="H77" s="0"/>
      <c r="I77" s="0"/>
      <c r="J77" s="0"/>
    </row>
    <row r="78" customFormat="false" ht="15" hidden="false" customHeight="false" outlineLevel="0" collapsed="false">
      <c r="A78" s="0"/>
      <c r="B78" s="0"/>
      <c r="C78" s="0"/>
      <c r="D78" s="0"/>
      <c r="E78" s="0"/>
      <c r="F78" s="0"/>
      <c r="G78" s="0"/>
      <c r="H78" s="0"/>
      <c r="I78" s="0"/>
      <c r="J78" s="0"/>
    </row>
    <row r="79" customFormat="false" ht="15" hidden="false" customHeight="false" outlineLevel="0" collapsed="false">
      <c r="A79" s="0"/>
      <c r="B79" s="0"/>
      <c r="C79" s="0"/>
      <c r="D79" s="0"/>
      <c r="E79" s="0"/>
      <c r="F79" s="0"/>
      <c r="G79" s="0"/>
      <c r="H79" s="0"/>
      <c r="I79" s="0"/>
      <c r="J79" s="0"/>
    </row>
    <row r="80" customFormat="false" ht="15" hidden="false" customHeight="false" outlineLevel="0" collapsed="false">
      <c r="A80" s="0"/>
      <c r="B80" s="0"/>
      <c r="C80" s="0"/>
      <c r="D80" s="0"/>
      <c r="E80" s="0"/>
      <c r="F80" s="0"/>
      <c r="G80" s="0"/>
      <c r="H80" s="0"/>
      <c r="I80" s="0"/>
      <c r="J80" s="0"/>
    </row>
    <row r="81" customFormat="false" ht="15" hidden="false" customHeight="false" outlineLevel="0" collapsed="false">
      <c r="A81" s="0"/>
      <c r="B81" s="0"/>
      <c r="C81" s="0"/>
      <c r="D81" s="0"/>
      <c r="E81" s="0"/>
      <c r="F81" s="0"/>
      <c r="G81" s="0"/>
      <c r="H81" s="0"/>
      <c r="I81" s="0"/>
      <c r="J81" s="0"/>
    </row>
    <row r="82" customFormat="false" ht="15" hidden="false" customHeight="false" outlineLevel="0" collapsed="false">
      <c r="A82" s="0"/>
      <c r="B82" s="0"/>
      <c r="C82" s="0"/>
      <c r="D82" s="0"/>
      <c r="E82" s="0"/>
      <c r="F82" s="0"/>
      <c r="G82" s="0"/>
      <c r="H82" s="0"/>
      <c r="I82" s="0"/>
      <c r="J82" s="0"/>
    </row>
    <row r="83" customFormat="false" ht="15" hidden="false" customHeight="false" outlineLevel="0" collapsed="false">
      <c r="A83" s="0"/>
      <c r="B83" s="0"/>
      <c r="C83" s="0"/>
      <c r="D83" s="0"/>
      <c r="E83" s="0"/>
      <c r="F83" s="0"/>
      <c r="G83" s="0"/>
      <c r="H83" s="0"/>
      <c r="I83" s="0"/>
      <c r="J83" s="0"/>
    </row>
    <row r="84" customFormat="false" ht="15" hidden="false" customHeight="false" outlineLevel="0" collapsed="false">
      <c r="A84" s="0"/>
      <c r="B84" s="0"/>
      <c r="C84" s="0"/>
      <c r="D84" s="0"/>
      <c r="E84" s="0"/>
      <c r="F84" s="0"/>
      <c r="G84" s="0"/>
      <c r="H84" s="0"/>
      <c r="I84" s="0"/>
      <c r="J84" s="0"/>
    </row>
    <row r="85" customFormat="false" ht="15" hidden="false" customHeight="false" outlineLevel="0" collapsed="false">
      <c r="A85" s="0"/>
      <c r="B85" s="0"/>
      <c r="C85" s="0"/>
      <c r="D85" s="0"/>
      <c r="E85" s="0"/>
      <c r="F85" s="0"/>
      <c r="G85" s="0"/>
      <c r="H85" s="0"/>
      <c r="I85" s="0"/>
      <c r="J85" s="0"/>
    </row>
    <row r="86" customFormat="false" ht="15" hidden="false" customHeight="false" outlineLevel="0" collapsed="false">
      <c r="A86" s="0"/>
      <c r="B86" s="0"/>
      <c r="C86" s="0"/>
      <c r="D86" s="0"/>
      <c r="E86" s="0"/>
      <c r="F86" s="0"/>
      <c r="G86" s="0"/>
      <c r="H86" s="0"/>
      <c r="I86" s="0"/>
      <c r="J86" s="0"/>
    </row>
    <row r="87" customFormat="false" ht="15" hidden="false" customHeight="false" outlineLevel="0" collapsed="false">
      <c r="A87" s="0"/>
      <c r="B87" s="0"/>
      <c r="C87" s="0"/>
      <c r="D87" s="0"/>
      <c r="E87" s="0"/>
      <c r="F87" s="0"/>
      <c r="G87" s="0"/>
      <c r="H87" s="0"/>
      <c r="I87" s="0"/>
      <c r="J87" s="0"/>
    </row>
    <row r="88" customFormat="false" ht="15" hidden="false" customHeight="false" outlineLevel="0" collapsed="false">
      <c r="A88" s="0"/>
      <c r="B88" s="0"/>
      <c r="C88" s="0"/>
      <c r="D88" s="0"/>
      <c r="E88" s="0"/>
      <c r="F88" s="0"/>
      <c r="G88" s="0"/>
      <c r="H88" s="0"/>
      <c r="I88" s="0"/>
      <c r="J88" s="0"/>
    </row>
    <row r="89" customFormat="false" ht="15" hidden="false" customHeight="false" outlineLevel="0" collapsed="false">
      <c r="A89" s="0"/>
      <c r="B89" s="0"/>
      <c r="C89" s="0"/>
      <c r="D89" s="0"/>
      <c r="E89" s="0"/>
      <c r="F89" s="0"/>
      <c r="G89" s="0"/>
      <c r="H89" s="0"/>
      <c r="I89" s="0"/>
      <c r="J89" s="0"/>
    </row>
    <row r="90" customFormat="false" ht="15" hidden="false" customHeight="false" outlineLevel="0" collapsed="false">
      <c r="A90" s="0"/>
      <c r="B90" s="0"/>
      <c r="C90" s="0"/>
      <c r="D90" s="0"/>
      <c r="E90" s="0"/>
      <c r="F90" s="0"/>
      <c r="G90" s="0"/>
      <c r="H90" s="0"/>
      <c r="I90" s="0"/>
      <c r="J90" s="0"/>
    </row>
    <row r="91" customFormat="false" ht="15" hidden="false" customHeight="false" outlineLevel="0" collapsed="false">
      <c r="A91" s="0"/>
      <c r="B91" s="0"/>
      <c r="C91" s="0"/>
      <c r="D91" s="0"/>
      <c r="E91" s="0"/>
      <c r="F91" s="0"/>
      <c r="G91" s="0"/>
      <c r="H91" s="0"/>
      <c r="I91" s="0"/>
      <c r="J91" s="0"/>
    </row>
    <row r="92" customFormat="false" ht="15" hidden="false" customHeight="false" outlineLevel="0" collapsed="false">
      <c r="A92" s="0"/>
      <c r="B92" s="0"/>
      <c r="C92" s="0"/>
      <c r="D92" s="0"/>
      <c r="E92" s="0"/>
      <c r="F92" s="0"/>
      <c r="G92" s="0"/>
      <c r="H92" s="0"/>
      <c r="I92" s="0"/>
      <c r="J92" s="0"/>
    </row>
    <row r="93" customFormat="false" ht="15" hidden="false" customHeight="false" outlineLevel="0" collapsed="false">
      <c r="A93" s="0"/>
      <c r="B93" s="0"/>
      <c r="C93" s="0"/>
      <c r="D93" s="0"/>
      <c r="E93" s="0"/>
      <c r="F93" s="0"/>
      <c r="G93" s="0"/>
      <c r="H93" s="0"/>
      <c r="I93" s="0"/>
      <c r="J93" s="0"/>
    </row>
    <row r="94" customFormat="false" ht="15" hidden="false" customHeight="false" outlineLevel="0" collapsed="false">
      <c r="A94" s="0"/>
      <c r="B94" s="0"/>
      <c r="C94" s="0"/>
      <c r="D94" s="0"/>
      <c r="E94" s="0"/>
      <c r="F94" s="0"/>
      <c r="G94" s="0"/>
      <c r="H94" s="0"/>
      <c r="I94" s="0"/>
      <c r="J94" s="0"/>
    </row>
    <row r="95" customFormat="false" ht="15" hidden="false" customHeight="false" outlineLevel="0" collapsed="false">
      <c r="A95" s="0"/>
      <c r="B95" s="0"/>
      <c r="C95" s="0"/>
      <c r="D95" s="0"/>
      <c r="E95" s="0"/>
      <c r="F95" s="0"/>
      <c r="G95" s="0"/>
      <c r="H95" s="0"/>
      <c r="I95" s="0"/>
      <c r="J95" s="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4" topLeftCell="A5" activePane="bottomLeft" state="frozen"/>
      <selection pane="topLeft" activeCell="A1" activeCellId="0" sqref="A1"/>
      <selection pane="bottomLeft" activeCell="H3" activeCellId="0" sqref="H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4"/>
    <col collapsed="false" customWidth="true" hidden="false" outlineLevel="0" max="3" min="3" style="1" width="22"/>
    <col collapsed="false" customWidth="true" hidden="false" outlineLevel="0" max="6" min="4" style="1" width="12"/>
    <col collapsed="false" customWidth="true" hidden="false" outlineLevel="0" max="8" min="7" style="1" width="34"/>
    <col collapsed="false" customWidth="true" hidden="false" outlineLevel="0" max="9" min="9" style="1" width="44"/>
    <col collapsed="false" customWidth="true" hidden="false" outlineLevel="0" max="10" min="10" style="1" width="11"/>
    <col collapsed="false" customWidth="true" hidden="false" outlineLevel="0" max="11" min="11" style="0" width="32"/>
    <col collapsed="false" customWidth="true" hidden="false" outlineLevel="0" max="12" min="12" style="0" width="8"/>
  </cols>
  <sheetData>
    <row r="1" customFormat="false" ht="15" hidden="false" customHeight="false" outlineLevel="0" collapsed="false">
      <c r="A1" s="13" t="s">
        <v>456</v>
      </c>
    </row>
    <row r="2" customFormat="false" ht="15" hidden="false" customHeight="false" outlineLevel="0" collapsed="false">
      <c r="A2" s="0"/>
    </row>
    <row r="4" customFormat="false" ht="22.3" hidden="false" customHeight="false" outlineLevel="0" collapsed="false">
      <c r="A4" s="14" t="s">
        <v>21</v>
      </c>
      <c r="B4" s="14" t="s">
        <v>22</v>
      </c>
      <c r="C4" s="14" t="s">
        <v>23</v>
      </c>
      <c r="D4" s="14" t="s">
        <v>24</v>
      </c>
      <c r="E4" s="14" t="s">
        <v>25</v>
      </c>
      <c r="F4" s="14" t="s">
        <v>26</v>
      </c>
      <c r="G4" s="14" t="s">
        <v>27</v>
      </c>
      <c r="H4" s="14" t="s">
        <v>28</v>
      </c>
      <c r="I4" s="14" t="s">
        <v>29</v>
      </c>
      <c r="J4" s="14" t="s">
        <v>1</v>
      </c>
    </row>
    <row r="5" customFormat="false" ht="32.5" hidden="false" customHeight="false" outlineLevel="0" collapsed="false">
      <c r="A5" s="15" t="s">
        <v>457</v>
      </c>
      <c r="B5" s="15" t="s">
        <v>251</v>
      </c>
      <c r="C5" s="15" t="s">
        <v>458</v>
      </c>
      <c r="D5" s="15" t="s">
        <v>32</v>
      </c>
      <c r="E5" s="16" t="n">
        <v>2043.42</v>
      </c>
      <c r="F5" s="16" t="n">
        <v>2500</v>
      </c>
      <c r="G5" s="15" t="s">
        <v>459</v>
      </c>
      <c r="H5" s="15" t="s">
        <v>460</v>
      </c>
      <c r="I5" s="15" t="s">
        <v>461</v>
      </c>
      <c r="J5" s="15" t="s">
        <v>12</v>
      </c>
    </row>
    <row r="6" customFormat="false" ht="22.3" hidden="false" customHeight="false" outlineLevel="0" collapsed="false">
      <c r="A6" s="15" t="s">
        <v>462</v>
      </c>
      <c r="B6" s="15" t="s">
        <v>251</v>
      </c>
      <c r="C6" s="15" t="s">
        <v>145</v>
      </c>
      <c r="D6" s="15" t="s">
        <v>32</v>
      </c>
      <c r="E6" s="16" t="n">
        <v>103.34</v>
      </c>
      <c r="F6" s="16"/>
      <c r="G6" s="15" t="s">
        <v>463</v>
      </c>
      <c r="H6" s="15" t="s">
        <v>464</v>
      </c>
      <c r="I6" s="15" t="s">
        <v>465</v>
      </c>
      <c r="J6" s="15" t="s">
        <v>12</v>
      </c>
    </row>
    <row r="7" customFormat="false" ht="32.5" hidden="false" customHeight="false" outlineLevel="0" collapsed="false">
      <c r="A7" s="15" t="s">
        <v>466</v>
      </c>
      <c r="B7" s="15" t="s">
        <v>467</v>
      </c>
      <c r="C7" s="15" t="s">
        <v>458</v>
      </c>
      <c r="D7" s="15" t="s">
        <v>32</v>
      </c>
      <c r="E7" s="16" t="n">
        <v>1406.93</v>
      </c>
      <c r="F7" s="16" t="n">
        <v>2112</v>
      </c>
      <c r="G7" s="15" t="s">
        <v>468</v>
      </c>
      <c r="H7" s="15" t="s">
        <v>469</v>
      </c>
      <c r="I7" s="15" t="s">
        <v>470</v>
      </c>
      <c r="J7" s="15" t="s">
        <v>12</v>
      </c>
    </row>
    <row r="8" customFormat="false" ht="22.3" hidden="false" customHeight="false" outlineLevel="0" collapsed="false">
      <c r="A8" s="15" t="s">
        <v>471</v>
      </c>
      <c r="B8" s="15" t="s">
        <v>467</v>
      </c>
      <c r="C8" s="15" t="s">
        <v>145</v>
      </c>
      <c r="D8" s="15" t="s">
        <v>32</v>
      </c>
      <c r="E8" s="16" t="n">
        <v>59.61</v>
      </c>
      <c r="F8" s="16"/>
      <c r="G8" s="15" t="s">
        <v>472</v>
      </c>
      <c r="H8" s="15" t="s">
        <v>473</v>
      </c>
      <c r="I8" s="15" t="s">
        <v>474</v>
      </c>
      <c r="J8" s="15" t="s">
        <v>12</v>
      </c>
    </row>
    <row r="9" customFormat="false" ht="22.3" hidden="false" customHeight="false" outlineLevel="0" collapsed="false">
      <c r="A9" s="15" t="s">
        <v>475</v>
      </c>
      <c r="B9" s="15" t="s">
        <v>132</v>
      </c>
      <c r="C9" s="15" t="s">
        <v>458</v>
      </c>
      <c r="D9" s="15" t="s">
        <v>32</v>
      </c>
      <c r="E9" s="16" t="n">
        <v>785.11</v>
      </c>
      <c r="F9" s="16" t="n">
        <v>950</v>
      </c>
      <c r="G9" s="15" t="s">
        <v>476</v>
      </c>
      <c r="H9" s="15" t="s">
        <v>477</v>
      </c>
      <c r="I9" s="15" t="s">
        <v>478</v>
      </c>
      <c r="J9" s="15" t="s">
        <v>12</v>
      </c>
    </row>
    <row r="10" customFormat="false" ht="22.3" hidden="false" customHeight="false" outlineLevel="0" collapsed="false">
      <c r="A10" s="15" t="s">
        <v>479</v>
      </c>
      <c r="B10" s="15" t="s">
        <v>132</v>
      </c>
      <c r="C10" s="15" t="s">
        <v>145</v>
      </c>
      <c r="D10" s="15" t="s">
        <v>32</v>
      </c>
      <c r="E10" s="16" t="n">
        <v>46.63</v>
      </c>
      <c r="F10" s="16"/>
      <c r="G10" s="15" t="s">
        <v>480</v>
      </c>
      <c r="H10" s="15" t="s">
        <v>481</v>
      </c>
      <c r="I10" s="15" t="s">
        <v>482</v>
      </c>
      <c r="J10" s="15" t="s">
        <v>12</v>
      </c>
    </row>
    <row r="11" customFormat="false" ht="42.7" hidden="false" customHeight="false" outlineLevel="0" collapsed="false">
      <c r="A11" s="15" t="s">
        <v>483</v>
      </c>
      <c r="B11" s="15" t="s">
        <v>132</v>
      </c>
      <c r="C11" s="15" t="s">
        <v>458</v>
      </c>
      <c r="D11" s="15" t="s">
        <v>32</v>
      </c>
      <c r="E11" s="16" t="n">
        <v>1020.98</v>
      </c>
      <c r="F11" s="16" t="n">
        <v>1200</v>
      </c>
      <c r="G11" s="15" t="s">
        <v>484</v>
      </c>
      <c r="H11" s="15" t="s">
        <v>485</v>
      </c>
      <c r="I11" s="15" t="s">
        <v>486</v>
      </c>
      <c r="J11" s="15" t="s">
        <v>12</v>
      </c>
    </row>
    <row r="12" customFormat="false" ht="22.3" hidden="false" customHeight="false" outlineLevel="0" collapsed="false">
      <c r="A12" s="15" t="s">
        <v>487</v>
      </c>
      <c r="B12" s="15" t="s">
        <v>132</v>
      </c>
      <c r="C12" s="15" t="s">
        <v>145</v>
      </c>
      <c r="D12" s="15" t="s">
        <v>32</v>
      </c>
      <c r="E12" s="16" t="n">
        <v>85</v>
      </c>
      <c r="F12" s="16"/>
      <c r="G12" s="15" t="s">
        <v>488</v>
      </c>
      <c r="H12" s="15" t="s">
        <v>481</v>
      </c>
      <c r="I12" s="15" t="s">
        <v>489</v>
      </c>
      <c r="J12" s="15" t="s">
        <v>12</v>
      </c>
    </row>
    <row r="13" customFormat="false" ht="32.5" hidden="false" customHeight="false" outlineLevel="0" collapsed="false">
      <c r="A13" s="15" t="s">
        <v>490</v>
      </c>
      <c r="B13" s="15" t="s">
        <v>132</v>
      </c>
      <c r="C13" s="15" t="s">
        <v>458</v>
      </c>
      <c r="D13" s="15" t="s">
        <v>32</v>
      </c>
      <c r="E13" s="16" t="n">
        <v>527.9</v>
      </c>
      <c r="F13" s="16" t="n">
        <v>740</v>
      </c>
      <c r="G13" s="15" t="s">
        <v>491</v>
      </c>
      <c r="H13" s="15" t="s">
        <v>492</v>
      </c>
      <c r="I13" s="15" t="s">
        <v>493</v>
      </c>
      <c r="J13" s="15" t="s">
        <v>12</v>
      </c>
    </row>
    <row r="14" customFormat="false" ht="22.3" hidden="false" customHeight="false" outlineLevel="0" collapsed="false">
      <c r="A14" s="15" t="s">
        <v>494</v>
      </c>
      <c r="B14" s="15" t="s">
        <v>132</v>
      </c>
      <c r="C14" s="15" t="s">
        <v>145</v>
      </c>
      <c r="D14" s="15" t="s">
        <v>32</v>
      </c>
      <c r="E14" s="16" t="n">
        <v>28.18</v>
      </c>
      <c r="F14" s="16"/>
      <c r="G14" s="15" t="s">
        <v>495</v>
      </c>
      <c r="H14" s="15" t="s">
        <v>496</v>
      </c>
      <c r="I14" s="15" t="s">
        <v>497</v>
      </c>
      <c r="J14" s="15" t="s">
        <v>12</v>
      </c>
    </row>
    <row r="15" customFormat="false" ht="42.7" hidden="false" customHeight="false" outlineLevel="0" collapsed="false">
      <c r="A15" s="15" t="s">
        <v>498</v>
      </c>
      <c r="B15" s="15" t="s">
        <v>350</v>
      </c>
      <c r="C15" s="15" t="s">
        <v>499</v>
      </c>
      <c r="D15" s="15" t="s">
        <v>32</v>
      </c>
      <c r="E15" s="16" t="n">
        <v>1397.6</v>
      </c>
      <c r="F15" s="16" t="n">
        <v>1600</v>
      </c>
      <c r="G15" s="15" t="s">
        <v>500</v>
      </c>
      <c r="H15" s="15" t="s">
        <v>501</v>
      </c>
      <c r="I15" s="15" t="s">
        <v>502</v>
      </c>
      <c r="J15" s="15" t="s">
        <v>12</v>
      </c>
    </row>
    <row r="16" customFormat="false" ht="22.3" hidden="false" customHeight="false" outlineLevel="0" collapsed="false">
      <c r="A16" s="15" t="s">
        <v>498</v>
      </c>
      <c r="B16" s="15" t="s">
        <v>350</v>
      </c>
      <c r="C16" s="15" t="s">
        <v>145</v>
      </c>
      <c r="D16" s="15" t="s">
        <v>32</v>
      </c>
      <c r="E16" s="16" t="n">
        <v>159.6</v>
      </c>
      <c r="F16" s="16"/>
      <c r="G16" s="15" t="s">
        <v>503</v>
      </c>
      <c r="H16" s="15" t="s">
        <v>504</v>
      </c>
      <c r="I16" s="15" t="s">
        <v>505</v>
      </c>
      <c r="J16" s="15" t="s">
        <v>12</v>
      </c>
    </row>
    <row r="17" customFormat="false" ht="42.7" hidden="false" customHeight="false" outlineLevel="0" collapsed="false">
      <c r="A17" s="15" t="s">
        <v>498</v>
      </c>
      <c r="B17" s="15" t="s">
        <v>506</v>
      </c>
      <c r="C17" s="15" t="s">
        <v>507</v>
      </c>
      <c r="D17" s="15" t="s">
        <v>32</v>
      </c>
      <c r="E17" s="16" t="n">
        <v>1596.13</v>
      </c>
      <c r="F17" s="16" t="n">
        <v>1600</v>
      </c>
      <c r="G17" s="15" t="s">
        <v>508</v>
      </c>
      <c r="H17" s="15" t="s">
        <v>509</v>
      </c>
      <c r="I17" s="15" t="s">
        <v>510</v>
      </c>
      <c r="J17" s="15" t="s">
        <v>12</v>
      </c>
    </row>
    <row r="18" customFormat="false" ht="42.7" hidden="false" customHeight="false" outlineLevel="0" collapsed="false">
      <c r="A18" s="15" t="s">
        <v>498</v>
      </c>
      <c r="B18" s="15" t="s">
        <v>511</v>
      </c>
      <c r="C18" s="15" t="s">
        <v>507</v>
      </c>
      <c r="D18" s="15" t="s">
        <v>32</v>
      </c>
      <c r="E18" s="16" t="n">
        <v>1000.41</v>
      </c>
      <c r="F18" s="16" t="n">
        <v>1000</v>
      </c>
      <c r="G18" s="15" t="s">
        <v>512</v>
      </c>
      <c r="H18" s="15" t="s">
        <v>513</v>
      </c>
      <c r="I18" s="15" t="s">
        <v>514</v>
      </c>
      <c r="J18" s="15" t="s">
        <v>12</v>
      </c>
    </row>
    <row r="19" customFormat="false" ht="32.5" hidden="false" customHeight="false" outlineLevel="0" collapsed="false">
      <c r="A19" s="15" t="s">
        <v>515</v>
      </c>
      <c r="B19" s="15" t="s">
        <v>516</v>
      </c>
      <c r="C19" s="15" t="s">
        <v>458</v>
      </c>
      <c r="D19" s="15" t="s">
        <v>32</v>
      </c>
      <c r="E19" s="16" t="n">
        <v>233.68</v>
      </c>
      <c r="F19" s="16" t="n">
        <v>1125</v>
      </c>
      <c r="G19" s="15" t="s">
        <v>517</v>
      </c>
      <c r="H19" s="15" t="s">
        <v>518</v>
      </c>
      <c r="I19" s="15" t="s">
        <v>519</v>
      </c>
      <c r="J19" s="15" t="s">
        <v>12</v>
      </c>
    </row>
    <row r="20" customFormat="false" ht="22.3" hidden="false" customHeight="false" outlineLevel="0" collapsed="false">
      <c r="A20" s="15" t="s">
        <v>520</v>
      </c>
      <c r="B20" s="15" t="s">
        <v>521</v>
      </c>
      <c r="C20" s="15" t="s">
        <v>458</v>
      </c>
      <c r="D20" s="15" t="s">
        <v>32</v>
      </c>
      <c r="E20" s="16" t="n">
        <v>723.4</v>
      </c>
      <c r="F20" s="16"/>
      <c r="G20" s="15" t="s">
        <v>522</v>
      </c>
      <c r="H20" s="15" t="s">
        <v>523</v>
      </c>
      <c r="I20" s="15" t="s">
        <v>524</v>
      </c>
      <c r="J20" s="15" t="s">
        <v>12</v>
      </c>
    </row>
    <row r="21" customFormat="false" ht="22.3" hidden="false" customHeight="false" outlineLevel="0" collapsed="false">
      <c r="A21" s="15" t="s">
        <v>520</v>
      </c>
      <c r="B21" s="15" t="s">
        <v>366</v>
      </c>
      <c r="C21" s="15" t="s">
        <v>145</v>
      </c>
      <c r="D21" s="15" t="s">
        <v>32</v>
      </c>
      <c r="E21" s="16" t="n">
        <v>40.17</v>
      </c>
      <c r="F21" s="16"/>
      <c r="G21" s="15" t="s">
        <v>525</v>
      </c>
      <c r="H21" s="15" t="s">
        <v>518</v>
      </c>
      <c r="I21" s="15" t="s">
        <v>526</v>
      </c>
      <c r="J21" s="15" t="s">
        <v>12</v>
      </c>
    </row>
    <row r="22" customFormat="false" ht="22.3" hidden="false" customHeight="false" outlineLevel="0" collapsed="false">
      <c r="A22" s="15" t="s">
        <v>520</v>
      </c>
      <c r="B22" s="15" t="s">
        <v>527</v>
      </c>
      <c r="C22" s="15" t="s">
        <v>458</v>
      </c>
      <c r="D22" s="15" t="s">
        <v>32</v>
      </c>
      <c r="E22" s="16" t="n">
        <v>610.84</v>
      </c>
      <c r="F22" s="16" t="n">
        <v>675</v>
      </c>
      <c r="G22" s="15" t="s">
        <v>528</v>
      </c>
      <c r="H22" s="15" t="s">
        <v>523</v>
      </c>
      <c r="I22" s="15" t="s">
        <v>524</v>
      </c>
      <c r="J22" s="15" t="s">
        <v>12</v>
      </c>
    </row>
    <row r="23" customFormat="false" ht="32.5" hidden="false" customHeight="false" outlineLevel="0" collapsed="false">
      <c r="A23" s="15" t="s">
        <v>529</v>
      </c>
      <c r="B23" s="15" t="s">
        <v>530</v>
      </c>
      <c r="C23" s="15" t="s">
        <v>458</v>
      </c>
      <c r="D23" s="15" t="s">
        <v>32</v>
      </c>
      <c r="E23" s="16" t="n">
        <v>184.26</v>
      </c>
      <c r="F23" s="16" t="n">
        <v>275</v>
      </c>
      <c r="G23" s="15" t="s">
        <v>531</v>
      </c>
      <c r="H23" s="15" t="s">
        <v>532</v>
      </c>
      <c r="I23" s="15" t="s">
        <v>533</v>
      </c>
      <c r="J23" s="15" t="s">
        <v>12</v>
      </c>
    </row>
    <row r="24" customFormat="false" ht="22.3" hidden="false" customHeight="false" outlineLevel="0" collapsed="false">
      <c r="A24" s="15" t="s">
        <v>534</v>
      </c>
      <c r="B24" s="15" t="s">
        <v>366</v>
      </c>
      <c r="C24" s="15" t="s">
        <v>458</v>
      </c>
      <c r="D24" s="15" t="s">
        <v>32</v>
      </c>
      <c r="E24" s="16" t="n">
        <v>69.56</v>
      </c>
      <c r="F24" s="16" t="n">
        <v>115</v>
      </c>
      <c r="G24" s="15" t="s">
        <v>531</v>
      </c>
      <c r="H24" s="15" t="s">
        <v>535</v>
      </c>
      <c r="I24" s="15" t="s">
        <v>536</v>
      </c>
      <c r="J24" s="15" t="s">
        <v>12</v>
      </c>
    </row>
    <row r="25" customFormat="false" ht="22.3" hidden="false" customHeight="false" outlineLevel="0" collapsed="false">
      <c r="A25" s="15" t="s">
        <v>534</v>
      </c>
      <c r="B25" s="15" t="s">
        <v>537</v>
      </c>
      <c r="C25" s="15" t="s">
        <v>145</v>
      </c>
      <c r="D25" s="15" t="s">
        <v>32</v>
      </c>
      <c r="E25" s="16" t="n">
        <v>3.91</v>
      </c>
      <c r="F25" s="16"/>
      <c r="G25" s="15" t="s">
        <v>538</v>
      </c>
      <c r="H25" s="15" t="s">
        <v>539</v>
      </c>
      <c r="I25" s="15" t="s">
        <v>540</v>
      </c>
      <c r="J25" s="15" t="s">
        <v>12</v>
      </c>
    </row>
    <row r="26" customFormat="false" ht="22.3" hidden="false" customHeight="false" outlineLevel="0" collapsed="false">
      <c r="A26" s="15" t="s">
        <v>534</v>
      </c>
      <c r="B26" s="15" t="s">
        <v>366</v>
      </c>
      <c r="C26" s="15" t="s">
        <v>145</v>
      </c>
      <c r="D26" s="15" t="s">
        <v>32</v>
      </c>
      <c r="E26" s="16" t="n">
        <v>6.98</v>
      </c>
      <c r="F26" s="16"/>
      <c r="G26" s="15" t="s">
        <v>538</v>
      </c>
      <c r="H26" s="15" t="s">
        <v>541</v>
      </c>
      <c r="I26" s="15" t="s">
        <v>540</v>
      </c>
      <c r="J26" s="15" t="s">
        <v>12</v>
      </c>
    </row>
    <row r="27" customFormat="false" ht="42.7" hidden="false" customHeight="false" outlineLevel="0" collapsed="false">
      <c r="A27" s="15" t="s">
        <v>542</v>
      </c>
      <c r="B27" s="15" t="s">
        <v>366</v>
      </c>
      <c r="C27" s="15" t="s">
        <v>458</v>
      </c>
      <c r="D27" s="15" t="s">
        <v>32</v>
      </c>
      <c r="E27" s="16" t="n">
        <v>150.24</v>
      </c>
      <c r="F27" s="16" t="n">
        <v>350</v>
      </c>
      <c r="G27" s="15" t="s">
        <v>543</v>
      </c>
      <c r="H27" s="15" t="s">
        <v>544</v>
      </c>
      <c r="I27" s="15" t="s">
        <v>545</v>
      </c>
      <c r="J27" s="15" t="s">
        <v>12</v>
      </c>
    </row>
    <row r="28" customFormat="false" ht="22.3" hidden="false" customHeight="false" outlineLevel="0" collapsed="false">
      <c r="A28" s="15" t="s">
        <v>546</v>
      </c>
      <c r="B28" s="15" t="s">
        <v>366</v>
      </c>
      <c r="C28" s="15" t="s">
        <v>145</v>
      </c>
      <c r="D28" s="15" t="s">
        <v>32</v>
      </c>
      <c r="E28" s="16" t="n">
        <v>2.22</v>
      </c>
      <c r="F28" s="16"/>
      <c r="G28" s="15" t="s">
        <v>547</v>
      </c>
      <c r="H28" s="15" t="s">
        <v>548</v>
      </c>
      <c r="I28" s="15" t="s">
        <v>549</v>
      </c>
      <c r="J28" s="15" t="s">
        <v>12</v>
      </c>
    </row>
    <row r="29" customFormat="false" ht="22.3" hidden="false" customHeight="false" outlineLevel="0" collapsed="false">
      <c r="A29" s="15" t="s">
        <v>550</v>
      </c>
      <c r="B29" s="15" t="s">
        <v>132</v>
      </c>
      <c r="C29" s="15" t="s">
        <v>458</v>
      </c>
      <c r="D29" s="15" t="s">
        <v>32</v>
      </c>
      <c r="E29" s="16" t="n">
        <v>9.66</v>
      </c>
      <c r="F29" s="16" t="n">
        <v>250</v>
      </c>
      <c r="G29" s="15" t="s">
        <v>551</v>
      </c>
      <c r="H29" s="15" t="s">
        <v>552</v>
      </c>
      <c r="I29" s="15" t="s">
        <v>553</v>
      </c>
      <c r="J29" s="15" t="s">
        <v>12</v>
      </c>
    </row>
    <row r="30" customFormat="false" ht="32.5" hidden="false" customHeight="false" outlineLevel="0" collapsed="false">
      <c r="A30" s="15" t="s">
        <v>554</v>
      </c>
      <c r="B30" s="15" t="s">
        <v>537</v>
      </c>
      <c r="C30" s="15" t="s">
        <v>145</v>
      </c>
      <c r="D30" s="15" t="s">
        <v>32</v>
      </c>
      <c r="E30" s="16" t="n">
        <v>38.67</v>
      </c>
      <c r="F30" s="16"/>
      <c r="G30" s="15" t="s">
        <v>555</v>
      </c>
      <c r="H30" s="15" t="s">
        <v>556</v>
      </c>
      <c r="I30" s="15" t="s">
        <v>557</v>
      </c>
      <c r="J30" s="15" t="s">
        <v>12</v>
      </c>
    </row>
    <row r="31" customFormat="false" ht="22.3" hidden="false" customHeight="false" outlineLevel="0" collapsed="false">
      <c r="A31" s="15" t="s">
        <v>558</v>
      </c>
      <c r="B31" s="15" t="s">
        <v>537</v>
      </c>
      <c r="C31" s="15" t="s">
        <v>559</v>
      </c>
      <c r="D31" s="15" t="s">
        <v>32</v>
      </c>
      <c r="E31" s="16" t="n">
        <v>19.11</v>
      </c>
      <c r="F31" s="16"/>
      <c r="G31" s="15" t="s">
        <v>555</v>
      </c>
      <c r="H31" s="15" t="s">
        <v>560</v>
      </c>
      <c r="I31" s="15" t="s">
        <v>561</v>
      </c>
      <c r="J31" s="15" t="s">
        <v>12</v>
      </c>
    </row>
    <row r="32" customFormat="false" ht="22.3" hidden="false" customHeight="false" outlineLevel="0" collapsed="false">
      <c r="A32" s="15" t="s">
        <v>558</v>
      </c>
      <c r="B32" s="15" t="s">
        <v>562</v>
      </c>
      <c r="C32" s="15" t="s">
        <v>145</v>
      </c>
      <c r="D32" s="15" t="s">
        <v>32</v>
      </c>
      <c r="E32" s="16" t="n">
        <v>0.51</v>
      </c>
      <c r="F32" s="16"/>
      <c r="G32" s="15" t="s">
        <v>563</v>
      </c>
      <c r="H32" s="15" t="s">
        <v>270</v>
      </c>
      <c r="I32" s="15" t="s">
        <v>557</v>
      </c>
      <c r="J32" s="15" t="s">
        <v>12</v>
      </c>
    </row>
    <row r="33" customFormat="false" ht="22.3" hidden="false" customHeight="false" outlineLevel="0" collapsed="false">
      <c r="A33" s="15" t="s">
        <v>564</v>
      </c>
      <c r="B33" s="15" t="s">
        <v>537</v>
      </c>
      <c r="C33" s="15" t="s">
        <v>145</v>
      </c>
      <c r="D33" s="15" t="s">
        <v>32</v>
      </c>
      <c r="E33" s="16" t="n">
        <v>4.6</v>
      </c>
      <c r="F33" s="16" t="n">
        <v>4.7</v>
      </c>
      <c r="G33" s="15" t="s">
        <v>565</v>
      </c>
      <c r="H33" s="15" t="s">
        <v>270</v>
      </c>
      <c r="I33" s="15" t="s">
        <v>566</v>
      </c>
      <c r="J33" s="15" t="s">
        <v>12</v>
      </c>
    </row>
    <row r="34" customFormat="false" ht="15" hidden="false" customHeight="false" outlineLevel="0" collapsed="false">
      <c r="A34" s="17"/>
      <c r="B34" s="17"/>
      <c r="C34" s="17"/>
      <c r="D34" s="18" t="s">
        <v>185</v>
      </c>
      <c r="E34" s="19" t="n">
        <f aca="false">SUM(E5:E33)</f>
        <v>12358.65</v>
      </c>
      <c r="F34" s="17"/>
      <c r="G34" s="17"/>
      <c r="H34" s="17"/>
      <c r="I34" s="17"/>
      <c r="J34" s="17"/>
    </row>
    <row r="36" customFormat="false" ht="15" hidden="false" customHeight="false" outlineLevel="0" collapsed="false">
      <c r="A36" s="0"/>
      <c r="B36" s="0"/>
      <c r="C36" s="0"/>
      <c r="D36" s="0"/>
      <c r="E36" s="0"/>
      <c r="F36" s="0"/>
      <c r="G36" s="0"/>
      <c r="H36" s="0"/>
      <c r="I36" s="0"/>
      <c r="J36" s="0"/>
    </row>
    <row r="37" customFormat="false" ht="60" hidden="false" customHeight="true" outlineLevel="0" collapsed="false">
      <c r="A37" s="0"/>
      <c r="B37" s="0"/>
      <c r="C37" s="0"/>
      <c r="D37" s="0"/>
      <c r="E37" s="0"/>
      <c r="F37" s="0"/>
      <c r="G37" s="0"/>
      <c r="H37" s="0"/>
      <c r="I37" s="0"/>
      <c r="J37" s="0"/>
    </row>
    <row r="38" customFormat="false" ht="15" hidden="false" customHeight="false" outlineLevel="0" collapsed="false">
      <c r="A38" s="0"/>
      <c r="B38" s="0"/>
      <c r="C38" s="0"/>
      <c r="D38" s="0"/>
      <c r="E38" s="0"/>
      <c r="F38" s="0"/>
      <c r="G38" s="0"/>
      <c r="H38" s="0"/>
      <c r="I38" s="0"/>
      <c r="J38" s="0"/>
    </row>
    <row r="39" customFormat="false" ht="15" hidden="false" customHeight="false" outlineLevel="0" collapsed="false">
      <c r="A39" s="0"/>
      <c r="B39" s="0"/>
      <c r="C39" s="0"/>
      <c r="D39" s="0"/>
      <c r="E39" s="0"/>
      <c r="F39" s="0"/>
      <c r="G39" s="0"/>
      <c r="H39" s="0"/>
      <c r="I39" s="0"/>
      <c r="J39" s="0"/>
    </row>
    <row r="40" customFormat="false" ht="25.5" hidden="false" customHeight="true" outlineLevel="0" collapsed="false">
      <c r="A40" s="0"/>
      <c r="B40" s="0"/>
      <c r="C40" s="0"/>
      <c r="D40" s="0"/>
      <c r="E40" s="0"/>
      <c r="F40" s="0"/>
      <c r="G40" s="0"/>
      <c r="H40" s="0"/>
      <c r="I40" s="0"/>
      <c r="J40" s="0"/>
    </row>
    <row r="41" customFormat="false" ht="13.5" hidden="false" customHeight="true" outlineLevel="0" collapsed="false">
      <c r="A41" s="0"/>
      <c r="B41" s="0"/>
      <c r="C41" s="0"/>
      <c r="D41" s="0"/>
      <c r="E41" s="0"/>
      <c r="F41" s="0"/>
      <c r="G41" s="0"/>
      <c r="H41" s="0"/>
      <c r="I41" s="0"/>
      <c r="J41" s="0"/>
    </row>
    <row r="42" customFormat="false" ht="13.5" hidden="false" customHeight="true" outlineLevel="0" collapsed="false">
      <c r="A42" s="0"/>
      <c r="B42" s="0"/>
      <c r="C42" s="0"/>
      <c r="D42" s="0"/>
      <c r="E42" s="0"/>
      <c r="F42" s="0"/>
      <c r="G42" s="0"/>
      <c r="H42" s="0"/>
      <c r="I42" s="0"/>
      <c r="J42" s="0"/>
    </row>
    <row r="43" customFormat="false" ht="13.5" hidden="false" customHeight="true" outlineLevel="0" collapsed="false">
      <c r="A43" s="0"/>
      <c r="B43" s="0"/>
      <c r="C43" s="0"/>
      <c r="D43" s="0"/>
      <c r="E43" s="0"/>
      <c r="F43" s="0"/>
      <c r="G43" s="0"/>
      <c r="H43" s="0"/>
      <c r="I43" s="0"/>
      <c r="J43" s="0"/>
    </row>
    <row r="44" customFormat="false" ht="15" hidden="false" customHeight="false" outlineLevel="0" collapsed="false">
      <c r="A44" s="0"/>
      <c r="B44" s="0"/>
      <c r="C44" s="0"/>
      <c r="D44" s="0"/>
      <c r="E44" s="0"/>
      <c r="F44" s="0"/>
      <c r="G44" s="0"/>
      <c r="H44" s="0"/>
      <c r="I44" s="0"/>
      <c r="J44" s="0"/>
    </row>
    <row r="45" customFormat="false" ht="15" hidden="false" customHeight="false" outlineLevel="0" collapsed="false">
      <c r="A45" s="0"/>
      <c r="B45" s="0"/>
      <c r="C45" s="0"/>
      <c r="D45" s="0"/>
      <c r="E45" s="0"/>
      <c r="F45" s="0"/>
      <c r="G45" s="0"/>
      <c r="H45" s="0"/>
      <c r="I45" s="0"/>
      <c r="J45" s="0"/>
    </row>
    <row r="46" customFormat="false" ht="25.5" hidden="false" customHeight="true" outlineLevel="0" collapsed="false">
      <c r="A46" s="0"/>
      <c r="B46" s="0"/>
      <c r="C46" s="0"/>
      <c r="D46" s="0"/>
      <c r="E46" s="0"/>
      <c r="F46" s="0"/>
      <c r="G46" s="0"/>
      <c r="H46" s="0"/>
      <c r="I46" s="0"/>
      <c r="J46" s="0"/>
    </row>
    <row r="47" customFormat="false" ht="13.5" hidden="false" customHeight="true" outlineLevel="0" collapsed="false">
      <c r="A47" s="0"/>
      <c r="B47" s="0"/>
      <c r="C47" s="0"/>
      <c r="D47" s="0"/>
      <c r="E47" s="0"/>
      <c r="F47" s="0"/>
      <c r="G47" s="0"/>
      <c r="H47" s="0"/>
      <c r="I47" s="0"/>
      <c r="J47" s="0"/>
    </row>
    <row r="48" customFormat="false" ht="25.5" hidden="false" customHeight="true" outlineLevel="0" collapsed="false">
      <c r="A48" s="0"/>
      <c r="B48" s="0"/>
      <c r="C48" s="0"/>
      <c r="D48" s="0"/>
      <c r="E48" s="0"/>
      <c r="F48" s="0"/>
      <c r="G48" s="0"/>
      <c r="H48" s="0"/>
      <c r="I48" s="0"/>
      <c r="J48" s="0"/>
    </row>
    <row r="49" customFormat="false" ht="25.5" hidden="false" customHeight="true" outlineLevel="0" collapsed="false">
      <c r="A49" s="0"/>
      <c r="B49" s="0"/>
      <c r="C49" s="0"/>
      <c r="D49" s="0"/>
      <c r="E49" s="0"/>
      <c r="F49" s="0"/>
      <c r="G49" s="0"/>
      <c r="H49" s="0"/>
      <c r="I49" s="0"/>
      <c r="J49" s="0"/>
    </row>
    <row r="50" customFormat="false" ht="13.5" hidden="false" customHeight="true" outlineLevel="0" collapsed="false">
      <c r="A50" s="0"/>
      <c r="B50" s="0"/>
      <c r="C50" s="0"/>
      <c r="D50" s="0"/>
      <c r="E50" s="0"/>
      <c r="F50" s="0"/>
      <c r="G50" s="0"/>
      <c r="H50" s="0"/>
      <c r="I50" s="0"/>
      <c r="J50" s="0"/>
    </row>
    <row r="51" customFormat="false" ht="25.5" hidden="false" customHeight="true" outlineLevel="0" collapsed="false">
      <c r="A51" s="0"/>
      <c r="B51" s="0"/>
      <c r="C51" s="0"/>
      <c r="D51" s="0"/>
      <c r="E51" s="0"/>
      <c r="F51" s="0"/>
      <c r="G51" s="0"/>
      <c r="H51" s="0"/>
      <c r="I51" s="0"/>
      <c r="J51" s="0"/>
    </row>
    <row r="52" customFormat="false" ht="25.5" hidden="false" customHeight="true" outlineLevel="0" collapsed="false">
      <c r="A52" s="0"/>
      <c r="B52" s="0"/>
      <c r="C52" s="0"/>
      <c r="D52" s="0"/>
      <c r="E52" s="0"/>
      <c r="F52" s="0"/>
      <c r="G52" s="0"/>
      <c r="H52" s="0"/>
      <c r="I52" s="0"/>
      <c r="J52" s="0"/>
    </row>
    <row r="53" customFormat="false" ht="25.5" hidden="false" customHeight="true" outlineLevel="0" collapsed="false">
      <c r="A53" s="0"/>
      <c r="B53" s="0"/>
      <c r="C53" s="0"/>
      <c r="D53" s="0"/>
      <c r="E53" s="0"/>
      <c r="F53" s="0"/>
      <c r="G53" s="0"/>
      <c r="H53" s="0"/>
      <c r="I53" s="0"/>
      <c r="J53" s="0"/>
    </row>
    <row r="54" customFormat="false" ht="15" hidden="false" customHeight="false" outlineLevel="0" collapsed="false">
      <c r="A54" s="0"/>
      <c r="B54" s="0"/>
      <c r="C54" s="0"/>
      <c r="D54" s="0"/>
      <c r="E54" s="0"/>
      <c r="F54" s="0"/>
      <c r="G54" s="0"/>
      <c r="H54" s="0"/>
      <c r="I54" s="0"/>
      <c r="J54" s="0"/>
    </row>
    <row r="55" customFormat="false" ht="15" hidden="false" customHeight="false" outlineLevel="0" collapsed="false">
      <c r="A55" s="0"/>
      <c r="B55" s="0"/>
      <c r="C55" s="0"/>
      <c r="D55" s="0"/>
      <c r="E55" s="0"/>
      <c r="F55" s="0"/>
      <c r="G55" s="0"/>
      <c r="H55" s="0"/>
      <c r="I55" s="0"/>
      <c r="J55" s="0"/>
    </row>
    <row r="56" customFormat="false" ht="15" hidden="false" customHeight="false" outlineLevel="0" collapsed="false">
      <c r="A56" s="0"/>
      <c r="B56" s="0"/>
      <c r="C56" s="0"/>
      <c r="D56" s="0"/>
      <c r="E56" s="0"/>
      <c r="F56" s="0"/>
      <c r="G56" s="0"/>
      <c r="H56" s="0"/>
      <c r="I56" s="0"/>
      <c r="J56" s="0"/>
    </row>
    <row r="57" customFormat="false" ht="15" hidden="false" customHeight="false" outlineLevel="0" collapsed="false">
      <c r="A57" s="0"/>
      <c r="B57" s="0"/>
      <c r="C57" s="0"/>
      <c r="D57" s="0"/>
      <c r="E57" s="0"/>
      <c r="F57" s="0"/>
      <c r="G57" s="0"/>
      <c r="H57" s="0"/>
      <c r="I57" s="0"/>
      <c r="J57" s="0"/>
    </row>
    <row r="58" customFormat="false" ht="15" hidden="false" customHeight="false" outlineLevel="0" collapsed="false">
      <c r="A58" s="0"/>
      <c r="B58" s="0"/>
      <c r="C58" s="0"/>
      <c r="D58" s="0"/>
      <c r="E58" s="0"/>
      <c r="F58" s="0"/>
      <c r="G58" s="0"/>
      <c r="H58" s="0"/>
      <c r="I58" s="0"/>
      <c r="J58" s="0"/>
    </row>
    <row r="59" customFormat="false" ht="15" hidden="false" customHeight="false" outlineLevel="0" collapsed="false">
      <c r="A59" s="0"/>
      <c r="B59" s="0"/>
      <c r="C59" s="0"/>
      <c r="D59" s="0"/>
      <c r="E59" s="0"/>
      <c r="F59" s="0"/>
      <c r="G59" s="0"/>
      <c r="H59" s="0"/>
      <c r="I59" s="0"/>
      <c r="J59" s="0"/>
    </row>
    <row r="60" customFormat="false" ht="15" hidden="false" customHeight="false" outlineLevel="0" collapsed="false">
      <c r="A60" s="0"/>
      <c r="B60" s="0"/>
      <c r="C60" s="0"/>
      <c r="D60" s="0"/>
      <c r="E60" s="0"/>
      <c r="F60" s="0"/>
      <c r="G60" s="0"/>
      <c r="H60" s="0"/>
      <c r="I60" s="0"/>
      <c r="J60" s="0"/>
    </row>
    <row r="61" customFormat="false" ht="15" hidden="false" customHeight="false" outlineLevel="0" collapsed="false">
      <c r="A61" s="0"/>
      <c r="B61" s="0"/>
      <c r="C61" s="0"/>
      <c r="D61" s="0"/>
      <c r="E61" s="0"/>
      <c r="F61" s="0"/>
      <c r="G61" s="0"/>
      <c r="H61" s="0"/>
      <c r="I61" s="0"/>
      <c r="J61" s="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pane xSplit="0" ySplit="5" topLeftCell="A6" activePane="bottomLeft" state="frozen"/>
      <selection pane="topLeft" activeCell="A1" activeCellId="0" sqref="A1"/>
      <selection pane="bottomLeft" activeCell="F20" activeCellId="0" sqref="F2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4"/>
    <col collapsed="false" customWidth="true" hidden="false" outlineLevel="0" max="3" min="3" style="1" width="22"/>
    <col collapsed="false" customWidth="true" hidden="false" outlineLevel="0" max="6" min="4" style="1" width="12"/>
    <col collapsed="false" customWidth="true" hidden="false" outlineLevel="0" max="8" min="7" style="1" width="34"/>
    <col collapsed="false" customWidth="true" hidden="false" outlineLevel="0" max="9" min="9" style="1" width="44"/>
    <col collapsed="false" customWidth="true" hidden="false" outlineLevel="0" max="10" min="10" style="1" width="11"/>
    <col collapsed="false" customWidth="true" hidden="false" outlineLevel="0" max="11" min="11" style="0" width="32"/>
    <col collapsed="false" customWidth="true" hidden="false" outlineLevel="0" max="12" min="12" style="0" width="8"/>
  </cols>
  <sheetData>
    <row r="1" customFormat="false" ht="15" hidden="false" customHeight="false" outlineLevel="0" collapsed="false">
      <c r="A1" s="13" t="s">
        <v>567</v>
      </c>
    </row>
    <row r="2" customFormat="false" ht="15" hidden="false" customHeight="false" outlineLevel="0" collapsed="false">
      <c r="A2" s="0"/>
    </row>
    <row r="4" customFormat="false" ht="15" hidden="false" customHeight="false" outlineLevel="0" collapsed="false">
      <c r="A4" s="20" t="s">
        <v>568</v>
      </c>
      <c r="B4" s="21"/>
      <c r="C4" s="21"/>
      <c r="D4" s="21"/>
      <c r="E4" s="21"/>
      <c r="F4" s="21"/>
      <c r="G4" s="21"/>
      <c r="H4" s="21"/>
      <c r="I4" s="21"/>
      <c r="J4" s="21"/>
    </row>
    <row r="5" customFormat="false" ht="42" hidden="false" customHeight="true" outlineLevel="0" collapsed="false">
      <c r="A5" s="22" t="s">
        <v>569</v>
      </c>
      <c r="B5" s="22"/>
      <c r="C5" s="22"/>
      <c r="D5" s="22"/>
      <c r="E5" s="22"/>
      <c r="F5" s="22"/>
      <c r="G5" s="22"/>
      <c r="H5" s="22"/>
      <c r="I5" s="22"/>
    </row>
    <row r="7" customFormat="false" ht="15" hidden="false" customHeight="false" outlineLevel="0" collapsed="false">
      <c r="A7" s="20" t="s">
        <v>570</v>
      </c>
      <c r="B7" s="21"/>
      <c r="C7" s="21"/>
      <c r="D7" s="21"/>
      <c r="E7" s="21"/>
      <c r="F7" s="21"/>
      <c r="G7" s="21"/>
      <c r="H7" s="21"/>
      <c r="I7" s="21"/>
      <c r="J7" s="21"/>
    </row>
    <row r="8" customFormat="false" ht="22.3" hidden="false" customHeight="false" outlineLevel="0" collapsed="false">
      <c r="A8" s="14" t="s">
        <v>21</v>
      </c>
      <c r="B8" s="14" t="s">
        <v>22</v>
      </c>
      <c r="C8" s="14" t="s">
        <v>23</v>
      </c>
      <c r="D8" s="14" t="s">
        <v>24</v>
      </c>
      <c r="E8" s="14" t="s">
        <v>25</v>
      </c>
      <c r="F8" s="14" t="s">
        <v>26</v>
      </c>
      <c r="G8" s="14" t="s">
        <v>27</v>
      </c>
      <c r="H8" s="14" t="s">
        <v>28</v>
      </c>
      <c r="I8" s="14" t="s">
        <v>29</v>
      </c>
      <c r="J8" s="14" t="s">
        <v>1</v>
      </c>
    </row>
    <row r="9" customFormat="false" ht="42.7" hidden="false" customHeight="false" outlineLevel="0" collapsed="false">
      <c r="A9" s="15" t="s">
        <v>571</v>
      </c>
      <c r="B9" s="15" t="s">
        <v>572</v>
      </c>
      <c r="C9" s="15" t="s">
        <v>573</v>
      </c>
      <c r="D9" s="15" t="s">
        <v>32</v>
      </c>
      <c r="E9" s="16" t="n">
        <v>2394.34</v>
      </c>
      <c r="F9" s="16" t="n">
        <v>4722</v>
      </c>
      <c r="G9" s="15" t="s">
        <v>574</v>
      </c>
      <c r="H9" s="15" t="s">
        <v>575</v>
      </c>
      <c r="I9" s="15" t="s">
        <v>576</v>
      </c>
      <c r="J9" s="15" t="s">
        <v>577</v>
      </c>
    </row>
    <row r="10" customFormat="false" ht="15" hidden="false" customHeight="false" outlineLevel="0" collapsed="false">
      <c r="A10" s="15" t="s">
        <v>571</v>
      </c>
      <c r="B10" s="15" t="s">
        <v>578</v>
      </c>
      <c r="C10" s="15" t="s">
        <v>579</v>
      </c>
      <c r="D10" s="15" t="s">
        <v>32</v>
      </c>
      <c r="E10" s="16" t="n">
        <v>462.97</v>
      </c>
      <c r="F10" s="16" t="n">
        <v>550</v>
      </c>
      <c r="G10" s="15" t="s">
        <v>580</v>
      </c>
      <c r="H10" s="15" t="s">
        <v>575</v>
      </c>
      <c r="I10" s="15" t="s">
        <v>581</v>
      </c>
      <c r="J10" s="15" t="s">
        <v>577</v>
      </c>
    </row>
    <row r="11" customFormat="false" ht="15" hidden="false" customHeight="false" outlineLevel="0" collapsed="false">
      <c r="A11" s="15" t="s">
        <v>571</v>
      </c>
      <c r="B11" s="15" t="s">
        <v>582</v>
      </c>
      <c r="C11" s="15" t="s">
        <v>145</v>
      </c>
      <c r="D11" s="15" t="s">
        <v>32</v>
      </c>
      <c r="E11" s="16" t="n">
        <v>21.86</v>
      </c>
      <c r="F11" s="16" t="n">
        <v>100</v>
      </c>
      <c r="G11" s="15" t="s">
        <v>407</v>
      </c>
      <c r="H11" s="15" t="s">
        <v>583</v>
      </c>
      <c r="I11" s="15" t="s">
        <v>584</v>
      </c>
      <c r="J11" s="15" t="s">
        <v>577</v>
      </c>
    </row>
    <row r="12" customFormat="false" ht="42.7" hidden="false" customHeight="false" outlineLevel="0" collapsed="false">
      <c r="A12" s="15" t="s">
        <v>585</v>
      </c>
      <c r="B12" s="15" t="s">
        <v>586</v>
      </c>
      <c r="C12" s="15" t="s">
        <v>587</v>
      </c>
      <c r="D12" s="15" t="s">
        <v>94</v>
      </c>
      <c r="E12" s="16" t="n">
        <v>150.44</v>
      </c>
      <c r="F12" s="16" t="n">
        <v>650</v>
      </c>
      <c r="G12" s="15" t="s">
        <v>407</v>
      </c>
      <c r="H12" s="15" t="s">
        <v>588</v>
      </c>
      <c r="I12" s="15" t="s">
        <v>94</v>
      </c>
      <c r="J12" s="15" t="s">
        <v>577</v>
      </c>
    </row>
    <row r="13" customFormat="false" ht="15" hidden="false" customHeight="false" outlineLevel="0" collapsed="false">
      <c r="A13" s="17"/>
      <c r="B13" s="17"/>
      <c r="C13" s="17"/>
      <c r="D13" s="18" t="s">
        <v>589</v>
      </c>
      <c r="E13" s="19" t="n">
        <f aca="false">SUM(E9:E12)</f>
        <v>3029.61</v>
      </c>
      <c r="F13" s="17"/>
      <c r="G13" s="17"/>
      <c r="H13" s="17"/>
      <c r="I13" s="17"/>
      <c r="J13" s="17"/>
    </row>
    <row r="15" customFormat="false" ht="15" hidden="false" customHeight="false" outlineLevel="0" collapsed="false">
      <c r="A15" s="0"/>
      <c r="B15" s="0"/>
      <c r="C15" s="0"/>
      <c r="D15" s="0"/>
      <c r="E15" s="0"/>
      <c r="F15" s="0"/>
      <c r="G15" s="0"/>
      <c r="H15" s="0"/>
      <c r="I15" s="0"/>
      <c r="J15" s="0"/>
    </row>
    <row r="16" customFormat="false" ht="15" hidden="false" customHeight="false" outlineLevel="0" collapsed="false">
      <c r="A16" s="0"/>
      <c r="B16" s="0"/>
      <c r="C16" s="0"/>
      <c r="D16" s="0"/>
      <c r="E16" s="0"/>
      <c r="F16" s="0"/>
      <c r="G16" s="0"/>
      <c r="H16" s="0"/>
      <c r="I16" s="0"/>
      <c r="J16" s="0"/>
    </row>
    <row r="17" customFormat="false" ht="15" hidden="false" customHeight="false" outlineLevel="0" collapsed="false">
      <c r="A17" s="0"/>
      <c r="B17" s="0"/>
      <c r="C17" s="0"/>
      <c r="D17" s="0"/>
      <c r="E17" s="0"/>
      <c r="F17" s="0"/>
      <c r="G17" s="0"/>
      <c r="H17" s="0"/>
      <c r="I17" s="0"/>
      <c r="J17" s="0"/>
    </row>
    <row r="18" customFormat="false" ht="60" hidden="false" customHeight="true" outlineLevel="0" collapsed="false">
      <c r="A18" s="0"/>
      <c r="B18" s="0"/>
      <c r="C18" s="0"/>
      <c r="D18" s="0"/>
      <c r="E18" s="0"/>
      <c r="F18" s="0"/>
      <c r="G18" s="0"/>
      <c r="H18" s="0"/>
      <c r="I18" s="0"/>
      <c r="J18" s="0"/>
    </row>
    <row r="19" customFormat="false" ht="15" hidden="false" customHeight="false" outlineLevel="0" collapsed="false">
      <c r="A19" s="0"/>
      <c r="B19" s="0"/>
      <c r="C19" s="0"/>
      <c r="D19" s="0"/>
      <c r="E19" s="0"/>
      <c r="F19" s="0"/>
      <c r="G19" s="0"/>
      <c r="H19" s="0"/>
      <c r="I19" s="0"/>
      <c r="J19" s="0"/>
    </row>
    <row r="20" customFormat="false" ht="15" hidden="false" customHeight="false" outlineLevel="0" collapsed="false">
      <c r="A20" s="0"/>
      <c r="B20" s="0"/>
      <c r="C20" s="0"/>
      <c r="D20" s="0"/>
      <c r="E20" s="0"/>
      <c r="F20" s="0"/>
      <c r="G20" s="0"/>
      <c r="H20" s="0"/>
      <c r="I20" s="0"/>
      <c r="J20" s="0"/>
    </row>
    <row r="21" customFormat="false" ht="39" hidden="false" customHeight="true" outlineLevel="0" collapsed="false">
      <c r="A21" s="0"/>
      <c r="B21" s="0"/>
      <c r="C21" s="0"/>
      <c r="D21" s="0"/>
      <c r="E21" s="0"/>
      <c r="F21" s="0"/>
      <c r="G21" s="0"/>
      <c r="H21" s="0"/>
      <c r="I21" s="0"/>
      <c r="J21" s="0"/>
    </row>
    <row r="22" customFormat="false" ht="25.5" hidden="false" customHeight="true" outlineLevel="0" collapsed="false">
      <c r="A22" s="0"/>
      <c r="B22" s="0"/>
      <c r="C22" s="0"/>
      <c r="D22" s="0"/>
      <c r="E22" s="0"/>
      <c r="F22" s="0"/>
      <c r="G22" s="0"/>
      <c r="H22" s="0"/>
      <c r="I22" s="0"/>
      <c r="J22" s="0"/>
    </row>
    <row r="23" customFormat="false" ht="13.5" hidden="false" customHeight="true" outlineLevel="0" collapsed="false">
      <c r="A23" s="0"/>
      <c r="B23" s="0"/>
      <c r="C23" s="0"/>
      <c r="D23" s="0"/>
      <c r="E23" s="0"/>
      <c r="F23" s="0"/>
      <c r="G23" s="0"/>
      <c r="H23" s="0"/>
      <c r="I23" s="0"/>
      <c r="J23" s="0"/>
    </row>
    <row r="24" customFormat="false" ht="15" hidden="false" customHeight="false" outlineLevel="0" collapsed="false">
      <c r="A24" s="0"/>
      <c r="B24" s="0"/>
      <c r="C24" s="0"/>
      <c r="D24" s="0"/>
      <c r="E24" s="0"/>
      <c r="F24" s="0"/>
      <c r="G24" s="0"/>
      <c r="H24" s="0"/>
      <c r="I24" s="0"/>
      <c r="J24" s="0"/>
    </row>
    <row r="25" customFormat="false" ht="15" hidden="false" customHeight="false" outlineLevel="0" collapsed="false">
      <c r="A25" s="0"/>
      <c r="B25" s="0"/>
      <c r="C25" s="0"/>
      <c r="D25" s="0"/>
      <c r="E25" s="0"/>
      <c r="F25" s="0"/>
      <c r="G25" s="0"/>
      <c r="H25" s="0"/>
      <c r="I25" s="0"/>
      <c r="J25" s="0"/>
    </row>
    <row r="26" customFormat="false" ht="13.5" hidden="false" customHeight="true" outlineLevel="0" collapsed="false">
      <c r="A26" s="0"/>
      <c r="B26" s="0"/>
      <c r="C26" s="0"/>
      <c r="D26" s="0"/>
      <c r="E26" s="0"/>
      <c r="F26" s="0"/>
      <c r="G26" s="0"/>
      <c r="H26" s="0"/>
      <c r="I26" s="0"/>
      <c r="J26" s="0"/>
    </row>
    <row r="27" customFormat="false" ht="25.5" hidden="false" customHeight="true" outlineLevel="0" collapsed="false">
      <c r="A27" s="0"/>
      <c r="B27" s="0"/>
      <c r="C27" s="0"/>
      <c r="D27" s="0"/>
      <c r="E27" s="0"/>
      <c r="F27" s="0"/>
      <c r="G27" s="0"/>
      <c r="H27" s="0"/>
      <c r="I27" s="0"/>
      <c r="J27" s="0"/>
    </row>
    <row r="28" customFormat="false" ht="25.5" hidden="false" customHeight="true" outlineLevel="0" collapsed="false">
      <c r="A28" s="0"/>
      <c r="B28" s="0"/>
      <c r="C28" s="0"/>
      <c r="D28" s="0"/>
      <c r="E28" s="0"/>
      <c r="F28" s="0"/>
      <c r="G28" s="0"/>
      <c r="H28" s="0"/>
      <c r="I28" s="0"/>
      <c r="J28" s="0"/>
    </row>
    <row r="29" customFormat="false" ht="25.5" hidden="false" customHeight="true" outlineLevel="0" collapsed="false">
      <c r="A29" s="0"/>
      <c r="B29" s="0"/>
      <c r="C29" s="0"/>
      <c r="D29" s="0"/>
      <c r="E29" s="0"/>
      <c r="F29" s="0"/>
      <c r="G29" s="0"/>
      <c r="H29" s="0"/>
      <c r="I29" s="0"/>
      <c r="J29" s="0"/>
    </row>
    <row r="30" customFormat="false" ht="51.75" hidden="false" customHeight="true" outlineLevel="0" collapsed="false">
      <c r="A30" s="0"/>
      <c r="B30" s="0"/>
      <c r="C30" s="0"/>
      <c r="D30" s="0"/>
      <c r="E30" s="0"/>
      <c r="F30" s="0"/>
      <c r="G30" s="0"/>
      <c r="H30" s="0"/>
      <c r="I30" s="0"/>
      <c r="J30" s="0"/>
    </row>
    <row r="31" customFormat="false" ht="39" hidden="false" customHeight="true" outlineLevel="0" collapsed="false">
      <c r="A31" s="0"/>
      <c r="B31" s="0"/>
      <c r="C31" s="0"/>
      <c r="D31" s="0"/>
      <c r="E31" s="0"/>
      <c r="F31" s="0"/>
      <c r="G31" s="0"/>
      <c r="H31" s="0"/>
      <c r="I31" s="0"/>
      <c r="J31" s="0"/>
    </row>
    <row r="32" customFormat="false" ht="25.5" hidden="false" customHeight="true" outlineLevel="0" collapsed="false">
      <c r="A32" s="0"/>
      <c r="B32" s="0"/>
      <c r="C32" s="0"/>
      <c r="D32" s="0"/>
      <c r="E32" s="0"/>
      <c r="F32" s="0"/>
      <c r="G32" s="0"/>
      <c r="H32" s="0"/>
      <c r="I32" s="0"/>
      <c r="J32" s="0"/>
    </row>
    <row r="33" customFormat="false" ht="13.5" hidden="false" customHeight="true" outlineLevel="0" collapsed="false">
      <c r="A33" s="0"/>
      <c r="B33" s="0"/>
      <c r="C33" s="0"/>
      <c r="D33" s="0"/>
      <c r="E33" s="0"/>
      <c r="F33" s="0"/>
      <c r="G33" s="0"/>
      <c r="H33" s="0"/>
      <c r="I33" s="0"/>
      <c r="J33" s="0"/>
    </row>
    <row r="34" customFormat="false" ht="15" hidden="false" customHeight="false" outlineLevel="0" collapsed="false">
      <c r="A34" s="0"/>
      <c r="B34" s="0"/>
      <c r="C34" s="0"/>
      <c r="D34" s="0"/>
      <c r="E34" s="0"/>
      <c r="F34" s="0"/>
      <c r="G34" s="0"/>
      <c r="H34" s="0"/>
      <c r="I34" s="0"/>
      <c r="J34" s="0"/>
    </row>
    <row r="35" customFormat="false" ht="15" hidden="false" customHeight="false" outlineLevel="0" collapsed="false">
      <c r="A35" s="0"/>
      <c r="B35" s="0"/>
      <c r="C35" s="0"/>
      <c r="D35" s="0"/>
      <c r="E35" s="0"/>
      <c r="F35" s="0"/>
      <c r="G35" s="0"/>
      <c r="H35" s="0"/>
      <c r="I35" s="0"/>
      <c r="J35" s="0"/>
    </row>
    <row r="36" customFormat="false" ht="15" hidden="false" customHeight="false" outlineLevel="0" collapsed="false">
      <c r="A36" s="0"/>
      <c r="B36" s="0"/>
      <c r="C36" s="0"/>
      <c r="D36" s="0"/>
      <c r="E36" s="0"/>
      <c r="F36" s="0"/>
      <c r="G36" s="0"/>
      <c r="H36" s="0"/>
      <c r="I36" s="0"/>
      <c r="J36" s="0"/>
    </row>
    <row r="37" customFormat="false" ht="15" hidden="false" customHeight="false" outlineLevel="0" collapsed="false">
      <c r="A37" s="0"/>
      <c r="B37" s="0"/>
      <c r="C37" s="0"/>
      <c r="D37" s="0"/>
      <c r="E37" s="0"/>
      <c r="F37" s="0"/>
      <c r="G37" s="0"/>
      <c r="H37" s="0"/>
      <c r="I37" s="0"/>
      <c r="J37" s="0"/>
    </row>
    <row r="38" customFormat="false" ht="15" hidden="false" customHeight="false" outlineLevel="0" collapsed="false">
      <c r="A38" s="0"/>
      <c r="B38" s="0"/>
      <c r="C38" s="0"/>
      <c r="D38" s="0"/>
      <c r="E38" s="0"/>
      <c r="F38" s="0"/>
      <c r="G38" s="0"/>
      <c r="H38" s="0"/>
      <c r="I38" s="0"/>
      <c r="J38" s="0"/>
    </row>
    <row r="39" customFormat="false" ht="15" hidden="false" customHeight="false" outlineLevel="0" collapsed="false">
      <c r="A39" s="0"/>
      <c r="B39" s="0"/>
      <c r="C39" s="0"/>
      <c r="D39" s="0"/>
      <c r="E39" s="0"/>
      <c r="F39" s="0"/>
      <c r="G39" s="0"/>
      <c r="H39" s="0"/>
      <c r="I39" s="0"/>
      <c r="J39" s="0"/>
    </row>
    <row r="40" customFormat="false" ht="15" hidden="false" customHeight="false" outlineLevel="0" collapsed="false">
      <c r="A40" s="0"/>
      <c r="B40" s="0"/>
      <c r="C40" s="0"/>
      <c r="D40" s="0"/>
      <c r="E40" s="0"/>
      <c r="F40" s="0"/>
      <c r="G40" s="0"/>
      <c r="H40" s="0"/>
      <c r="I40" s="0"/>
      <c r="J40" s="0"/>
    </row>
  </sheetData>
  <mergeCells count="1">
    <mergeCell ref="A5:I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2026-07-15T08:52:27Z</dcterms:created>
  <dc:creator>openpyxl</dc:creator>
  <dc:description/>
  <dc:language>en-CA</dc:language>
  <cp:lastModifiedBy/>
  <dcterms:modified xsi:type="dcterms:W3CDTF">2026-07-15T14:31:40Z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