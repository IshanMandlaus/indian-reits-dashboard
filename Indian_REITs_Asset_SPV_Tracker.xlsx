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Pricing by Area" sheetId="2" state="visible" r:id="rId2"/>
    <sheet xmlns:r="http://schemas.openxmlformats.org/officeDocument/2006/relationships" name="By REIT" sheetId="3" state="visible" r:id="rId3"/>
    <sheet xmlns:r="http://schemas.openxmlformats.org/officeDocument/2006/relationships" name="Embassy" sheetId="4" state="visible" r:id="rId4"/>
    <sheet xmlns:r="http://schemas.openxmlformats.org/officeDocument/2006/relationships" name="Mindspace" sheetId="5" state="visible" r:id="rId5"/>
    <sheet xmlns:r="http://schemas.openxmlformats.org/officeDocument/2006/relationships" name="Brookfield" sheetId="6" state="visible" r:id="rId6"/>
    <sheet xmlns:r="http://schemas.openxmlformats.org/officeDocument/2006/relationships" name="Nexus" sheetId="7" state="visible" r:id="rId7"/>
    <sheet xmlns:r="http://schemas.openxmlformats.org/officeDocument/2006/relationships" name="KRT" sheetId="8" state="visible" r:id="rId8"/>
    <sheet xmlns:r="http://schemas.openxmlformats.org/officeDocument/2006/relationships" name="Bagmane" sheetId="9" state="visible" r:id="rId9"/>
    <sheet xmlns:r="http://schemas.openxmlformats.org/officeDocument/2006/relationships" name="Notes &amp; Definitions" sheetId="10" state="visible" r:id="rId10"/>
  </sheets>
  <definedNames>
    <definedName name="_xlnm._FilterDatabase" localSheetId="0" hidden="1">'Asset Register'!$A$1:$Y$109</definedName>
    <definedName name="_xlnm._FilterDatabase" localSheetId="1" hidden="1">'Pricing by Area'!$A$1:$J$34</definedName>
    <definedName name="_xlnm._FilterDatabase" localSheetId="3" hidden="1">'Embassy'!$A$3:$X$19</definedName>
    <definedName name="_xlnm._FilterDatabase" localSheetId="4" hidden="1">'Mindspace'!$A$3:$X$20</definedName>
    <definedName name="_xlnm._FilterDatabase" localSheetId="5" hidden="1">'Brookfield'!$A$3:$X$16</definedName>
    <definedName name="_xlnm._FilterDatabase" localSheetId="6" hidden="1">'Nexus'!$A$3:$X$23</definedName>
    <definedName name="_xlnm._FilterDatabase" localSheetId="7" hidden="1">'KRT'!$A$3:$X$36</definedName>
    <definedName name="_xlnm._FilterDatabase" localSheetId="8" hidden="1">'Bagmane'!$A$3:$X$12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;\(0.0%\);\-"/>
    <numFmt numFmtId="166" formatCode="#,##0;\(#,##0\);\-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color rgb="FF0563C1"/>
      <sz val="9"/>
    </font>
    <font>
      <name val="Arial"/>
      <family val="2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sz val="12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3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3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Source</author>
  </authors>
  <commentList>
    <comment ref="A1" authorId="0" shapeId="0">
      <text>
        <t>One row per property/SPV. Valuation 31 Mar 2026 (Bagmane proforma per RHP). Locality/Area = specific neighbourhood; Micro-market = valuer's submarket.</t>
      </text>
    </comment>
    <comment ref="A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B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C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D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E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F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G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H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I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J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K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M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N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O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P2" authorId="0" shapeId="0">
      <text>
        <t>Computed = Market rent / In-place rent - 1</t>
      </text>
    </comment>
    <comment ref="Q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S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T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U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V2" authorId="0" shapeId="0">
      <text>
        <t>Computed = Market value / leasable sq ft</t>
      </text>
    </comment>
    <comment ref="W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X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Y2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A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B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C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D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E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F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G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H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I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J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K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M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N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O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P3" authorId="0" shapeId="0">
      <text>
        <t>Computed = Market rent / In-place rent - 1</t>
      </text>
    </comment>
    <comment ref="Q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S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T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U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V3" authorId="0" shapeId="0">
      <text>
        <t>Computed = Market value / leasable sq ft</t>
      </text>
    </comment>
    <comment ref="W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X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Y3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A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B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C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D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E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F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G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H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I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J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K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M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N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O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P4" authorId="0" shapeId="0">
      <text>
        <t>Computed = Market rent / In-place rent - 1</t>
      </text>
    </comment>
    <comment ref="Q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S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T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U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V4" authorId="0" shapeId="0">
      <text>
        <t>Computed = Market value / leasable sq ft</t>
      </text>
    </comment>
    <comment ref="W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X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Y4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A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B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C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D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E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F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G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H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I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J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K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M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N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O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P5" authorId="0" shapeId="0">
      <text>
        <t>Computed = Market rent / In-place rent - 1</t>
      </text>
    </comment>
    <comment ref="Q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S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T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U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V5" authorId="0" shapeId="0">
      <text>
        <t>Computed = Market value / leasable sq ft</t>
      </text>
    </comment>
    <comment ref="W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X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Y5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A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B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C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D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E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F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G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H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I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J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K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N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O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P6" authorId="0" shapeId="0">
      <text>
        <t>Computed = Market rent / In-place rent - 1</t>
      </text>
    </comment>
    <comment ref="R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S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T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U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V6" authorId="0" shapeId="0">
      <text>
        <t>Computed = Market value / leasable sq ft</t>
      </text>
    </comment>
    <comment ref="W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X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Y6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A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B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C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D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E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F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G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H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I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J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K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M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N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O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P7" authorId="0" shapeId="0">
      <text>
        <t>Computed = Market rent / In-place rent - 1</t>
      </text>
    </comment>
    <comment ref="Q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S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T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U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V7" authorId="0" shapeId="0">
      <text>
        <t>Computed = Market value / leasable sq ft</t>
      </text>
    </comment>
    <comment ref="W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X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Y7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A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B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C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D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E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F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G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H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I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J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K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M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N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O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P8" authorId="0" shapeId="0">
      <text>
        <t>Computed = Market rent / In-place rent - 1</t>
      </text>
    </comment>
    <comment ref="Q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S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T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U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V8" authorId="0" shapeId="0">
      <text>
        <t>Computed = Market value / leasable sq ft</t>
      </text>
    </comment>
    <comment ref="W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X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Y8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A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B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C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D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E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F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G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H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I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J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K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M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N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O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P9" authorId="0" shapeId="0">
      <text>
        <t>Computed = Market rent / In-place rent - 1</t>
      </text>
    </comment>
    <comment ref="Q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S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T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U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V9" authorId="0" shapeId="0">
      <text>
        <t>Computed = Market value / leasable sq ft</t>
      </text>
    </comment>
    <comment ref="W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X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Y9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A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B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C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D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E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F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G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H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I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J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K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M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N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O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P10" authorId="0" shapeId="0">
      <text>
        <t>Computed = Market rent / In-place rent - 1</t>
      </text>
    </comment>
    <comment ref="Q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S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T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U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V10" authorId="0" shapeId="0">
      <text>
        <t>Computed = Market value / leasable sq ft</t>
      </text>
    </comment>
    <comment ref="W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X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Y10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A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B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C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D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E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F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G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H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I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J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K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M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N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O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P11" authorId="0" shapeId="0">
      <text>
        <t>Computed = Market rent / In-place rent - 1</t>
      </text>
    </comment>
    <comment ref="Q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S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T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U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V11" authorId="0" shapeId="0">
      <text>
        <t>Computed = Market value / leasable sq ft</t>
      </text>
    </comment>
    <comment ref="W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X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Y11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A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B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C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D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E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F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G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H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I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J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K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M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N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O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P12" authorId="0" shapeId="0">
      <text>
        <t>Computed = Market rent / In-place rent - 1</t>
      </text>
    </comment>
    <comment ref="Q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S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T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U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V12" authorId="0" shapeId="0">
      <text>
        <t>Computed = Market value / leasable sq ft</t>
      </text>
    </comment>
    <comment ref="W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X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Y12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A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B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C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D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E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F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G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H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I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J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K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M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N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O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P13" authorId="0" shapeId="0">
      <text>
        <t>Computed = Market rent / In-place rent - 1</t>
      </text>
    </comment>
    <comment ref="Q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S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T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U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V13" authorId="0" shapeId="0">
      <text>
        <t>Computed = Market value / leasable sq ft</t>
      </text>
    </comment>
    <comment ref="W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X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Y13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A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B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C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D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E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F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G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H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I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J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K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M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N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O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P14" authorId="0" shapeId="0">
      <text>
        <t>Computed = Market rent / In-place rent - 1</t>
      </text>
    </comment>
    <comment ref="Q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S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T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U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V14" authorId="0" shapeId="0">
      <text>
        <t>Computed = Market value / leasable sq ft</t>
      </text>
    </comment>
    <comment ref="W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X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Y14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A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B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C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D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E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F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G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H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I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J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K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M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P15" authorId="0" shapeId="0">
      <text>
        <t>Computed = Market rent / In-place rent - 1</t>
      </text>
    </comment>
    <comment ref="S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T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U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V15" authorId="0" shapeId="0">
      <text>
        <t>Computed = Market value / leasable sq ft</t>
      </text>
    </comment>
    <comment ref="W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Y15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A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B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C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D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E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F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G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H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I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J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K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M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N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O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P16" authorId="0" shapeId="0">
      <text>
        <t>Computed = Market rent / In-place rent - 1</t>
      </text>
    </comment>
    <comment ref="Q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S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T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U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V16" authorId="0" shapeId="0">
      <text>
        <t>Computed = Market value / leasable sq ft</t>
      </text>
    </comment>
    <comment ref="W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X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Y16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A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B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C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D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E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F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G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H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P17" authorId="0" shapeId="0">
      <text>
        <t>Computed = Market rent / In-place rent - 1</t>
      </text>
    </comment>
    <comment ref="T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U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V17" authorId="0" shapeId="0">
      <text>
        <t>Computed = Market value / leasable sq ft</t>
      </text>
    </comment>
    <comment ref="Y17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A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B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C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D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E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F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G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H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I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J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K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L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M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N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O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P18" authorId="0" shapeId="0">
      <text>
        <t>Computed = Market rent / In-place rent - 1</t>
      </text>
    </comment>
    <comment ref="Q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R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S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T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U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V18" authorId="0" shapeId="0">
      <text>
        <t>Computed = Market value / leasable sq ft</t>
      </text>
    </comment>
    <comment ref="Y18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A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B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C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D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E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F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G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H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I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J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K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L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M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N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O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P19" authorId="0" shapeId="0">
      <text>
        <t>Computed = Market rent / In-place rent - 1</t>
      </text>
    </comment>
    <comment ref="Q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R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S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T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U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V19" authorId="0" shapeId="0">
      <text>
        <t>Computed = Market value / leasable sq ft</t>
      </text>
    </comment>
    <comment ref="Y19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A20" authorId="0" shapeId="0">
      <text>
        <t>Source: Mindspace Q4 FY26 valuation report, 31 Mar 2026.
Ref: IT Park Non-SEZ. Exit cap 7.75%, WACC 11.75%. Occ 99.8%/committed 99.8%. Land 8.52 ac freehold. chunk a</t>
      </text>
    </comment>
    <comment ref="B20" authorId="0" shapeId="0">
      <text>
        <t>Source: Mindspace Q4 FY26 valuation report, 31 Mar 2026.
Ref: IT Park Non-SEZ. Exit cap 7.75%, WACC 11.75%. Occ 99.8%/committed 99.8%. Land 8.52 ac freehold. chunk a</t>
      </text>
    </comment>
    <comment ref="C20" authorId="0" shapeId="0">
      <text>
        <t>Source: Mindspace Q4 FY26 valuation report, 31 Mar 2026.
Ref: IT Park Non-SEZ. Exit cap 7.75%, WACC 11.75%. Occ 99.8%/committed 99.8%. Land 8.52 ac freehold. chunk a</t>
      </text>
    </comment>
    <comment ref="D20" authorId="0" shapeId="0">
      <text>
        <t>Source: Mindspace Q4 FY26 valuation report, 31 Mar 2026.
Ref: IT Park Non-SEZ. Exit cap 7.75%, WACC 11.75%. Occ 99.8%/committed 99.8%. Land 8.52 ac freehold. chunk a</t>
      </text>
    </comment>
    <comment ref="E20" authorId="0" shapeId="0">
      <text>
        <t>Source: Mindspace Q4 FY26 valuation report, 31 Mar 2026.
Ref: IT Park Non-SEZ. Exit cap 7.75%, WACC 11.75%. Occ 99.8%/committed 99.8%. Land 8.52 ac freehold. chunk a</t>
      </text>
    </comment>
    <comment ref="F20" authorId="0" shapeId="0">
      <text>
        <t>Source: Mindspace Q4 FY26 valuation report, 31 Mar 2026.
Ref: IT Park Non-SEZ. Exit cap 7.75%, WACC 11.75%. Occ 99.8%/committed 99.8%. Land 8.52 ac freehold. chunk a</t>
      </text>
    </comment>
    <comment ref="G20" authorId="0" shapeId="0">
      <text>
        <t>Source: Mindspace Q4 FY26 valuation report, 31 Mar 2026.
Ref: IT Park Non-SEZ. Exit cap 7.75%, WACC 11.75%. Occ 99.8%/committed 99.8%. Land 8.52 ac freehold. chunk a</t>
      </text>
    </comment>
    <comment ref="H20" authorId="0" shapeId="0">
      <text>
        <t>Source: Mindspace Q4 FY26 valuation report, 31 Mar 2026.
Ref: IT Park Non-SEZ. Exit cap 7.75%, WACC 11.75%. Occ 99.8%/committed 99.8%. Land 8.52 ac freehold. chunk a</t>
      </text>
    </comment>
    <comment ref="I20" authorId="0" shapeId="0">
      <text>
        <t>Source: Mindspace Q4 FY26 valuation report, 31 Mar 2026.
Ref: IT Park Non-SEZ. Exit cap 7.75%, WACC 11.75%. Occ 99.8%/committed 99.8%. Land 8.52 ac freehold. chunk a</t>
      </text>
    </comment>
    <comment ref="J20" authorId="0" shapeId="0">
      <text>
        <t>Source: Mindspace Q4 FY26 valuation report, 31 Mar 2026.
Ref: IT Park Non-SEZ. Exit cap 7.75%, WACC 11.75%. Occ 99.8%/committed 99.8%. Land 8.52 ac freehold. chunk a</t>
      </text>
    </comment>
    <comment ref="K20" authorId="0" shapeId="0">
      <text>
        <t>Source: Mindspace Q4 FY26 valuation report, 31 Mar 2026.
Ref: IT Park Non-SEZ. Exit cap 7.75%, WACC 11.75%. Occ 99.8%/committed 99.8%. Land 8.52 ac freehold. chunk a</t>
      </text>
    </comment>
    <comment ref="L20" authorId="0" shapeId="0">
      <text>
        <t>Source: Mindspace Q4 FY26 valuation report, 31 Mar 2026.
Ref: IT Park Non-SEZ. Exit cap 7.75%, WACC 11.75%. Occ 99.8%/committed 99.8%. Land 8.52 ac freehold. chunk a</t>
      </text>
    </comment>
    <comment ref="M20" authorId="0" shapeId="0">
      <text>
        <t>Source: Mindspace Q4 FY26 valuation report, 31 Mar 2026.
Ref: IT Park Non-SEZ. Exit cap 7.75%, WACC 11.75%. Occ 99.8%/committed 99.8%. Land 8.52 ac freehold. chunk a</t>
      </text>
    </comment>
    <comment ref="N20" authorId="0" shapeId="0">
      <text>
        <t>Source: Mindspace Q4 FY26 valuation report, 31 Mar 2026.
Ref: IT Park Non-SEZ. Exit cap 7.75%, WACC 11.75%. Occ 99.8%/committed 99.8%. Land 8.52 ac freehold. chunk a</t>
      </text>
    </comment>
    <comment ref="O20" authorId="0" shapeId="0">
      <text>
        <t>Source: Mindspace Q4 FY26 valuation report, 31 Mar 2026.
Ref: IT Park Non-SEZ. Exit cap 7.75%, WACC 11.75%. Occ 99.8%/committed 99.8%. Land 8.52 ac freehold. chunk a</t>
      </text>
    </comment>
    <comment ref="P20" authorId="0" shapeId="0">
      <text>
        <t>Computed = Market rent / In-place rent - 1</t>
      </text>
    </comment>
    <comment ref="Q20" authorId="0" shapeId="0">
      <text>
        <t>Source: Mindspace Q4 FY26 valuation report, 31 Mar 2026.
Ref: IT Park Non-SEZ. Exit cap 7.75%, WACC 11.75%. Occ 99.8%/committed 99.8%. Land 8.52 ac freehold. chunk a</t>
      </text>
    </comment>
    <comment ref="R20" authorId="0" shapeId="0">
      <text>
        <t>Source: Mindspace Q4 FY26 valuation report, 31 Mar 2026.
Ref: IT Park Non-SEZ. Exit cap 7.75%, WACC 11.75%. Occ 99.8%/committed 99.8%. Land 8.52 ac freehold. chunk a</t>
      </text>
    </comment>
    <comment ref="S20" authorId="0" shapeId="0">
      <text>
        <t>Source: Mindspace Q4 FY26 valuation report, 31 Mar 2026.
Ref: IT Park Non-SEZ. Exit cap 7.75%, WACC 11.75%. Occ 99.8%/committed 99.8%. Land 8.52 ac freehold. chunk a</t>
      </text>
    </comment>
    <comment ref="T20" authorId="0" shapeId="0">
      <text>
        <t>Source: Mindspace Q4 FY26 valuation report, 31 Mar 2026.
Ref: IT Park Non-SEZ. Exit cap 7.75%, WACC 11.75%. Occ 99.8%/committed 99.8%. Land 8.52 ac freehold. chunk a</t>
      </text>
    </comment>
    <comment ref="U20" authorId="0" shapeId="0">
      <text>
        <t>Source: Mindspace Q4 FY26 valuation report, 31 Mar 2026.
Ref: IT Park Non-SEZ. Exit cap 7.75%, WACC 11.75%. Occ 99.8%/committed 99.8%. Land 8.52 ac freehold. chunk a</t>
      </text>
    </comment>
    <comment ref="V20" authorId="0" shapeId="0">
      <text>
        <t>Computed = Market value / leasable sq ft</t>
      </text>
    </comment>
    <comment ref="Y20" authorId="0" shapeId="0">
      <text>
        <t>Source: Mindspace Q4 FY26 valuation report, 31 Mar 2026.
Ref: IT Park Non-SEZ. Exit cap 7.75%, WACC 11.75%. Occ 99.8%/committed 99.8%. Land 8.52 ac freehold. chunk a</t>
      </text>
    </comment>
    <comment ref="A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B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C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D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E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F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G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H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I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J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K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L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M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P21" authorId="0" shapeId="0">
      <text>
        <t>Computed = Market rent / In-place rent - 1</t>
      </text>
    </comment>
    <comment ref="R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U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V21" authorId="0" shapeId="0">
      <text>
        <t>Computed = Market value / leasable sq ft</t>
      </text>
    </comment>
    <comment ref="Y21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A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B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C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D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E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F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G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H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I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J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K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L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M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O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P22" authorId="0" shapeId="0">
      <text>
        <t>Computed = Market rent / In-place rent - 1</t>
      </text>
    </comment>
    <comment ref="Q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R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S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T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U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V22" authorId="0" shapeId="0">
      <text>
        <t>Computed = Market value / leasable sq ft</t>
      </text>
    </comment>
    <comment ref="Y22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A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B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C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D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E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F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G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H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I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J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K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L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M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N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O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P23" authorId="0" shapeId="0">
      <text>
        <t>Computed = Market rent / In-place rent - 1</t>
      </text>
    </comment>
    <comment ref="Q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R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S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T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U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V23" authorId="0" shapeId="0">
      <text>
        <t>Computed = Market value / leasable sq ft</t>
      </text>
    </comment>
    <comment ref="Y23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A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B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C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D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E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F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G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H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I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J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K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L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M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N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O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P24" authorId="0" shapeId="0">
      <text>
        <t>Computed = Market rent / In-place rent - 1</t>
      </text>
    </comment>
    <comment ref="Q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R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S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T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U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V24" authorId="0" shapeId="0">
      <text>
        <t>Computed = Market value / leasable sq ft</t>
      </text>
    </comment>
    <comment ref="Y24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A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B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C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D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E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F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G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H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I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J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K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L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M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N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O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P25" authorId="0" shapeId="0">
      <text>
        <t>Computed = Market rent / In-place rent - 1</t>
      </text>
    </comment>
    <comment ref="Q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R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S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T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U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V25" authorId="0" shapeId="0">
      <text>
        <t>Computed = Market value / leasable sq ft</t>
      </text>
    </comment>
    <comment ref="Y25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A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B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C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D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E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F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G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H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I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J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K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L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M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N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O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P26" authorId="0" shapeId="0">
      <text>
        <t>Computed = Market rent / In-place rent - 1</t>
      </text>
    </comment>
    <comment ref="Q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R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S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T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U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V26" authorId="0" shapeId="0">
      <text>
        <t>Computed = Market value / leasable sq ft</t>
      </text>
    </comment>
    <comment ref="Y26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A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B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C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D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E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F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G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H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I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J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K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L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M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N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O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P27" authorId="0" shapeId="0">
      <text>
        <t>Computed = Market rent / In-place rent - 1</t>
      </text>
    </comment>
    <comment ref="R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S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T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U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V27" authorId="0" shapeId="0">
      <text>
        <t>Computed = Market value / leasable sq ft</t>
      </text>
    </comment>
    <comment ref="Y27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A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B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C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D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E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F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G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H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I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J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K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L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M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N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O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P28" authorId="0" shapeId="0">
      <text>
        <t>Computed = Market rent / In-place rent - 1</t>
      </text>
    </comment>
    <comment ref="Q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R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S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T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U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V28" authorId="0" shapeId="0">
      <text>
        <t>Computed = Market value / leasable sq ft</t>
      </text>
    </comment>
    <comment ref="Y28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A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B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C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D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E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F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G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H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I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J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K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L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M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N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O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P29" authorId="0" shapeId="0">
      <text>
        <t>Computed = Market rent / In-place rent - 1</t>
      </text>
    </comment>
    <comment ref="Q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R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S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T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U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V29" authorId="0" shapeId="0">
      <text>
        <t>Computed = Market value / leasable sq ft</t>
      </text>
    </comment>
    <comment ref="Y29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A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B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C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D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E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F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G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H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I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J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K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L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M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N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O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P30" authorId="0" shapeId="0">
      <text>
        <t>Computed = Market rent / In-place rent - 1</t>
      </text>
    </comment>
    <comment ref="Q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R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S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T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U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V30" authorId="0" shapeId="0">
      <text>
        <t>Computed = Market value / leasable sq ft</t>
      </text>
    </comment>
    <comment ref="Y30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A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B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C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D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E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F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G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H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I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J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K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L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M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N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O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P31" authorId="0" shapeId="0">
      <text>
        <t>Computed = Market rent / In-place rent - 1</t>
      </text>
    </comment>
    <comment ref="Q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R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S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T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U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V31" authorId="0" shapeId="0">
      <text>
        <t>Computed = Market value / leasable sq ft</t>
      </text>
    </comment>
    <comment ref="Y31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A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B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C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D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E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F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G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H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I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J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K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L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M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N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O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P32" authorId="0" shapeId="0">
      <text>
        <t>Computed = Market rent / In-place rent - 1</t>
      </text>
    </comment>
    <comment ref="Q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R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S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T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U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V32" authorId="0" shapeId="0">
      <text>
        <t>Computed = Market value / leasable sq ft</t>
      </text>
    </comment>
    <comment ref="Y32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A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B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C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D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E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F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G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H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I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J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K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L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M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N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O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P33" authorId="0" shapeId="0">
      <text>
        <t>Computed = Market rent / In-place rent - 1</t>
      </text>
    </comment>
    <comment ref="R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S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T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U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V33" authorId="0" shapeId="0">
      <text>
        <t>Computed = Market value / leasable sq ft</t>
      </text>
    </comment>
    <comment ref="Y33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A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B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C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D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E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F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G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H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I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J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K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L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M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N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O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P34" authorId="0" shapeId="0">
      <text>
        <t>Computed = Market rent / In-place rent - 1</t>
      </text>
    </comment>
    <comment ref="R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S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T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U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V34" authorId="0" shapeId="0">
      <text>
        <t>Computed = Market value / leasable sq ft</t>
      </text>
    </comment>
    <comment ref="Y34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A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B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C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D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E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F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G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H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I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J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K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L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N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O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P35" authorId="0" shapeId="0">
      <text>
        <t>Computed = Market rent / In-place rent - 1</t>
      </text>
    </comment>
    <comment ref="Q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S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T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U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V35" authorId="0" shapeId="0">
      <text>
        <t>Computed = Market value / leasable sq ft</t>
      </text>
    </comment>
    <comment ref="Y35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A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B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C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D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E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F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G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H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J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K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L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N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O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P36" authorId="0" shapeId="0">
      <text>
        <t>Computed = Market rent / In-place rent - 1</t>
      </text>
    </comment>
    <comment ref="Q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S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T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U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V36" authorId="0" shapeId="0">
      <text>
        <t>Computed = Market value / leasable sq ft</t>
      </text>
    </comment>
    <comment ref="Y36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A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B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C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D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E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F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G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H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J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K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L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N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O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P37" authorId="0" shapeId="0">
      <text>
        <t>Computed = Market rent / In-place rent - 1</t>
      </text>
    </comment>
    <comment ref="Q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S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T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U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V37" authorId="0" shapeId="0">
      <text>
        <t>Computed = Market value / leasable sq ft</t>
      </text>
    </comment>
    <comment ref="Y37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A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B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C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D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E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F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G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H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J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K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L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N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O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P38" authorId="0" shapeId="0">
      <text>
        <t>Computed = Market rent / In-place rent - 1</t>
      </text>
    </comment>
    <comment ref="Q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S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T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U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V38" authorId="0" shapeId="0">
      <text>
        <t>Computed = Market value / leasable sq ft</t>
      </text>
    </comment>
    <comment ref="Y38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A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B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C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D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E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F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G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H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I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J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K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L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N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O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P39" authorId="0" shapeId="0">
      <text>
        <t>Computed = Market rent / In-place rent - 1</t>
      </text>
    </comment>
    <comment ref="Q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S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T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U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V39" authorId="0" shapeId="0">
      <text>
        <t>Computed = Market value / leasable sq ft</t>
      </text>
    </comment>
    <comment ref="Y39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A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B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C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D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E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F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G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H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J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K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L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N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O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P40" authorId="0" shapeId="0">
      <text>
        <t>Computed = Market rent / In-place rent - 1</t>
      </text>
    </comment>
    <comment ref="Q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S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T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U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V40" authorId="0" shapeId="0">
      <text>
        <t>Computed = Market value / leasable sq ft</t>
      </text>
    </comment>
    <comment ref="Y40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A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B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C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D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E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F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G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H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J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K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L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N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O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P41" authorId="0" shapeId="0">
      <text>
        <t>Computed = Market rent / In-place rent - 1</t>
      </text>
    </comment>
    <comment ref="Q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T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U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V41" authorId="0" shapeId="0">
      <text>
        <t>Computed = Market value / leasable sq ft</t>
      </text>
    </comment>
    <comment ref="Y41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A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B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C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D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E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F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G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H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I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J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K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L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N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O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P42" authorId="0" shapeId="0">
      <text>
        <t>Computed = Market rent / In-place rent - 1</t>
      </text>
    </comment>
    <comment ref="U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V42" authorId="0" shapeId="0">
      <text>
        <t>Computed = Market value / leasable sq ft</t>
      </text>
    </comment>
    <comment ref="Y42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A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B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C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D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E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F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G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H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I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J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K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L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N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O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P43" authorId="0" shapeId="0">
      <text>
        <t>Computed = Market rent / In-place rent - 1</t>
      </text>
    </comment>
    <comment ref="U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V43" authorId="0" shapeId="0">
      <text>
        <t>Computed = Market value / leasable sq ft</t>
      </text>
    </comment>
    <comment ref="Y43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A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B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C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D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E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F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G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H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I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J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K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L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M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O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P44" authorId="0" shapeId="0">
      <text>
        <t>Computed = Market rent / In-place rent - 1</t>
      </text>
    </comment>
    <comment ref="Q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R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S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T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U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V44" authorId="0" shapeId="0">
      <text>
        <t>Computed = Market value / leasable sq ft</t>
      </text>
    </comment>
    <comment ref="Y44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A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B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C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D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E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F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G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H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I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J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K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L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M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O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P45" authorId="0" shapeId="0">
      <text>
        <t>Computed = Market rent / In-place rent - 1</t>
      </text>
    </comment>
    <comment ref="Q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S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T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U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V45" authorId="0" shapeId="0">
      <text>
        <t>Computed = Market value / leasable sq ft</t>
      </text>
    </comment>
    <comment ref="Y45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A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B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C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D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E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F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G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H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I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J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K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L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M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O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P46" authorId="0" shapeId="0">
      <text>
        <t>Computed = Market rent / In-place rent - 1</t>
      </text>
    </comment>
    <comment ref="Q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S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T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U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V46" authorId="0" shapeId="0">
      <text>
        <t>Computed = Market value / leasable sq ft</t>
      </text>
    </comment>
    <comment ref="Y46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A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B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C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D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E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F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G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H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I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J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K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L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M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N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O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P47" authorId="0" shapeId="0">
      <text>
        <t>Computed = Market rent / In-place rent - 1</t>
      </text>
    </comment>
    <comment ref="Q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S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T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U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V47" authorId="0" shapeId="0">
      <text>
        <t>Computed = Market value / leasable sq ft</t>
      </text>
    </comment>
    <comment ref="Y47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A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B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C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D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E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F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G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H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I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J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K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L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M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N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O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P48" authorId="0" shapeId="0">
      <text>
        <t>Computed = Market rent / In-place rent - 1</t>
      </text>
    </comment>
    <comment ref="Q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R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S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T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U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V48" authorId="0" shapeId="0">
      <text>
        <t>Computed = Market value / leasable sq ft</t>
      </text>
    </comment>
    <comment ref="Y48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A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B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C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D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E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F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G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H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I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J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K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L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M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N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O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P49" authorId="0" shapeId="0">
      <text>
        <t>Computed = Market rent / In-place rent - 1</t>
      </text>
    </comment>
    <comment ref="Q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R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S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T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U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V49" authorId="0" shapeId="0">
      <text>
        <t>Computed = Market value / leasable sq ft</t>
      </text>
    </comment>
    <comment ref="Y49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A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B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C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D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E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F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G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H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I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J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K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L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M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N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O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P50" authorId="0" shapeId="0">
      <text>
        <t>Computed = Market rent / In-place rent - 1</t>
      </text>
    </comment>
    <comment ref="Q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R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S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T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U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V50" authorId="0" shapeId="0">
      <text>
        <t>Computed = Market value / leasable sq ft</t>
      </text>
    </comment>
    <comment ref="Y50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A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B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C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D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E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F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G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H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I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J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K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L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M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N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O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P51" authorId="0" shapeId="0">
      <text>
        <t>Computed = Market rent / In-place rent - 1</t>
      </text>
    </comment>
    <comment ref="Q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R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S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T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U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V51" authorId="0" shapeId="0">
      <text>
        <t>Computed = Market value / leasable sq ft</t>
      </text>
    </comment>
    <comment ref="Y51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A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B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C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D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E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F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G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H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I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J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K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L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M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N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O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P52" authorId="0" shapeId="0">
      <text>
        <t>Computed = Market rent / In-place rent - 1</t>
      </text>
    </comment>
    <comment ref="Q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R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S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T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U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V52" authorId="0" shapeId="0">
      <text>
        <t>Computed = Market value / leasable sq ft</t>
      </text>
    </comment>
    <comment ref="Y52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A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B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C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D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E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F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G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H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I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J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K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L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M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N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O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P53" authorId="0" shapeId="0">
      <text>
        <t>Computed = Market rent / In-place rent - 1</t>
      </text>
    </comment>
    <comment ref="Q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R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S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T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U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V53" authorId="0" shapeId="0">
      <text>
        <t>Computed = Market value / leasable sq ft</t>
      </text>
    </comment>
    <comment ref="Y53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A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B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C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D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E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F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G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H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I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J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K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L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M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N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O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P54" authorId="0" shapeId="0">
      <text>
        <t>Computed = Market rent / In-place rent - 1</t>
      </text>
    </comment>
    <comment ref="Q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R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S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T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U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V54" authorId="0" shapeId="0">
      <text>
        <t>Computed = Market value / leasable sq ft</t>
      </text>
    </comment>
    <comment ref="Y54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A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B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C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D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E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F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G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H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I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J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K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L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M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N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O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P55" authorId="0" shapeId="0">
      <text>
        <t>Computed = Market rent / In-place rent - 1</t>
      </text>
    </comment>
    <comment ref="Q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R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S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T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U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V55" authorId="0" shapeId="0">
      <text>
        <t>Computed = Market value / leasable sq ft</t>
      </text>
    </comment>
    <comment ref="Y55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A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B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C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D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E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F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G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H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I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J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K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L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M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N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O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P56" authorId="0" shapeId="0">
      <text>
        <t>Computed = Market rent / In-place rent - 1</t>
      </text>
    </comment>
    <comment ref="Q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R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S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T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U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V56" authorId="0" shapeId="0">
      <text>
        <t>Computed = Market value / leasable sq ft</t>
      </text>
    </comment>
    <comment ref="Y56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A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B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C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D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E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F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G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H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I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J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K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L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M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N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O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P57" authorId="0" shapeId="0">
      <text>
        <t>Computed = Market rent / In-place rent - 1</t>
      </text>
    </comment>
    <comment ref="Q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R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S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T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U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V57" authorId="0" shapeId="0">
      <text>
        <t>Computed = Market value / leasable sq ft</t>
      </text>
    </comment>
    <comment ref="Y57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A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B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C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D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E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F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G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H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I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J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K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L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M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N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O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P58" authorId="0" shapeId="0">
      <text>
        <t>Computed = Market rent / In-place rent - 1</t>
      </text>
    </comment>
    <comment ref="Q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R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S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T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U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V58" authorId="0" shapeId="0">
      <text>
        <t>Computed = Market value / leasable sq ft</t>
      </text>
    </comment>
    <comment ref="Y58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A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B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C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D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E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F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G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H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I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J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K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L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N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O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P59" authorId="0" shapeId="0">
      <text>
        <t>Computed = Market rent / In-place rent - 1</t>
      </text>
    </comment>
    <comment ref="Q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R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S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T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U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V59" authorId="0" shapeId="0">
      <text>
        <t>Computed = Market value / leasable sq ft</t>
      </text>
    </comment>
    <comment ref="Y59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A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B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C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D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E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F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G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H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I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J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K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L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N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O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P60" authorId="0" shapeId="0">
      <text>
        <t>Computed = Market rent / In-place rent - 1</t>
      </text>
    </comment>
    <comment ref="Q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R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S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T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U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V60" authorId="0" shapeId="0">
      <text>
        <t>Computed = Market value / leasable sq ft</t>
      </text>
    </comment>
    <comment ref="Y60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A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B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C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D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E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F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G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H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I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J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K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L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N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O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P61" authorId="0" shapeId="0">
      <text>
        <t>Computed = Market rent / In-place rent - 1</t>
      </text>
    </comment>
    <comment ref="Q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R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S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T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U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V61" authorId="0" shapeId="0">
      <text>
        <t>Computed = Market value / leasable sq ft</t>
      </text>
    </comment>
    <comment ref="Y61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A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B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C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D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E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F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G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H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I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J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K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L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M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N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O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P62" authorId="0" shapeId="0">
      <text>
        <t>Computed = Market rent / In-place rent - 1</t>
      </text>
    </comment>
    <comment ref="Q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R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S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T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U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V62" authorId="0" shapeId="0">
      <text>
        <t>Computed = Market value / leasable sq ft</t>
      </text>
    </comment>
    <comment ref="Y62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A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B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C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D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E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F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G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H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I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J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K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L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M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N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O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P63" authorId="0" shapeId="0">
      <text>
        <t>Computed = Market rent / In-place rent - 1</t>
      </text>
    </comment>
    <comment ref="Q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S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T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U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V63" authorId="0" shapeId="0">
      <text>
        <t>Computed = Market value / leasable sq ft</t>
      </text>
    </comment>
    <comment ref="Y63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A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B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C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D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E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F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G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H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P64" authorId="0" shapeId="0">
      <text>
        <t>Computed = Market rent / In-place rent - 1</t>
      </text>
    </comment>
    <comment ref="T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U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V64" authorId="0" shapeId="0">
      <text>
        <t>Computed = Market value / leasable sq ft</t>
      </text>
    </comment>
    <comment ref="Y64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A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B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C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D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E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F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G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H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I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J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K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L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N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O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P65" authorId="0" shapeId="0">
      <text>
        <t>Computed = Market rent / In-place rent - 1</t>
      </text>
    </comment>
    <comment ref="Q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R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S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T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U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V65" authorId="0" shapeId="0">
      <text>
        <t>Computed = Market value / leasable sq ft</t>
      </text>
    </comment>
    <comment ref="Y65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A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B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C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D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E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F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G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H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I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J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K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L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N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O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P66" authorId="0" shapeId="0">
      <text>
        <t>Computed = Market rent / In-place rent - 1</t>
      </text>
    </comment>
    <comment ref="Q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R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S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T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U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V66" authorId="0" shapeId="0">
      <text>
        <t>Computed = Market value / leasable sq ft</t>
      </text>
    </comment>
    <comment ref="Y66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A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B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C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D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E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F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G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H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I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J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K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L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M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N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O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P67" authorId="0" shapeId="0">
      <text>
        <t>Computed = Market rent / In-place rent - 1</t>
      </text>
    </comment>
    <comment ref="Q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R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S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T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U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V67" authorId="0" shapeId="0">
      <text>
        <t>Computed = Market value / leasable sq ft</t>
      </text>
    </comment>
    <comment ref="Y67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A68" authorId="0" shapeId="0">
      <text>
        <t>Source: KRT detailed valuation report, 31 Mar 2026.
Ref: Detailed sec 7 (pdf p.157); Valuation Certificate sec 6; Value Summary sec 4 (pdf p.55-56)</t>
      </text>
    </comment>
    <comment ref="B68" authorId="0" shapeId="0">
      <text>
        <t>Source: KRT detailed valuation report, 31 Mar 2026.
Ref: Detailed sec 7 (pdf p.157); Valuation Certificate sec 6; Value Summary sec 4 (pdf p.55-56)</t>
      </text>
    </comment>
    <comment ref="C68" authorId="0" shapeId="0">
      <text>
        <t>Source: KRT detailed valuation report, 31 Mar 2026.
Ref: Detailed sec 7 (pdf p.157); Valuation Certificate sec 6; Value Summary sec 4 (pdf p.55-56)</t>
      </text>
    </comment>
    <comment ref="D68" authorId="0" shapeId="0">
      <text>
        <t>Source: KRT detailed valuation report, 31 Mar 2026.
Ref: Detailed sec 7 (pdf p.157); Valuation Certificate sec 6; Value Summary sec 4 (pdf p.55-56)</t>
      </text>
    </comment>
    <comment ref="E68" authorId="0" shapeId="0">
      <text>
        <t>Source: KRT detailed valuation report, 31 Mar 2026.
Ref: Detailed sec 7 (pdf p.157); Valuation Certificate sec 6; Value Summary sec 4 (pdf p.55-56)</t>
      </text>
    </comment>
    <comment ref="F68" authorId="0" shapeId="0">
      <text>
        <t>Source: KRT detailed valuation report, 31 Mar 2026.
Ref: Detailed sec 7 (pdf p.157); Valuation Certificate sec 6; Value Summary sec 4 (pdf p.55-56)</t>
      </text>
    </comment>
    <comment ref="G68" authorId="0" shapeId="0">
      <text>
        <t>Source: KRT detailed valuation report, 31 Mar 2026.
Ref: Detailed sec 7 (pdf p.157); Valuation Certificate sec 6; Value Summary sec 4 (pdf p.55-56)</t>
      </text>
    </comment>
    <comment ref="H68" authorId="0" shapeId="0">
      <text>
        <t>Source: KRT detailed valuation report, 31 Mar 2026.
Ref: Detailed sec 7 (pdf p.157); Valuation Certificate sec 6; Value Summary sec 4 (pdf p.55-56)</t>
      </text>
    </comment>
    <comment ref="I68" authorId="0" shapeId="0">
      <text>
        <t>Source: KRT detailed valuation report, 31 Mar 2026.
Ref: Detailed sec 7 (pdf p.157); Valuation Certificate sec 6; Value Summary sec 4 (pdf p.55-56)</t>
      </text>
    </comment>
    <comment ref="J68" authorId="0" shapeId="0">
      <text>
        <t>Source: KRT detailed valuation report, 31 Mar 2026.
Ref: Detailed sec 7 (pdf p.157); Valuation Certificate sec 6; Value Summary sec 4 (pdf p.55-56)</t>
      </text>
    </comment>
    <comment ref="L68" authorId="0" shapeId="0">
      <text>
        <t>Source: KRT detailed valuation report, 31 Mar 2026.
Ref: Detailed sec 7 (pdf p.157); Valuation Certificate sec 6; Value Summary sec 4 (pdf p.55-56)</t>
      </text>
    </comment>
    <comment ref="N68" authorId="0" shapeId="0">
      <text>
        <t>Source: KRT detailed valuation report, 31 Mar 2026.
Ref: Detailed sec 7 (pdf p.157); Valuation Certificate sec 6; Value Summary sec 4 (pdf p.55-56)</t>
      </text>
    </comment>
    <comment ref="O68" authorId="0" shapeId="0">
      <text>
        <t>Source: KRT detailed valuation report, 31 Mar 2026.
Ref: Detailed sec 7 (pdf p.157); Valuation Certificate sec 6; Value Summary sec 4 (pdf p.55-56)</t>
      </text>
    </comment>
    <comment ref="P68" authorId="0" shapeId="0">
      <text>
        <t>Computed = Market rent / In-place rent - 1</t>
      </text>
    </comment>
    <comment ref="Q68" authorId="0" shapeId="0">
      <text>
        <t>Source: KRT detailed valuation report, 31 Mar 2026.
Ref: Detailed sec 7 (pdf p.157); Valuation Certificate sec 6; Value Summary sec 4 (pdf p.55-56)</t>
      </text>
    </comment>
    <comment ref="S68" authorId="0" shapeId="0">
      <text>
        <t>Source: KRT detailed valuation report, 31 Mar 2026.
Ref: Detailed sec 7 (pdf p.157); Valuation Certificate sec 6; Value Summary sec 4 (pdf p.55-56)</t>
      </text>
    </comment>
    <comment ref="T68" authorId="0" shapeId="0">
      <text>
        <t>Source: KRT detailed valuation report, 31 Mar 2026.
Ref: Detailed sec 7 (pdf p.157); Valuation Certificate sec 6; Value Summary sec 4 (pdf p.55-56)</t>
      </text>
    </comment>
    <comment ref="U68" authorId="0" shapeId="0">
      <text>
        <t>Source: KRT detailed valuation report, 31 Mar 2026.
Ref: Detailed sec 7 (pdf p.157); Valuation Certificate sec 6; Value Summary sec 4 (pdf p.55-56)</t>
      </text>
    </comment>
    <comment ref="V68" authorId="0" shapeId="0">
      <text>
        <t>Computed = Market value / leasable sq ft</t>
      </text>
    </comment>
    <comment ref="W68" authorId="0" shapeId="0">
      <text>
        <t>Source: KRT detailed valuation report, 31 Mar 2026.
Ref: Detailed sec 7 (pdf p.157); Valuation Certificate sec 6; Value Summary sec 4 (pdf p.55-56)</t>
      </text>
    </comment>
    <comment ref="X68" authorId="0" shapeId="0">
      <text>
        <t>Source: KRT detailed valuation report, 31 Mar 2026.
Ref: Detailed sec 7 (pdf p.157); Valuation Certificate sec 6; Value Summary sec 4 (pdf p.55-56)</t>
      </text>
    </comment>
    <comment ref="Y68" authorId="0" shapeId="0">
      <text>
        <t>Source: KRT detailed valuation report, 31 Mar 2026.
Ref: Detailed sec 7 (pdf p.157); Valuation Certificate sec 6; Value Summary sec 4 (pdf p.55-56)</t>
      </text>
    </comment>
    <comment ref="A69" authorId="0" shapeId="0">
      <text>
        <t>Source: KRT detailed valuation report, 31 Mar 2026.
Ref: Detailed sec 8 (pdf p.176); Valuation Certificate sec 6; Value Summary sec 4 (pdf p.55-56)</t>
      </text>
    </comment>
    <comment ref="B69" authorId="0" shapeId="0">
      <text>
        <t>Source: KRT detailed valuation report, 31 Mar 2026.
Ref: Detailed sec 8 (pdf p.176); Valuation Certificate sec 6; Value Summary sec 4 (pdf p.55-56)</t>
      </text>
    </comment>
    <comment ref="C69" authorId="0" shapeId="0">
      <text>
        <t>Source: KRT detailed valuation report, 31 Mar 2026.
Ref: Detailed sec 8 (pdf p.176); Valuation Certificate sec 6; Value Summary sec 4 (pdf p.55-56)</t>
      </text>
    </comment>
    <comment ref="D69" authorId="0" shapeId="0">
      <text>
        <t>Source: KRT detailed valuation report, 31 Mar 2026.
Ref: Detailed sec 8 (pdf p.176); Valuation Certificate sec 6; Value Summary sec 4 (pdf p.55-56)</t>
      </text>
    </comment>
    <comment ref="E69" authorId="0" shapeId="0">
      <text>
        <t>Source: KRT detailed valuation report, 31 Mar 2026.
Ref: Detailed sec 8 (pdf p.176); Valuation Certificate sec 6; Value Summary sec 4 (pdf p.55-56)</t>
      </text>
    </comment>
    <comment ref="F69" authorId="0" shapeId="0">
      <text>
        <t>Source: KRT detailed valuation report, 31 Mar 2026.
Ref: Detailed sec 8 (pdf p.176); Valuation Certificate sec 6; Value Summary sec 4 (pdf p.55-56)</t>
      </text>
    </comment>
    <comment ref="G69" authorId="0" shapeId="0">
      <text>
        <t>Source: KRT detailed valuation report, 31 Mar 2026.
Ref: Detailed sec 8 (pdf p.176); Valuation Certificate sec 6; Value Summary sec 4 (pdf p.55-56)</t>
      </text>
    </comment>
    <comment ref="H69" authorId="0" shapeId="0">
      <text>
        <t>Source: KRT detailed valuation report, 31 Mar 2026.
Ref: Detailed sec 8 (pdf p.176); Valuation Certificate sec 6; Value Summary sec 4 (pdf p.55-56)</t>
      </text>
    </comment>
    <comment ref="I69" authorId="0" shapeId="0">
      <text>
        <t>Source: KRT detailed valuation report, 31 Mar 2026.
Ref: Detailed sec 8 (pdf p.176); Valuation Certificate sec 6; Value Summary sec 4 (pdf p.55-56)</t>
      </text>
    </comment>
    <comment ref="J69" authorId="0" shapeId="0">
      <text>
        <t>Source: KRT detailed valuation report, 31 Mar 2026.
Ref: Detailed sec 8 (pdf p.176); Valuation Certificate sec 6; Value Summary sec 4 (pdf p.55-56)</t>
      </text>
    </comment>
    <comment ref="L69" authorId="0" shapeId="0">
      <text>
        <t>Source: KRT detailed valuation report, 31 Mar 2026.
Ref: Detailed sec 8 (pdf p.176); Valuation Certificate sec 6; Value Summary sec 4 (pdf p.55-56)</t>
      </text>
    </comment>
    <comment ref="N69" authorId="0" shapeId="0">
      <text>
        <t>Source: KRT detailed valuation report, 31 Mar 2026.
Ref: Detailed sec 8 (pdf p.176); Valuation Certificate sec 6; Value Summary sec 4 (pdf p.55-56)</t>
      </text>
    </comment>
    <comment ref="O69" authorId="0" shapeId="0">
      <text>
        <t>Source: KRT detailed valuation report, 31 Mar 2026.
Ref: Detailed sec 8 (pdf p.176); Valuation Certificate sec 6; Value Summary sec 4 (pdf p.55-56)</t>
      </text>
    </comment>
    <comment ref="P69" authorId="0" shapeId="0">
      <text>
        <t>Computed = Market rent / In-place rent - 1</t>
      </text>
    </comment>
    <comment ref="Q69" authorId="0" shapeId="0">
      <text>
        <t>Source: KRT detailed valuation report, 31 Mar 2026.
Ref: Detailed sec 8 (pdf p.176); Valuation Certificate sec 6; Value Summary sec 4 (pdf p.55-56)</t>
      </text>
    </comment>
    <comment ref="S69" authorId="0" shapeId="0">
      <text>
        <t>Source: KRT detailed valuation report, 31 Mar 2026.
Ref: Detailed sec 8 (pdf p.176); Valuation Certificate sec 6; Value Summary sec 4 (pdf p.55-56)</t>
      </text>
    </comment>
    <comment ref="T69" authorId="0" shapeId="0">
      <text>
        <t>Source: KRT detailed valuation report, 31 Mar 2026.
Ref: Detailed sec 8 (pdf p.176); Valuation Certificate sec 6; Value Summary sec 4 (pdf p.55-56)</t>
      </text>
    </comment>
    <comment ref="U69" authorId="0" shapeId="0">
      <text>
        <t>Source: KRT detailed valuation report, 31 Mar 2026.
Ref: Detailed sec 8 (pdf p.176); Valuation Certificate sec 6; Value Summary sec 4 (pdf p.55-56)</t>
      </text>
    </comment>
    <comment ref="V69" authorId="0" shapeId="0">
      <text>
        <t>Computed = Market value / leasable sq ft</t>
      </text>
    </comment>
    <comment ref="W69" authorId="0" shapeId="0">
      <text>
        <t>Source: KRT detailed valuation report, 31 Mar 2026.
Ref: Detailed sec 8 (pdf p.176); Valuation Certificate sec 6; Value Summary sec 4 (pdf p.55-56)</t>
      </text>
    </comment>
    <comment ref="X69" authorId="0" shapeId="0">
      <text>
        <t>Source: KRT detailed valuation report, 31 Mar 2026.
Ref: Detailed sec 8 (pdf p.176); Valuation Certificate sec 6; Value Summary sec 4 (pdf p.55-56)</t>
      </text>
    </comment>
    <comment ref="Y69" authorId="0" shapeId="0">
      <text>
        <t>Source: KRT detailed valuation report, 31 Mar 2026.
Ref: Detailed sec 8 (pdf p.176); Valuation Certificate sec 6; Value Summary sec 4 (pdf p.55-56)</t>
      </text>
    </comment>
    <comment ref="A70" authorId="0" shapeId="0">
      <text>
        <t>Source: KRT detailed valuation report, 31 Mar 2026.
Ref: Detailed sec 9 (pdf p.191); Valuation Certificate sec 6; Value Summary sec 4 (pdf p.55-56)</t>
      </text>
    </comment>
    <comment ref="B70" authorId="0" shapeId="0">
      <text>
        <t>Source: KRT detailed valuation report, 31 Mar 2026.
Ref: Detailed sec 9 (pdf p.191); Valuation Certificate sec 6; Value Summary sec 4 (pdf p.55-56)</t>
      </text>
    </comment>
    <comment ref="C70" authorId="0" shapeId="0">
      <text>
        <t>Source: KRT detailed valuation report, 31 Mar 2026.
Ref: Detailed sec 9 (pdf p.191); Valuation Certificate sec 6; Value Summary sec 4 (pdf p.55-56)</t>
      </text>
    </comment>
    <comment ref="D70" authorId="0" shapeId="0">
      <text>
        <t>Source: KRT detailed valuation report, 31 Mar 2026.
Ref: Detailed sec 9 (pdf p.191); Valuation Certificate sec 6; Value Summary sec 4 (pdf p.55-56)</t>
      </text>
    </comment>
    <comment ref="E70" authorId="0" shapeId="0">
      <text>
        <t>Source: KRT detailed valuation report, 31 Mar 2026.
Ref: Detailed sec 9 (pdf p.191); Valuation Certificate sec 6; Value Summary sec 4 (pdf p.55-56)</t>
      </text>
    </comment>
    <comment ref="F70" authorId="0" shapeId="0">
      <text>
        <t>Source: KRT detailed valuation report, 31 Mar 2026.
Ref: Detailed sec 9 (pdf p.191); Valuation Certificate sec 6; Value Summary sec 4 (pdf p.55-56)</t>
      </text>
    </comment>
    <comment ref="G70" authorId="0" shapeId="0">
      <text>
        <t>Source: KRT detailed valuation report, 31 Mar 2026.
Ref: Detailed sec 9 (pdf p.191); Valuation Certificate sec 6; Value Summary sec 4 (pdf p.55-56)</t>
      </text>
    </comment>
    <comment ref="H70" authorId="0" shapeId="0">
      <text>
        <t>Source: KRT detailed valuation report, 31 Mar 2026.
Ref: Detailed sec 9 (pdf p.191); Valuation Certificate sec 6; Value Summary sec 4 (pdf p.55-56)</t>
      </text>
    </comment>
    <comment ref="I70" authorId="0" shapeId="0">
      <text>
        <t>Source: KRT detailed valuation report, 31 Mar 2026.
Ref: Detailed sec 9 (pdf p.191); Valuation Certificate sec 6; Value Summary sec 4 (pdf p.55-56)</t>
      </text>
    </comment>
    <comment ref="J70" authorId="0" shapeId="0">
      <text>
        <t>Source: KRT detailed valuation report, 31 Mar 2026.
Ref: Detailed sec 9 (pdf p.191); Valuation Certificate sec 6; Value Summary sec 4 (pdf p.55-56)</t>
      </text>
    </comment>
    <comment ref="N70" authorId="0" shapeId="0">
      <text>
        <t>Source: KRT detailed valuation report, 31 Mar 2026.
Ref: Detailed sec 9 (pdf p.191); Valuation Certificate sec 6; Value Summary sec 4 (pdf p.55-56)</t>
      </text>
    </comment>
    <comment ref="O70" authorId="0" shapeId="0">
      <text>
        <t>Source: KRT detailed valuation report, 31 Mar 2026.
Ref: Detailed sec 9 (pdf p.191); Valuation Certificate sec 6; Value Summary sec 4 (pdf p.55-56)</t>
      </text>
    </comment>
    <comment ref="P70" authorId="0" shapeId="0">
      <text>
        <t>Computed = Market rent / In-place rent - 1</t>
      </text>
    </comment>
    <comment ref="S70" authorId="0" shapeId="0">
      <text>
        <t>Source: KRT detailed valuation report, 31 Mar 2026.
Ref: Detailed sec 9 (pdf p.191); Valuation Certificate sec 6; Value Summary sec 4 (pdf p.55-56)</t>
      </text>
    </comment>
    <comment ref="T70" authorId="0" shapeId="0">
      <text>
        <t>Source: KRT detailed valuation report, 31 Mar 2026.
Ref: Detailed sec 9 (pdf p.191); Valuation Certificate sec 6; Value Summary sec 4 (pdf p.55-56)</t>
      </text>
    </comment>
    <comment ref="U70" authorId="0" shapeId="0">
      <text>
        <t>Source: KRT detailed valuation report, 31 Mar 2026.
Ref: Detailed sec 9 (pdf p.191); Valuation Certificate sec 6; Value Summary sec 4 (pdf p.55-56)</t>
      </text>
    </comment>
    <comment ref="V70" authorId="0" shapeId="0">
      <text>
        <t>Computed = Market value / leasable sq ft</t>
      </text>
    </comment>
    <comment ref="W70" authorId="0" shapeId="0">
      <text>
        <t>Source: KRT detailed valuation report, 31 Mar 2026.
Ref: Detailed sec 9 (pdf p.191); Valuation Certificate sec 6; Value Summary sec 4 (pdf p.55-56)</t>
      </text>
    </comment>
    <comment ref="X70" authorId="0" shapeId="0">
      <text>
        <t>Source: KRT detailed valuation report, 31 Mar 2026.
Ref: Detailed sec 9 (pdf p.191); Valuation Certificate sec 6; Value Summary sec 4 (pdf p.55-56)</t>
      </text>
    </comment>
    <comment ref="Y70" authorId="0" shapeId="0">
      <text>
        <t>Source: KRT detailed valuation report, 31 Mar 2026.
Ref: Detailed sec 9 (pdf p.191); Valuation Certificate sec 6; Value Summary sec 4 (pdf p.55-56)</t>
      </text>
    </comment>
    <comment ref="A71" authorId="0" shapeId="0">
      <text>
        <t>Source: KRT detailed valuation report, 31 Mar 2026.
Ref: Detailed sec 10 (pdf p.206); Valuation Certificate sec 6; Value Summary sec 4 (pdf p.55-56)</t>
      </text>
    </comment>
    <comment ref="B71" authorId="0" shapeId="0">
      <text>
        <t>Source: KRT detailed valuation report, 31 Mar 2026.
Ref: Detailed sec 10 (pdf p.206); Valuation Certificate sec 6; Value Summary sec 4 (pdf p.55-56)</t>
      </text>
    </comment>
    <comment ref="C71" authorId="0" shapeId="0">
      <text>
        <t>Source: KRT detailed valuation report, 31 Mar 2026.
Ref: Detailed sec 10 (pdf p.206); Valuation Certificate sec 6; Value Summary sec 4 (pdf p.55-56)</t>
      </text>
    </comment>
    <comment ref="D71" authorId="0" shapeId="0">
      <text>
        <t>Source: KRT detailed valuation report, 31 Mar 2026.
Ref: Detailed sec 10 (pdf p.206); Valuation Certificate sec 6; Value Summary sec 4 (pdf p.55-56)</t>
      </text>
    </comment>
    <comment ref="E71" authorId="0" shapeId="0">
      <text>
        <t>Source: KRT detailed valuation report, 31 Mar 2026.
Ref: Detailed sec 10 (pdf p.206); Valuation Certificate sec 6; Value Summary sec 4 (pdf p.55-56)</t>
      </text>
    </comment>
    <comment ref="F71" authorId="0" shapeId="0">
      <text>
        <t>Source: KRT detailed valuation report, 31 Mar 2026.
Ref: Detailed sec 10 (pdf p.206); Valuation Certificate sec 6; Value Summary sec 4 (pdf p.55-56)</t>
      </text>
    </comment>
    <comment ref="G71" authorId="0" shapeId="0">
      <text>
        <t>Source: KRT detailed valuation report, 31 Mar 2026.
Ref: Detailed sec 10 (pdf p.206); Valuation Certificate sec 6; Value Summary sec 4 (pdf p.55-56)</t>
      </text>
    </comment>
    <comment ref="H71" authorId="0" shapeId="0">
      <text>
        <t>Source: KRT detailed valuation report, 31 Mar 2026.
Ref: Detailed sec 10 (pdf p.206); Valuation Certificate sec 6; Value Summary sec 4 (pdf p.55-56)</t>
      </text>
    </comment>
    <comment ref="I71" authorId="0" shapeId="0">
      <text>
        <t>Source: KRT detailed valuation report, 31 Mar 2026.
Ref: Detailed sec 10 (pdf p.206); Valuation Certificate sec 6; Value Summary sec 4 (pdf p.55-56)</t>
      </text>
    </comment>
    <comment ref="J71" authorId="0" shapeId="0">
      <text>
        <t>Source: KRT detailed valuation report, 31 Mar 2026.
Ref: Detailed sec 10 (pdf p.206); Valuation Certificate sec 6; Value Summary sec 4 (pdf p.55-56)</t>
      </text>
    </comment>
    <comment ref="L71" authorId="0" shapeId="0">
      <text>
        <t>Source: KRT detailed valuation report, 31 Mar 2026.
Ref: Detailed sec 10 (pdf p.206); Valuation Certificate sec 6; Value Summary sec 4 (pdf p.55-56)</t>
      </text>
    </comment>
    <comment ref="N71" authorId="0" shapeId="0">
      <text>
        <t>Source: KRT detailed valuation report, 31 Mar 2026.
Ref: Detailed sec 10 (pdf p.206); Valuation Certificate sec 6; Value Summary sec 4 (pdf p.55-56)</t>
      </text>
    </comment>
    <comment ref="O71" authorId="0" shapeId="0">
      <text>
        <t>Source: KRT detailed valuation report, 31 Mar 2026.
Ref: Detailed sec 10 (pdf p.206); Valuation Certificate sec 6; Value Summary sec 4 (pdf p.55-56)</t>
      </text>
    </comment>
    <comment ref="P71" authorId="0" shapeId="0">
      <text>
        <t>Computed = Market rent / In-place rent - 1</t>
      </text>
    </comment>
    <comment ref="Q71" authorId="0" shapeId="0">
      <text>
        <t>Source: KRT detailed valuation report, 31 Mar 2026.
Ref: Detailed sec 10 (pdf p.206); Valuation Certificate sec 6; Value Summary sec 4 (pdf p.55-56)</t>
      </text>
    </comment>
    <comment ref="S71" authorId="0" shapeId="0">
      <text>
        <t>Source: KRT detailed valuation report, 31 Mar 2026.
Ref: Detailed sec 10 (pdf p.206); Valuation Certificate sec 6; Value Summary sec 4 (pdf p.55-56)</t>
      </text>
    </comment>
    <comment ref="T71" authorId="0" shapeId="0">
      <text>
        <t>Source: KRT detailed valuation report, 31 Mar 2026.
Ref: Detailed sec 10 (pdf p.206); Valuation Certificate sec 6; Value Summary sec 4 (pdf p.55-56)</t>
      </text>
    </comment>
    <comment ref="U71" authorId="0" shapeId="0">
      <text>
        <t>Source: KRT detailed valuation report, 31 Mar 2026.
Ref: Detailed sec 10 (pdf p.206); Valuation Certificate sec 6; Value Summary sec 4 (pdf p.55-56)</t>
      </text>
    </comment>
    <comment ref="V71" authorId="0" shapeId="0">
      <text>
        <t>Computed = Market value / leasable sq ft</t>
      </text>
    </comment>
    <comment ref="W71" authorId="0" shapeId="0">
      <text>
        <t>Source: KRT detailed valuation report, 31 Mar 2026.
Ref: Detailed sec 10 (pdf p.206); Valuation Certificate sec 6; Value Summary sec 4 (pdf p.55-56)</t>
      </text>
    </comment>
    <comment ref="X71" authorId="0" shapeId="0">
      <text>
        <t>Source: KRT detailed valuation report, 31 Mar 2026.
Ref: Detailed sec 10 (pdf p.206); Valuation Certificate sec 6; Value Summary sec 4 (pdf p.55-56)</t>
      </text>
    </comment>
    <comment ref="Y71" authorId="0" shapeId="0">
      <text>
        <t>Source: KRT detailed valuation report, 31 Mar 2026.
Ref: Detailed sec 10 (pdf p.206); Valuation Certificate sec 6; Value Summary sec 4 (pdf p.55-56)</t>
      </text>
    </comment>
    <comment ref="A72" authorId="0" shapeId="0">
      <text>
        <t>Source: KRT detailed valuation report, 31 Mar 2026.
Ref: Detailed sec 11 (pdf p.222); Valuation Certificate sec 6; Value Summary sec 4 (pdf p.55-56)</t>
      </text>
    </comment>
    <comment ref="B72" authorId="0" shapeId="0">
      <text>
        <t>Source: KRT detailed valuation report, 31 Mar 2026.
Ref: Detailed sec 11 (pdf p.222); Valuation Certificate sec 6; Value Summary sec 4 (pdf p.55-56)</t>
      </text>
    </comment>
    <comment ref="C72" authorId="0" shapeId="0">
      <text>
        <t>Source: KRT detailed valuation report, 31 Mar 2026.
Ref: Detailed sec 11 (pdf p.222); Valuation Certificate sec 6; Value Summary sec 4 (pdf p.55-56)</t>
      </text>
    </comment>
    <comment ref="D72" authorId="0" shapeId="0">
      <text>
        <t>Source: KRT detailed valuation report, 31 Mar 2026.
Ref: Detailed sec 11 (pdf p.222); Valuation Certificate sec 6; Value Summary sec 4 (pdf p.55-56)</t>
      </text>
    </comment>
    <comment ref="E72" authorId="0" shapeId="0">
      <text>
        <t>Source: KRT detailed valuation report, 31 Mar 2026.
Ref: Detailed sec 11 (pdf p.222); Valuation Certificate sec 6; Value Summary sec 4 (pdf p.55-56)</t>
      </text>
    </comment>
    <comment ref="F72" authorId="0" shapeId="0">
      <text>
        <t>Source: KRT detailed valuation report, 31 Mar 2026.
Ref: Detailed sec 11 (pdf p.222); Valuation Certificate sec 6; Value Summary sec 4 (pdf p.55-56)</t>
      </text>
    </comment>
    <comment ref="G72" authorId="0" shapeId="0">
      <text>
        <t>Source: KRT detailed valuation report, 31 Mar 2026.
Ref: Detailed sec 11 (pdf p.222); Valuation Certificate sec 6; Value Summary sec 4 (pdf p.55-56)</t>
      </text>
    </comment>
    <comment ref="H72" authorId="0" shapeId="0">
      <text>
        <t>Source: KRT detailed valuation report, 31 Mar 2026.
Ref: Detailed sec 11 (pdf p.222); Valuation Certificate sec 6; Value Summary sec 4 (pdf p.55-56)</t>
      </text>
    </comment>
    <comment ref="I72" authorId="0" shapeId="0">
      <text>
        <t>Source: KRT detailed valuation report, 31 Mar 2026.
Ref: Detailed sec 11 (pdf p.222); Valuation Certificate sec 6; Value Summary sec 4 (pdf p.55-56)</t>
      </text>
    </comment>
    <comment ref="J72" authorId="0" shapeId="0">
      <text>
        <t>Source: KRT detailed valuation report, 31 Mar 2026.
Ref: Detailed sec 11 (pdf p.222); Valuation Certificate sec 6; Value Summary sec 4 (pdf p.55-56)</t>
      </text>
    </comment>
    <comment ref="L72" authorId="0" shapeId="0">
      <text>
        <t>Source: KRT detailed valuation report, 31 Mar 2026.
Ref: Detailed sec 11 (pdf p.222); Valuation Certificate sec 6; Value Summary sec 4 (pdf p.55-56)</t>
      </text>
    </comment>
    <comment ref="N72" authorId="0" shapeId="0">
      <text>
        <t>Source: KRT detailed valuation report, 31 Mar 2026.
Ref: Detailed sec 11 (pdf p.222); Valuation Certificate sec 6; Value Summary sec 4 (pdf p.55-56)</t>
      </text>
    </comment>
    <comment ref="O72" authorId="0" shapeId="0">
      <text>
        <t>Source: KRT detailed valuation report, 31 Mar 2026.
Ref: Detailed sec 11 (pdf p.222); Valuation Certificate sec 6; Value Summary sec 4 (pdf p.55-56)</t>
      </text>
    </comment>
    <comment ref="P72" authorId="0" shapeId="0">
      <text>
        <t>Computed = Market rent / In-place rent - 1</t>
      </text>
    </comment>
    <comment ref="Q72" authorId="0" shapeId="0">
      <text>
        <t>Source: KRT detailed valuation report, 31 Mar 2026.
Ref: Detailed sec 11 (pdf p.222); Valuation Certificate sec 6; Value Summary sec 4 (pdf p.55-56)</t>
      </text>
    </comment>
    <comment ref="S72" authorId="0" shapeId="0">
      <text>
        <t>Source: KRT detailed valuation report, 31 Mar 2026.
Ref: Detailed sec 11 (pdf p.222); Valuation Certificate sec 6; Value Summary sec 4 (pdf p.55-56)</t>
      </text>
    </comment>
    <comment ref="T72" authorId="0" shapeId="0">
      <text>
        <t>Source: KRT detailed valuation report, 31 Mar 2026.
Ref: Detailed sec 11 (pdf p.222); Valuation Certificate sec 6; Value Summary sec 4 (pdf p.55-56)</t>
      </text>
    </comment>
    <comment ref="U72" authorId="0" shapeId="0">
      <text>
        <t>Source: KRT detailed valuation report, 31 Mar 2026.
Ref: Detailed sec 11 (pdf p.222); Valuation Certificate sec 6; Value Summary sec 4 (pdf p.55-56)</t>
      </text>
    </comment>
    <comment ref="V72" authorId="0" shapeId="0">
      <text>
        <t>Computed = Market value / leasable sq ft</t>
      </text>
    </comment>
    <comment ref="W72" authorId="0" shapeId="0">
      <text>
        <t>Source: KRT detailed valuation report, 31 Mar 2026.
Ref: Detailed sec 11 (pdf p.222); Valuation Certificate sec 6; Value Summary sec 4 (pdf p.55-56)</t>
      </text>
    </comment>
    <comment ref="X72" authorId="0" shapeId="0">
      <text>
        <t>Source: KRT detailed valuation report, 31 Mar 2026.
Ref: Detailed sec 11 (pdf p.222); Valuation Certificate sec 6; Value Summary sec 4 (pdf p.55-56)</t>
      </text>
    </comment>
    <comment ref="Y72" authorId="0" shapeId="0">
      <text>
        <t>Source: KRT detailed valuation report, 31 Mar 2026.
Ref: Detailed sec 11 (pdf p.222); Valuation Certificate sec 6; Value Summary sec 4 (pdf p.55-56)</t>
      </text>
    </comment>
    <comment ref="A73" authorId="0" shapeId="0">
      <text>
        <t>Source: KRT detailed valuation report, 31 Mar 2026.
Ref: Detailed sec 12 (pdf p.238); Valuation Certificate sec 6; Value Summary sec 4 (pdf p.55-56)</t>
      </text>
    </comment>
    <comment ref="B73" authorId="0" shapeId="0">
      <text>
        <t>Source: KRT detailed valuation report, 31 Mar 2026.
Ref: Detailed sec 12 (pdf p.238); Valuation Certificate sec 6; Value Summary sec 4 (pdf p.55-56)</t>
      </text>
    </comment>
    <comment ref="C73" authorId="0" shapeId="0">
      <text>
        <t>Source: KRT detailed valuation report, 31 Mar 2026.
Ref: Detailed sec 12 (pdf p.238); Valuation Certificate sec 6; Value Summary sec 4 (pdf p.55-56)</t>
      </text>
    </comment>
    <comment ref="D73" authorId="0" shapeId="0">
      <text>
        <t>Source: KRT detailed valuation report, 31 Mar 2026.
Ref: Detailed sec 12 (pdf p.238); Valuation Certificate sec 6; Value Summary sec 4 (pdf p.55-56)</t>
      </text>
    </comment>
    <comment ref="E73" authorId="0" shapeId="0">
      <text>
        <t>Source: KRT detailed valuation report, 31 Mar 2026.
Ref: Detailed sec 12 (pdf p.238); Valuation Certificate sec 6; Value Summary sec 4 (pdf p.55-56)</t>
      </text>
    </comment>
    <comment ref="F73" authorId="0" shapeId="0">
      <text>
        <t>Source: KRT detailed valuation report, 31 Mar 2026.
Ref: Detailed sec 12 (pdf p.238); Valuation Certificate sec 6; Value Summary sec 4 (pdf p.55-56)</t>
      </text>
    </comment>
    <comment ref="G73" authorId="0" shapeId="0">
      <text>
        <t>Source: KRT detailed valuation report, 31 Mar 2026.
Ref: Detailed sec 12 (pdf p.238); Valuation Certificate sec 6; Value Summary sec 4 (pdf p.55-56)</t>
      </text>
    </comment>
    <comment ref="H73" authorId="0" shapeId="0">
      <text>
        <t>Source: KRT detailed valuation report, 31 Mar 2026.
Ref: Detailed sec 12 (pdf p.238); Valuation Certificate sec 6; Value Summary sec 4 (pdf p.55-56)</t>
      </text>
    </comment>
    <comment ref="I73" authorId="0" shapeId="0">
      <text>
        <t>Source: KRT detailed valuation report, 31 Mar 2026.
Ref: Detailed sec 12 (pdf p.238); Valuation Certificate sec 6; Value Summary sec 4 (pdf p.55-56)</t>
      </text>
    </comment>
    <comment ref="J73" authorId="0" shapeId="0">
      <text>
        <t>Source: KRT detailed valuation report, 31 Mar 2026.
Ref: Detailed sec 12 (pdf p.238); Valuation Certificate sec 6; Value Summary sec 4 (pdf p.55-56)</t>
      </text>
    </comment>
    <comment ref="L73" authorId="0" shapeId="0">
      <text>
        <t>Source: KRT detailed valuation report, 31 Mar 2026.
Ref: Detailed sec 12 (pdf p.238); Valuation Certificate sec 6; Value Summary sec 4 (pdf p.55-56)</t>
      </text>
    </comment>
    <comment ref="N73" authorId="0" shapeId="0">
      <text>
        <t>Source: KRT detailed valuation report, 31 Mar 2026.
Ref: Detailed sec 12 (pdf p.238); Valuation Certificate sec 6; Value Summary sec 4 (pdf p.55-56)</t>
      </text>
    </comment>
    <comment ref="O73" authorId="0" shapeId="0">
      <text>
        <t>Source: KRT detailed valuation report, 31 Mar 2026.
Ref: Detailed sec 12 (pdf p.238); Valuation Certificate sec 6; Value Summary sec 4 (pdf p.55-56)</t>
      </text>
    </comment>
    <comment ref="P73" authorId="0" shapeId="0">
      <text>
        <t>Computed = Market rent / In-place rent - 1</t>
      </text>
    </comment>
    <comment ref="Q73" authorId="0" shapeId="0">
      <text>
        <t>Source: KRT detailed valuation report, 31 Mar 2026.
Ref: Detailed sec 12 (pdf p.238); Valuation Certificate sec 6; Value Summary sec 4 (pdf p.55-56)</t>
      </text>
    </comment>
    <comment ref="S73" authorId="0" shapeId="0">
      <text>
        <t>Source: KRT detailed valuation report, 31 Mar 2026.
Ref: Detailed sec 12 (pdf p.238); Valuation Certificate sec 6; Value Summary sec 4 (pdf p.55-56)</t>
      </text>
    </comment>
    <comment ref="T73" authorId="0" shapeId="0">
      <text>
        <t>Source: KRT detailed valuation report, 31 Mar 2026.
Ref: Detailed sec 12 (pdf p.238); Valuation Certificate sec 6; Value Summary sec 4 (pdf p.55-56)</t>
      </text>
    </comment>
    <comment ref="U73" authorId="0" shapeId="0">
      <text>
        <t>Source: KRT detailed valuation report, 31 Mar 2026.
Ref: Detailed sec 12 (pdf p.238); Valuation Certificate sec 6; Value Summary sec 4 (pdf p.55-56)</t>
      </text>
    </comment>
    <comment ref="V73" authorId="0" shapeId="0">
      <text>
        <t>Computed = Market value / leasable sq ft</t>
      </text>
    </comment>
    <comment ref="W73" authorId="0" shapeId="0">
      <text>
        <t>Source: KRT detailed valuation report, 31 Mar 2026.
Ref: Detailed sec 12 (pdf p.238); Valuation Certificate sec 6; Value Summary sec 4 (pdf p.55-56)</t>
      </text>
    </comment>
    <comment ref="X73" authorId="0" shapeId="0">
      <text>
        <t>Source: KRT detailed valuation report, 31 Mar 2026.
Ref: Detailed sec 12 (pdf p.238); Valuation Certificate sec 6; Value Summary sec 4 (pdf p.55-56)</t>
      </text>
    </comment>
    <comment ref="Y73" authorId="0" shapeId="0">
      <text>
        <t>Source: KRT detailed valuation report, 31 Mar 2026.
Ref: Detailed sec 12 (pdf p.238); Valuation Certificate sec 6; Value Summary sec 4 (pdf p.55-56)</t>
      </text>
    </comment>
    <comment ref="A74" authorId="0" shapeId="0">
      <text>
        <t>Source: KRT detailed valuation report, 31 Mar 2026.
Ref: Detailed sec 13 (pdf p.254); Valuation Certificate sec 6; Value Summary sec 4 (pdf p.55-56)</t>
      </text>
    </comment>
    <comment ref="B74" authorId="0" shapeId="0">
      <text>
        <t>Source: KRT detailed valuation report, 31 Mar 2026.
Ref: Detailed sec 13 (pdf p.254); Valuation Certificate sec 6; Value Summary sec 4 (pdf p.55-56)</t>
      </text>
    </comment>
    <comment ref="C74" authorId="0" shapeId="0">
      <text>
        <t>Source: KRT detailed valuation report, 31 Mar 2026.
Ref: Detailed sec 13 (pdf p.254); Valuation Certificate sec 6; Value Summary sec 4 (pdf p.55-56)</t>
      </text>
    </comment>
    <comment ref="D74" authorId="0" shapeId="0">
      <text>
        <t>Source: KRT detailed valuation report, 31 Mar 2026.
Ref: Detailed sec 13 (pdf p.254); Valuation Certificate sec 6; Value Summary sec 4 (pdf p.55-56)</t>
      </text>
    </comment>
    <comment ref="E74" authorId="0" shapeId="0">
      <text>
        <t>Source: KRT detailed valuation report, 31 Mar 2026.
Ref: Detailed sec 13 (pdf p.254); Valuation Certificate sec 6; Value Summary sec 4 (pdf p.55-56)</t>
      </text>
    </comment>
    <comment ref="F74" authorId="0" shapeId="0">
      <text>
        <t>Source: KRT detailed valuation report, 31 Mar 2026.
Ref: Detailed sec 13 (pdf p.254); Valuation Certificate sec 6; Value Summary sec 4 (pdf p.55-56)</t>
      </text>
    </comment>
    <comment ref="G74" authorId="0" shapeId="0">
      <text>
        <t>Source: KRT detailed valuation report, 31 Mar 2026.
Ref: Detailed sec 13 (pdf p.254); Valuation Certificate sec 6; Value Summary sec 4 (pdf p.55-56)</t>
      </text>
    </comment>
    <comment ref="H74" authorId="0" shapeId="0">
      <text>
        <t>Source: KRT detailed valuation report, 31 Mar 2026.
Ref: Detailed sec 13 (pdf p.254); Valuation Certificate sec 6; Value Summary sec 4 (pdf p.55-56)</t>
      </text>
    </comment>
    <comment ref="I74" authorId="0" shapeId="0">
      <text>
        <t>Source: KRT detailed valuation report, 31 Mar 2026.
Ref: Detailed sec 13 (pdf p.254); Valuation Certificate sec 6; Value Summary sec 4 (pdf p.55-56)</t>
      </text>
    </comment>
    <comment ref="J74" authorId="0" shapeId="0">
      <text>
        <t>Source: KRT detailed valuation report, 31 Mar 2026.
Ref: Detailed sec 13 (pdf p.254); Valuation Certificate sec 6; Value Summary sec 4 (pdf p.55-56)</t>
      </text>
    </comment>
    <comment ref="L74" authorId="0" shapeId="0">
      <text>
        <t>Source: KRT detailed valuation report, 31 Mar 2026.
Ref: Detailed sec 13 (pdf p.254); Valuation Certificate sec 6; Value Summary sec 4 (pdf p.55-56)</t>
      </text>
    </comment>
    <comment ref="N74" authorId="0" shapeId="0">
      <text>
        <t>Source: KRT detailed valuation report, 31 Mar 2026.
Ref: Detailed sec 13 (pdf p.254); Valuation Certificate sec 6; Value Summary sec 4 (pdf p.55-56)</t>
      </text>
    </comment>
    <comment ref="O74" authorId="0" shapeId="0">
      <text>
        <t>Source: KRT detailed valuation report, 31 Mar 2026.
Ref: Detailed sec 13 (pdf p.254); Valuation Certificate sec 6; Value Summary sec 4 (pdf p.55-56)</t>
      </text>
    </comment>
    <comment ref="P74" authorId="0" shapeId="0">
      <text>
        <t>Computed = Market rent / In-place rent - 1</t>
      </text>
    </comment>
    <comment ref="Q74" authorId="0" shapeId="0">
      <text>
        <t>Source: KRT detailed valuation report, 31 Mar 2026.
Ref: Detailed sec 13 (pdf p.254); Valuation Certificate sec 6; Value Summary sec 4 (pdf p.55-56)</t>
      </text>
    </comment>
    <comment ref="S74" authorId="0" shapeId="0">
      <text>
        <t>Source: KRT detailed valuation report, 31 Mar 2026.
Ref: Detailed sec 13 (pdf p.254); Valuation Certificate sec 6; Value Summary sec 4 (pdf p.55-56)</t>
      </text>
    </comment>
    <comment ref="T74" authorId="0" shapeId="0">
      <text>
        <t>Source: KRT detailed valuation report, 31 Mar 2026.
Ref: Detailed sec 13 (pdf p.254); Valuation Certificate sec 6; Value Summary sec 4 (pdf p.55-56)</t>
      </text>
    </comment>
    <comment ref="U74" authorId="0" shapeId="0">
      <text>
        <t>Source: KRT detailed valuation report, 31 Mar 2026.
Ref: Detailed sec 13 (pdf p.254); Valuation Certificate sec 6; Value Summary sec 4 (pdf p.55-56)</t>
      </text>
    </comment>
    <comment ref="V74" authorId="0" shapeId="0">
      <text>
        <t>Computed = Market value / leasable sq ft</t>
      </text>
    </comment>
    <comment ref="W74" authorId="0" shapeId="0">
      <text>
        <t>Source: KRT detailed valuation report, 31 Mar 2026.
Ref: Detailed sec 13 (pdf p.254); Valuation Certificate sec 6; Value Summary sec 4 (pdf p.55-56)</t>
      </text>
    </comment>
    <comment ref="X74" authorId="0" shapeId="0">
      <text>
        <t>Source: KRT detailed valuation report, 31 Mar 2026.
Ref: Detailed sec 13 (pdf p.254); Valuation Certificate sec 6; Value Summary sec 4 (pdf p.55-56)</t>
      </text>
    </comment>
    <comment ref="Y74" authorId="0" shapeId="0">
      <text>
        <t>Source: KRT detailed valuation report, 31 Mar 2026.
Ref: Detailed sec 13 (pdf p.254); Valuation Certificate sec 6; Value Summary sec 4 (pdf p.55-56)</t>
      </text>
    </comment>
    <comment ref="A75" authorId="0" shapeId="0">
      <text>
        <t>Source: KRT detailed valuation report, 31 Mar 2026.
Ref: Detailed sec 14 (pdf p.270); Valuation Certificate sec 6; Value Summary sec 4 (pdf p.55-56)</t>
      </text>
    </comment>
    <comment ref="B75" authorId="0" shapeId="0">
      <text>
        <t>Source: KRT detailed valuation report, 31 Mar 2026.
Ref: Detailed sec 14 (pdf p.270); Valuation Certificate sec 6; Value Summary sec 4 (pdf p.55-56)</t>
      </text>
    </comment>
    <comment ref="C75" authorId="0" shapeId="0">
      <text>
        <t>Source: KRT detailed valuation report, 31 Mar 2026.
Ref: Detailed sec 14 (pdf p.270); Valuation Certificate sec 6; Value Summary sec 4 (pdf p.55-56)</t>
      </text>
    </comment>
    <comment ref="D75" authorId="0" shapeId="0">
      <text>
        <t>Source: KRT detailed valuation report, 31 Mar 2026.
Ref: Detailed sec 14 (pdf p.270); Valuation Certificate sec 6; Value Summary sec 4 (pdf p.55-56)</t>
      </text>
    </comment>
    <comment ref="E75" authorId="0" shapeId="0">
      <text>
        <t>Source: KRT detailed valuation report, 31 Mar 2026.
Ref: Detailed sec 14 (pdf p.270); Valuation Certificate sec 6; Value Summary sec 4 (pdf p.55-56)</t>
      </text>
    </comment>
    <comment ref="F75" authorId="0" shapeId="0">
      <text>
        <t>Source: KRT detailed valuation report, 31 Mar 2026.
Ref: Detailed sec 14 (pdf p.270); Valuation Certificate sec 6; Value Summary sec 4 (pdf p.55-56)</t>
      </text>
    </comment>
    <comment ref="G75" authorId="0" shapeId="0">
      <text>
        <t>Source: KRT detailed valuation report, 31 Mar 2026.
Ref: Detailed sec 14 (pdf p.270); Valuation Certificate sec 6; Value Summary sec 4 (pdf p.55-56)</t>
      </text>
    </comment>
    <comment ref="H75" authorId="0" shapeId="0">
      <text>
        <t>Source: KRT detailed valuation report, 31 Mar 2026.
Ref: Detailed sec 14 (pdf p.270); Valuation Certificate sec 6; Value Summary sec 4 (pdf p.55-56)</t>
      </text>
    </comment>
    <comment ref="I75" authorId="0" shapeId="0">
      <text>
        <t>Source: KRT detailed valuation report, 31 Mar 2026.
Ref: Detailed sec 14 (pdf p.270); Valuation Certificate sec 6; Value Summary sec 4 (pdf p.55-56)</t>
      </text>
    </comment>
    <comment ref="J75" authorId="0" shapeId="0">
      <text>
        <t>Source: KRT detailed valuation report, 31 Mar 2026.
Ref: Detailed sec 14 (pdf p.270); Valuation Certificate sec 6; Value Summary sec 4 (pdf p.55-56)</t>
      </text>
    </comment>
    <comment ref="L75" authorId="0" shapeId="0">
      <text>
        <t>Source: KRT detailed valuation report, 31 Mar 2026.
Ref: Detailed sec 14 (pdf p.270); Valuation Certificate sec 6; Value Summary sec 4 (pdf p.55-56)</t>
      </text>
    </comment>
    <comment ref="N75" authorId="0" shapeId="0">
      <text>
        <t>Source: KRT detailed valuation report, 31 Mar 2026.
Ref: Detailed sec 14 (pdf p.270); Valuation Certificate sec 6; Value Summary sec 4 (pdf p.55-56)</t>
      </text>
    </comment>
    <comment ref="O75" authorId="0" shapeId="0">
      <text>
        <t>Source: KRT detailed valuation report, 31 Mar 2026.
Ref: Detailed sec 14 (pdf p.270); Valuation Certificate sec 6; Value Summary sec 4 (pdf p.55-56)</t>
      </text>
    </comment>
    <comment ref="P75" authorId="0" shapeId="0">
      <text>
        <t>Computed = Market rent / In-place rent - 1</t>
      </text>
    </comment>
    <comment ref="Q75" authorId="0" shapeId="0">
      <text>
        <t>Source: KRT detailed valuation report, 31 Mar 2026.
Ref: Detailed sec 14 (pdf p.270); Valuation Certificate sec 6; Value Summary sec 4 (pdf p.55-56)</t>
      </text>
    </comment>
    <comment ref="S75" authorId="0" shapeId="0">
      <text>
        <t>Source: KRT detailed valuation report, 31 Mar 2026.
Ref: Detailed sec 14 (pdf p.270); Valuation Certificate sec 6; Value Summary sec 4 (pdf p.55-56)</t>
      </text>
    </comment>
    <comment ref="T75" authorId="0" shapeId="0">
      <text>
        <t>Source: KRT detailed valuation report, 31 Mar 2026.
Ref: Detailed sec 14 (pdf p.270); Valuation Certificate sec 6; Value Summary sec 4 (pdf p.55-56)</t>
      </text>
    </comment>
    <comment ref="U75" authorId="0" shapeId="0">
      <text>
        <t>Source: KRT detailed valuation report, 31 Mar 2026.
Ref: Detailed sec 14 (pdf p.270); Valuation Certificate sec 6; Value Summary sec 4 (pdf p.55-56)</t>
      </text>
    </comment>
    <comment ref="V75" authorId="0" shapeId="0">
      <text>
        <t>Computed = Market value / leasable sq ft</t>
      </text>
    </comment>
    <comment ref="W75" authorId="0" shapeId="0">
      <text>
        <t>Source: KRT detailed valuation report, 31 Mar 2026.
Ref: Detailed sec 14 (pdf p.270); Valuation Certificate sec 6; Value Summary sec 4 (pdf p.55-56)</t>
      </text>
    </comment>
    <comment ref="X75" authorId="0" shapeId="0">
      <text>
        <t>Source: KRT detailed valuation report, 31 Mar 2026.
Ref: Detailed sec 14 (pdf p.270); Valuation Certificate sec 6; Value Summary sec 4 (pdf p.55-56)</t>
      </text>
    </comment>
    <comment ref="Y75" authorId="0" shapeId="0">
      <text>
        <t>Source: KRT detailed valuation report, 31 Mar 2026.
Ref: Detailed sec 14 (pdf p.270); Valuation Certificate sec 6; Value Summary sec 4 (pdf p.55-56)</t>
      </text>
    </comment>
    <comment ref="A76" authorId="0" shapeId="0">
      <text>
        <t>Source: KRT detailed valuation report, 31 Mar 2026.
Ref: Detailed sec 15 (pdf p.286); Valuation Certificate sec 6; Value Summary sec 4 (pdf p.55-56)</t>
      </text>
    </comment>
    <comment ref="B76" authorId="0" shapeId="0">
      <text>
        <t>Source: KRT detailed valuation report, 31 Mar 2026.
Ref: Detailed sec 15 (pdf p.286); Valuation Certificate sec 6; Value Summary sec 4 (pdf p.55-56)</t>
      </text>
    </comment>
    <comment ref="C76" authorId="0" shapeId="0">
      <text>
        <t>Source: KRT detailed valuation report, 31 Mar 2026.
Ref: Detailed sec 15 (pdf p.286); Valuation Certificate sec 6; Value Summary sec 4 (pdf p.55-56)</t>
      </text>
    </comment>
    <comment ref="D76" authorId="0" shapeId="0">
      <text>
        <t>Source: KRT detailed valuation report, 31 Mar 2026.
Ref: Detailed sec 15 (pdf p.286); Valuation Certificate sec 6; Value Summary sec 4 (pdf p.55-56)</t>
      </text>
    </comment>
    <comment ref="E76" authorId="0" shapeId="0">
      <text>
        <t>Source: KRT detailed valuation report, 31 Mar 2026.
Ref: Detailed sec 15 (pdf p.286); Valuation Certificate sec 6; Value Summary sec 4 (pdf p.55-56)</t>
      </text>
    </comment>
    <comment ref="F76" authorId="0" shapeId="0">
      <text>
        <t>Source: KRT detailed valuation report, 31 Mar 2026.
Ref: Detailed sec 15 (pdf p.286); Valuation Certificate sec 6; Value Summary sec 4 (pdf p.55-56)</t>
      </text>
    </comment>
    <comment ref="G76" authorId="0" shapeId="0">
      <text>
        <t>Source: KRT detailed valuation report, 31 Mar 2026.
Ref: Detailed sec 15 (pdf p.286); Valuation Certificate sec 6; Value Summary sec 4 (pdf p.55-56)</t>
      </text>
    </comment>
    <comment ref="H76" authorId="0" shapeId="0">
      <text>
        <t>Source: KRT detailed valuation report, 31 Mar 2026.
Ref: Detailed sec 15 (pdf p.286); Valuation Certificate sec 6; Value Summary sec 4 (pdf p.55-56)</t>
      </text>
    </comment>
    <comment ref="I76" authorId="0" shapeId="0">
      <text>
        <t>Source: KRT detailed valuation report, 31 Mar 2026.
Ref: Detailed sec 15 (pdf p.286); Valuation Certificate sec 6; Value Summary sec 4 (pdf p.55-56)</t>
      </text>
    </comment>
    <comment ref="J76" authorId="0" shapeId="0">
      <text>
        <t>Source: KRT detailed valuation report, 31 Mar 2026.
Ref: Detailed sec 15 (pdf p.286); Valuation Certificate sec 6; Value Summary sec 4 (pdf p.55-56)</t>
      </text>
    </comment>
    <comment ref="L76" authorId="0" shapeId="0">
      <text>
        <t>Source: KRT detailed valuation report, 31 Mar 2026.
Ref: Detailed sec 15 (pdf p.286); Valuation Certificate sec 6; Value Summary sec 4 (pdf p.55-56)</t>
      </text>
    </comment>
    <comment ref="N76" authorId="0" shapeId="0">
      <text>
        <t>Source: KRT detailed valuation report, 31 Mar 2026.
Ref: Detailed sec 15 (pdf p.286); Valuation Certificate sec 6; Value Summary sec 4 (pdf p.55-56)</t>
      </text>
    </comment>
    <comment ref="O76" authorId="0" shapeId="0">
      <text>
        <t>Source: KRT detailed valuation report, 31 Mar 2026.
Ref: Detailed sec 15 (pdf p.286); Valuation Certificate sec 6; Value Summary sec 4 (pdf p.55-56)</t>
      </text>
    </comment>
    <comment ref="P76" authorId="0" shapeId="0">
      <text>
        <t>Computed = Market rent / In-place rent - 1</t>
      </text>
    </comment>
    <comment ref="Q76" authorId="0" shapeId="0">
      <text>
        <t>Source: KRT detailed valuation report, 31 Mar 2026.
Ref: Detailed sec 15 (pdf p.286); Valuation Certificate sec 6; Value Summary sec 4 (pdf p.55-56)</t>
      </text>
    </comment>
    <comment ref="S76" authorId="0" shapeId="0">
      <text>
        <t>Source: KRT detailed valuation report, 31 Mar 2026.
Ref: Detailed sec 15 (pdf p.286); Valuation Certificate sec 6; Value Summary sec 4 (pdf p.55-56)</t>
      </text>
    </comment>
    <comment ref="T76" authorId="0" shapeId="0">
      <text>
        <t>Source: KRT detailed valuation report, 31 Mar 2026.
Ref: Detailed sec 15 (pdf p.286); Valuation Certificate sec 6; Value Summary sec 4 (pdf p.55-56)</t>
      </text>
    </comment>
    <comment ref="U76" authorId="0" shapeId="0">
      <text>
        <t>Source: KRT detailed valuation report, 31 Mar 2026.
Ref: Detailed sec 15 (pdf p.286); Valuation Certificate sec 6; Value Summary sec 4 (pdf p.55-56)</t>
      </text>
    </comment>
    <comment ref="V76" authorId="0" shapeId="0">
      <text>
        <t>Computed = Market value / leasable sq ft</t>
      </text>
    </comment>
    <comment ref="W76" authorId="0" shapeId="0">
      <text>
        <t>Source: KRT detailed valuation report, 31 Mar 2026.
Ref: Detailed sec 15 (pdf p.286); Valuation Certificate sec 6; Value Summary sec 4 (pdf p.55-56)</t>
      </text>
    </comment>
    <comment ref="X76" authorId="0" shapeId="0">
      <text>
        <t>Source: KRT detailed valuation report, 31 Mar 2026.
Ref: Detailed sec 15 (pdf p.286); Valuation Certificate sec 6; Value Summary sec 4 (pdf p.55-56)</t>
      </text>
    </comment>
    <comment ref="Y76" authorId="0" shapeId="0">
      <text>
        <t>Source: KRT detailed valuation report, 31 Mar 2026.
Ref: Detailed sec 15 (pdf p.286); Valuation Certificate sec 6; Value Summary sec 4 (pdf p.55-56)</t>
      </text>
    </comment>
    <comment ref="A77" authorId="0" shapeId="0">
      <text>
        <t>Source: KRT detailed valuation report, 31 Mar 2026.
Ref: Detailed sec 16 (pdf p.305); Valuation Certificate sec 6; Value Summary sec 4 (pdf p.55-56)</t>
      </text>
    </comment>
    <comment ref="B77" authorId="0" shapeId="0">
      <text>
        <t>Source: KRT detailed valuation report, 31 Mar 2026.
Ref: Detailed sec 16 (pdf p.305); Valuation Certificate sec 6; Value Summary sec 4 (pdf p.55-56)</t>
      </text>
    </comment>
    <comment ref="C77" authorId="0" shapeId="0">
      <text>
        <t>Source: KRT detailed valuation report, 31 Mar 2026.
Ref: Detailed sec 16 (pdf p.305); Valuation Certificate sec 6; Value Summary sec 4 (pdf p.55-56)</t>
      </text>
    </comment>
    <comment ref="D77" authorId="0" shapeId="0">
      <text>
        <t>Source: KRT detailed valuation report, 31 Mar 2026.
Ref: Detailed sec 16 (pdf p.305); Valuation Certificate sec 6; Value Summary sec 4 (pdf p.55-56)</t>
      </text>
    </comment>
    <comment ref="E77" authorId="0" shapeId="0">
      <text>
        <t>Source: KRT detailed valuation report, 31 Mar 2026.
Ref: Detailed sec 16 (pdf p.305); Valuation Certificate sec 6; Value Summary sec 4 (pdf p.55-56)</t>
      </text>
    </comment>
    <comment ref="F77" authorId="0" shapeId="0">
      <text>
        <t>Source: KRT detailed valuation report, 31 Mar 2026.
Ref: Detailed sec 16 (pdf p.305); Valuation Certificate sec 6; Value Summary sec 4 (pdf p.55-56)</t>
      </text>
    </comment>
    <comment ref="G77" authorId="0" shapeId="0">
      <text>
        <t>Source: KRT detailed valuation report, 31 Mar 2026.
Ref: Detailed sec 16 (pdf p.305); Valuation Certificate sec 6; Value Summary sec 4 (pdf p.55-56)</t>
      </text>
    </comment>
    <comment ref="H77" authorId="0" shapeId="0">
      <text>
        <t>Source: KRT detailed valuation report, 31 Mar 2026.
Ref: Detailed sec 16 (pdf p.305); Valuation Certificate sec 6; Value Summary sec 4 (pdf p.55-56)</t>
      </text>
    </comment>
    <comment ref="I77" authorId="0" shapeId="0">
      <text>
        <t>Source: KRT detailed valuation report, 31 Mar 2026.
Ref: Detailed sec 16 (pdf p.305); Valuation Certificate sec 6; Value Summary sec 4 (pdf p.55-56)</t>
      </text>
    </comment>
    <comment ref="J77" authorId="0" shapeId="0">
      <text>
        <t>Source: KRT detailed valuation report, 31 Mar 2026.
Ref: Detailed sec 16 (pdf p.305); Valuation Certificate sec 6; Value Summary sec 4 (pdf p.55-56)</t>
      </text>
    </comment>
    <comment ref="L77" authorId="0" shapeId="0">
      <text>
        <t>Source: KRT detailed valuation report, 31 Mar 2026.
Ref: Detailed sec 16 (pdf p.305); Valuation Certificate sec 6; Value Summary sec 4 (pdf p.55-56)</t>
      </text>
    </comment>
    <comment ref="N77" authorId="0" shapeId="0">
      <text>
        <t>Source: KRT detailed valuation report, 31 Mar 2026.
Ref: Detailed sec 16 (pdf p.305); Valuation Certificate sec 6; Value Summary sec 4 (pdf p.55-56)</t>
      </text>
    </comment>
    <comment ref="O77" authorId="0" shapeId="0">
      <text>
        <t>Source: KRT detailed valuation report, 31 Mar 2026.
Ref: Detailed sec 16 (pdf p.305); Valuation Certificate sec 6; Value Summary sec 4 (pdf p.55-56)</t>
      </text>
    </comment>
    <comment ref="P77" authorId="0" shapeId="0">
      <text>
        <t>Computed = Market rent / In-place rent - 1</t>
      </text>
    </comment>
    <comment ref="Q77" authorId="0" shapeId="0">
      <text>
        <t>Source: KRT detailed valuation report, 31 Mar 2026.
Ref: Detailed sec 16 (pdf p.305); Valuation Certificate sec 6; Value Summary sec 4 (pdf p.55-56)</t>
      </text>
    </comment>
    <comment ref="S77" authorId="0" shapeId="0">
      <text>
        <t>Source: KRT detailed valuation report, 31 Mar 2026.
Ref: Detailed sec 16 (pdf p.305); Valuation Certificate sec 6; Value Summary sec 4 (pdf p.55-56)</t>
      </text>
    </comment>
    <comment ref="T77" authorId="0" shapeId="0">
      <text>
        <t>Source: KRT detailed valuation report, 31 Mar 2026.
Ref: Detailed sec 16 (pdf p.305); Valuation Certificate sec 6; Value Summary sec 4 (pdf p.55-56)</t>
      </text>
    </comment>
    <comment ref="U77" authorId="0" shapeId="0">
      <text>
        <t>Source: KRT detailed valuation report, 31 Mar 2026.
Ref: Detailed sec 16 (pdf p.305); Valuation Certificate sec 6; Value Summary sec 4 (pdf p.55-56)</t>
      </text>
    </comment>
    <comment ref="V77" authorId="0" shapeId="0">
      <text>
        <t>Computed = Market value / leasable sq ft</t>
      </text>
    </comment>
    <comment ref="W77" authorId="0" shapeId="0">
      <text>
        <t>Source: KRT detailed valuation report, 31 Mar 2026.
Ref: Detailed sec 16 (pdf p.305); Valuation Certificate sec 6; Value Summary sec 4 (pdf p.55-56)</t>
      </text>
    </comment>
    <comment ref="X77" authorId="0" shapeId="0">
      <text>
        <t>Source: KRT detailed valuation report, 31 Mar 2026.
Ref: Detailed sec 16 (pdf p.305); Valuation Certificate sec 6; Value Summary sec 4 (pdf p.55-56)</t>
      </text>
    </comment>
    <comment ref="Y77" authorId="0" shapeId="0">
      <text>
        <t>Source: KRT detailed valuation report, 31 Mar 2026.
Ref: Detailed sec 16 (pdf p.305); Valuation Certificate sec 6; Value Summary sec 4 (pdf p.55-56)</t>
      </text>
    </comment>
    <comment ref="A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B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C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D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E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F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G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H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L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O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P78" authorId="0" shapeId="0">
      <text>
        <t>Computed = Market rent / In-place rent - 1</t>
      </text>
    </comment>
    <comment ref="Q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S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T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U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V78" authorId="0" shapeId="0">
      <text>
        <t>Computed = Market value / leasable sq ft</t>
      </text>
    </comment>
    <comment ref="W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X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Y78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A79" authorId="0" shapeId="0">
      <text>
        <t>Source: KRT detailed valuation report, 31 Mar 2026.
Ref: Detailed sec 18 (pdf p.340); Valuation Certificate sec 6; Value Summary sec 4 (pdf p.55-56)</t>
      </text>
    </comment>
    <comment ref="B79" authorId="0" shapeId="0">
      <text>
        <t>Source: KRT detailed valuation report, 31 Mar 2026.
Ref: Detailed sec 18 (pdf p.340); Valuation Certificate sec 6; Value Summary sec 4 (pdf p.55-56)</t>
      </text>
    </comment>
    <comment ref="C79" authorId="0" shapeId="0">
      <text>
        <t>Source: KRT detailed valuation report, 31 Mar 2026.
Ref: Detailed sec 18 (pdf p.340); Valuation Certificate sec 6; Value Summary sec 4 (pdf p.55-56)</t>
      </text>
    </comment>
    <comment ref="D79" authorId="0" shapeId="0">
      <text>
        <t>Source: KRT detailed valuation report, 31 Mar 2026.
Ref: Detailed sec 18 (pdf p.340); Valuation Certificate sec 6; Value Summary sec 4 (pdf p.55-56)</t>
      </text>
    </comment>
    <comment ref="E79" authorId="0" shapeId="0">
      <text>
        <t>Source: KRT detailed valuation report, 31 Mar 2026.
Ref: Detailed sec 18 (pdf p.340); Valuation Certificate sec 6; Value Summary sec 4 (pdf p.55-56)</t>
      </text>
    </comment>
    <comment ref="F79" authorId="0" shapeId="0">
      <text>
        <t>Source: KRT detailed valuation report, 31 Mar 2026.
Ref: Detailed sec 18 (pdf p.340); Valuation Certificate sec 6; Value Summary sec 4 (pdf p.55-56)</t>
      </text>
    </comment>
    <comment ref="G79" authorId="0" shapeId="0">
      <text>
        <t>Source: KRT detailed valuation report, 31 Mar 2026.
Ref: Detailed sec 18 (pdf p.340); Valuation Certificate sec 6; Value Summary sec 4 (pdf p.55-56)</t>
      </text>
    </comment>
    <comment ref="H79" authorId="0" shapeId="0">
      <text>
        <t>Source: KRT detailed valuation report, 31 Mar 2026.
Ref: Detailed sec 18 (pdf p.340); Valuation Certificate sec 6; Value Summary sec 4 (pdf p.55-56)</t>
      </text>
    </comment>
    <comment ref="I79" authorId="0" shapeId="0">
      <text>
        <t>Source: KRT detailed valuation report, 31 Mar 2026.
Ref: Detailed sec 18 (pdf p.340); Valuation Certificate sec 6; Value Summary sec 4 (pdf p.55-56)</t>
      </text>
    </comment>
    <comment ref="J79" authorId="0" shapeId="0">
      <text>
        <t>Source: KRT detailed valuation report, 31 Mar 2026.
Ref: Detailed sec 18 (pdf p.340); Valuation Certificate sec 6; Value Summary sec 4 (pdf p.55-56)</t>
      </text>
    </comment>
    <comment ref="L79" authorId="0" shapeId="0">
      <text>
        <t>Source: KRT detailed valuation report, 31 Mar 2026.
Ref: Detailed sec 18 (pdf p.340); Valuation Certificate sec 6; Value Summary sec 4 (pdf p.55-56)</t>
      </text>
    </comment>
    <comment ref="N79" authorId="0" shapeId="0">
      <text>
        <t>Source: KRT detailed valuation report, 31 Mar 2026.
Ref: Detailed sec 18 (pdf p.340); Valuation Certificate sec 6; Value Summary sec 4 (pdf p.55-56)</t>
      </text>
    </comment>
    <comment ref="O79" authorId="0" shapeId="0">
      <text>
        <t>Source: KRT detailed valuation report, 31 Mar 2026.
Ref: Detailed sec 18 (pdf p.340); Valuation Certificate sec 6; Value Summary sec 4 (pdf p.55-56)</t>
      </text>
    </comment>
    <comment ref="P79" authorId="0" shapeId="0">
      <text>
        <t>Computed = Market rent / In-place rent - 1</t>
      </text>
    </comment>
    <comment ref="Q79" authorId="0" shapeId="0">
      <text>
        <t>Source: KRT detailed valuation report, 31 Mar 2026.
Ref: Detailed sec 18 (pdf p.340); Valuation Certificate sec 6; Value Summary sec 4 (pdf p.55-56)</t>
      </text>
    </comment>
    <comment ref="S79" authorId="0" shapeId="0">
      <text>
        <t>Source: KRT detailed valuation report, 31 Mar 2026.
Ref: Detailed sec 18 (pdf p.340); Valuation Certificate sec 6; Value Summary sec 4 (pdf p.55-56)</t>
      </text>
    </comment>
    <comment ref="T79" authorId="0" shapeId="0">
      <text>
        <t>Source: KRT detailed valuation report, 31 Mar 2026.
Ref: Detailed sec 18 (pdf p.340); Valuation Certificate sec 6; Value Summary sec 4 (pdf p.55-56)</t>
      </text>
    </comment>
    <comment ref="U79" authorId="0" shapeId="0">
      <text>
        <t>Source: KRT detailed valuation report, 31 Mar 2026.
Ref: Detailed sec 18 (pdf p.340); Valuation Certificate sec 6; Value Summary sec 4 (pdf p.55-56)</t>
      </text>
    </comment>
    <comment ref="V79" authorId="0" shapeId="0">
      <text>
        <t>Computed = Market value / leasable sq ft</t>
      </text>
    </comment>
    <comment ref="W79" authorId="0" shapeId="0">
      <text>
        <t>Source: KRT detailed valuation report, 31 Mar 2026.
Ref: Detailed sec 18 (pdf p.340); Valuation Certificate sec 6; Value Summary sec 4 (pdf p.55-56)</t>
      </text>
    </comment>
    <comment ref="X79" authorId="0" shapeId="0">
      <text>
        <t>Source: KRT detailed valuation report, 31 Mar 2026.
Ref: Detailed sec 18 (pdf p.340); Valuation Certificate sec 6; Value Summary sec 4 (pdf p.55-56)</t>
      </text>
    </comment>
    <comment ref="Y79" authorId="0" shapeId="0">
      <text>
        <t>Source: KRT detailed valuation report, 31 Mar 2026.
Ref: Detailed sec 18 (pdf p.340); Valuation Certificate sec 6; Value Summary sec 4 (pdf p.55-56)</t>
      </text>
    </comment>
    <comment ref="A80" authorId="0" shapeId="0">
      <text>
        <t>Source: KRT detailed valuation report, 31 Mar 2026.
Ref: Detailed sec 19 (pdf p.357); Valuation Certificate sec 6; Value Summary sec 4 (pdf p.55-56)</t>
      </text>
    </comment>
    <comment ref="B80" authorId="0" shapeId="0">
      <text>
        <t>Source: KRT detailed valuation report, 31 Mar 2026.
Ref: Detailed sec 19 (pdf p.357); Valuation Certificate sec 6; Value Summary sec 4 (pdf p.55-56)</t>
      </text>
    </comment>
    <comment ref="C80" authorId="0" shapeId="0">
      <text>
        <t>Source: KRT detailed valuation report, 31 Mar 2026.
Ref: Detailed sec 19 (pdf p.357); Valuation Certificate sec 6; Value Summary sec 4 (pdf p.55-56)</t>
      </text>
    </comment>
    <comment ref="D80" authorId="0" shapeId="0">
      <text>
        <t>Source: KRT detailed valuation report, 31 Mar 2026.
Ref: Detailed sec 19 (pdf p.357); Valuation Certificate sec 6; Value Summary sec 4 (pdf p.55-56)</t>
      </text>
    </comment>
    <comment ref="E80" authorId="0" shapeId="0">
      <text>
        <t>Source: KRT detailed valuation report, 31 Mar 2026.
Ref: Detailed sec 19 (pdf p.357); Valuation Certificate sec 6; Value Summary sec 4 (pdf p.55-56)</t>
      </text>
    </comment>
    <comment ref="F80" authorId="0" shapeId="0">
      <text>
        <t>Source: KRT detailed valuation report, 31 Mar 2026.
Ref: Detailed sec 19 (pdf p.357); Valuation Certificate sec 6; Value Summary sec 4 (pdf p.55-56)</t>
      </text>
    </comment>
    <comment ref="G80" authorId="0" shapeId="0">
      <text>
        <t>Source: KRT detailed valuation report, 31 Mar 2026.
Ref: Detailed sec 19 (pdf p.357); Valuation Certificate sec 6; Value Summary sec 4 (pdf p.55-56)</t>
      </text>
    </comment>
    <comment ref="H80" authorId="0" shapeId="0">
      <text>
        <t>Source: KRT detailed valuation report, 31 Mar 2026.
Ref: Detailed sec 19 (pdf p.357); Valuation Certificate sec 6; Value Summary sec 4 (pdf p.55-56)</t>
      </text>
    </comment>
    <comment ref="I80" authorId="0" shapeId="0">
      <text>
        <t>Source: KRT detailed valuation report, 31 Mar 2026.
Ref: Detailed sec 19 (pdf p.357); Valuation Certificate sec 6; Value Summary sec 4 (pdf p.55-56)</t>
      </text>
    </comment>
    <comment ref="J80" authorId="0" shapeId="0">
      <text>
        <t>Source: KRT detailed valuation report, 31 Mar 2026.
Ref: Detailed sec 19 (pdf p.357); Valuation Certificate sec 6; Value Summary sec 4 (pdf p.55-56)</t>
      </text>
    </comment>
    <comment ref="L80" authorId="0" shapeId="0">
      <text>
        <t>Source: KRT detailed valuation report, 31 Mar 2026.
Ref: Detailed sec 19 (pdf p.357); Valuation Certificate sec 6; Value Summary sec 4 (pdf p.55-56)</t>
      </text>
    </comment>
    <comment ref="N80" authorId="0" shapeId="0">
      <text>
        <t>Source: KRT detailed valuation report, 31 Mar 2026.
Ref: Detailed sec 19 (pdf p.357); Valuation Certificate sec 6; Value Summary sec 4 (pdf p.55-56)</t>
      </text>
    </comment>
    <comment ref="O80" authorId="0" shapeId="0">
      <text>
        <t>Source: KRT detailed valuation report, 31 Mar 2026.
Ref: Detailed sec 19 (pdf p.357); Valuation Certificate sec 6; Value Summary sec 4 (pdf p.55-56)</t>
      </text>
    </comment>
    <comment ref="P80" authorId="0" shapeId="0">
      <text>
        <t>Computed = Market rent / In-place rent - 1</t>
      </text>
    </comment>
    <comment ref="Q80" authorId="0" shapeId="0">
      <text>
        <t>Source: KRT detailed valuation report, 31 Mar 2026.
Ref: Detailed sec 19 (pdf p.357); Valuation Certificate sec 6; Value Summary sec 4 (pdf p.55-56)</t>
      </text>
    </comment>
    <comment ref="S80" authorId="0" shapeId="0">
      <text>
        <t>Source: KRT detailed valuation report, 31 Mar 2026.
Ref: Detailed sec 19 (pdf p.357); Valuation Certificate sec 6; Value Summary sec 4 (pdf p.55-56)</t>
      </text>
    </comment>
    <comment ref="T80" authorId="0" shapeId="0">
      <text>
        <t>Source: KRT detailed valuation report, 31 Mar 2026.
Ref: Detailed sec 19 (pdf p.357); Valuation Certificate sec 6; Value Summary sec 4 (pdf p.55-56)</t>
      </text>
    </comment>
    <comment ref="U80" authorId="0" shapeId="0">
      <text>
        <t>Source: KRT detailed valuation report, 31 Mar 2026.
Ref: Detailed sec 19 (pdf p.357); Valuation Certificate sec 6; Value Summary sec 4 (pdf p.55-56)</t>
      </text>
    </comment>
    <comment ref="V80" authorId="0" shapeId="0">
      <text>
        <t>Computed = Market value / leasable sq ft</t>
      </text>
    </comment>
    <comment ref="W80" authorId="0" shapeId="0">
      <text>
        <t>Source: KRT detailed valuation report, 31 Mar 2026.
Ref: Detailed sec 19 (pdf p.357); Valuation Certificate sec 6; Value Summary sec 4 (pdf p.55-56)</t>
      </text>
    </comment>
    <comment ref="X80" authorId="0" shapeId="0">
      <text>
        <t>Source: KRT detailed valuation report, 31 Mar 2026.
Ref: Detailed sec 19 (pdf p.357); Valuation Certificate sec 6; Value Summary sec 4 (pdf p.55-56)</t>
      </text>
    </comment>
    <comment ref="Y80" authorId="0" shapeId="0">
      <text>
        <t>Source: KRT detailed valuation report, 31 Mar 2026.
Ref: Detailed sec 19 (pdf p.357); Valuation Certificate sec 6; Value Summary sec 4 (pdf p.55-56)</t>
      </text>
    </comment>
    <comment ref="A81" authorId="0" shapeId="0">
      <text>
        <t>Source: KRT detailed valuation report, 31 Mar 2026.
Ref: Detailed sec 20 (pdf p.373); Valuation Certificate sec 6; Value Summary sec 4 (pdf p.55-56)</t>
      </text>
    </comment>
    <comment ref="B81" authorId="0" shapeId="0">
      <text>
        <t>Source: KRT detailed valuation report, 31 Mar 2026.
Ref: Detailed sec 20 (pdf p.373); Valuation Certificate sec 6; Value Summary sec 4 (pdf p.55-56)</t>
      </text>
    </comment>
    <comment ref="C81" authorId="0" shapeId="0">
      <text>
        <t>Source: KRT detailed valuation report, 31 Mar 2026.
Ref: Detailed sec 20 (pdf p.373); Valuation Certificate sec 6; Value Summary sec 4 (pdf p.55-56)</t>
      </text>
    </comment>
    <comment ref="D81" authorId="0" shapeId="0">
      <text>
        <t>Source: KRT detailed valuation report, 31 Mar 2026.
Ref: Detailed sec 20 (pdf p.373); Valuation Certificate sec 6; Value Summary sec 4 (pdf p.55-56)</t>
      </text>
    </comment>
    <comment ref="E81" authorId="0" shapeId="0">
      <text>
        <t>Source: KRT detailed valuation report, 31 Mar 2026.
Ref: Detailed sec 20 (pdf p.373); Valuation Certificate sec 6; Value Summary sec 4 (pdf p.55-56)</t>
      </text>
    </comment>
    <comment ref="F81" authorId="0" shapeId="0">
      <text>
        <t>Source: KRT detailed valuation report, 31 Mar 2026.
Ref: Detailed sec 20 (pdf p.373); Valuation Certificate sec 6; Value Summary sec 4 (pdf p.55-56)</t>
      </text>
    </comment>
    <comment ref="G81" authorId="0" shapeId="0">
      <text>
        <t>Source: KRT detailed valuation report, 31 Mar 2026.
Ref: Detailed sec 20 (pdf p.373); Valuation Certificate sec 6; Value Summary sec 4 (pdf p.55-56)</t>
      </text>
    </comment>
    <comment ref="H81" authorId="0" shapeId="0">
      <text>
        <t>Source: KRT detailed valuation report, 31 Mar 2026.
Ref: Detailed sec 20 (pdf p.373); Valuation Certificate sec 6; Value Summary sec 4 (pdf p.55-56)</t>
      </text>
    </comment>
    <comment ref="I81" authorId="0" shapeId="0">
      <text>
        <t>Source: KRT detailed valuation report, 31 Mar 2026.
Ref: Detailed sec 20 (pdf p.373); Valuation Certificate sec 6; Value Summary sec 4 (pdf p.55-56)</t>
      </text>
    </comment>
    <comment ref="J81" authorId="0" shapeId="0">
      <text>
        <t>Source: KRT detailed valuation report, 31 Mar 2026.
Ref: Detailed sec 20 (pdf p.373); Valuation Certificate sec 6; Value Summary sec 4 (pdf p.55-56)</t>
      </text>
    </comment>
    <comment ref="N81" authorId="0" shapeId="0">
      <text>
        <t>Source: KRT detailed valuation report, 31 Mar 2026.
Ref: Detailed sec 20 (pdf p.373); Valuation Certificate sec 6; Value Summary sec 4 (pdf p.55-56)</t>
      </text>
    </comment>
    <comment ref="O81" authorId="0" shapeId="0">
      <text>
        <t>Source: KRT detailed valuation report, 31 Mar 2026.
Ref: Detailed sec 20 (pdf p.373); Valuation Certificate sec 6; Value Summary sec 4 (pdf p.55-56)</t>
      </text>
    </comment>
    <comment ref="P81" authorId="0" shapeId="0">
      <text>
        <t>Computed = Market rent / In-place rent - 1</t>
      </text>
    </comment>
    <comment ref="Q81" authorId="0" shapeId="0">
      <text>
        <t>Source: KRT detailed valuation report, 31 Mar 2026.
Ref: Detailed sec 20 (pdf p.373); Valuation Certificate sec 6; Value Summary sec 4 (pdf p.55-56)</t>
      </text>
    </comment>
    <comment ref="S81" authorId="0" shapeId="0">
      <text>
        <t>Source: KRT detailed valuation report, 31 Mar 2026.
Ref: Detailed sec 20 (pdf p.373); Valuation Certificate sec 6; Value Summary sec 4 (pdf p.55-56)</t>
      </text>
    </comment>
    <comment ref="T81" authorId="0" shapeId="0">
      <text>
        <t>Source: KRT detailed valuation report, 31 Mar 2026.
Ref: Detailed sec 20 (pdf p.373); Valuation Certificate sec 6; Value Summary sec 4 (pdf p.55-56)</t>
      </text>
    </comment>
    <comment ref="U81" authorId="0" shapeId="0">
      <text>
        <t>Source: KRT detailed valuation report, 31 Mar 2026.
Ref: Detailed sec 20 (pdf p.373); Valuation Certificate sec 6; Value Summary sec 4 (pdf p.55-56)</t>
      </text>
    </comment>
    <comment ref="V81" authorId="0" shapeId="0">
      <text>
        <t>Computed = Market value / leasable sq ft</t>
      </text>
    </comment>
    <comment ref="W81" authorId="0" shapeId="0">
      <text>
        <t>Source: KRT detailed valuation report, 31 Mar 2026.
Ref: Detailed sec 20 (pdf p.373); Valuation Certificate sec 6; Value Summary sec 4 (pdf p.55-56)</t>
      </text>
    </comment>
    <comment ref="X81" authorId="0" shapeId="0">
      <text>
        <t>Source: KRT detailed valuation report, 31 Mar 2026.
Ref: Detailed sec 20 (pdf p.373); Valuation Certificate sec 6; Value Summary sec 4 (pdf p.55-56)</t>
      </text>
    </comment>
    <comment ref="Y81" authorId="0" shapeId="0">
      <text>
        <t>Source: KRT detailed valuation report, 31 Mar 2026.
Ref: Detailed sec 20 (pdf p.373); Valuation Certificate sec 6; Value Summary sec 4 (pdf p.55-56)</t>
      </text>
    </comment>
    <comment ref="A82" authorId="0" shapeId="0">
      <text>
        <t>Source: KRT detailed valuation report, 31 Mar 2026.
Ref: Detailed sec 21 (pdf p.389); Valuation Certificate sec 6; Value Summary sec 4 (pdf p.55-56)</t>
      </text>
    </comment>
    <comment ref="B82" authorId="0" shapeId="0">
      <text>
        <t>Source: KRT detailed valuation report, 31 Mar 2026.
Ref: Detailed sec 21 (pdf p.389); Valuation Certificate sec 6; Value Summary sec 4 (pdf p.55-56)</t>
      </text>
    </comment>
    <comment ref="C82" authorId="0" shapeId="0">
      <text>
        <t>Source: KRT detailed valuation report, 31 Mar 2026.
Ref: Detailed sec 21 (pdf p.389); Valuation Certificate sec 6; Value Summary sec 4 (pdf p.55-56)</t>
      </text>
    </comment>
    <comment ref="D82" authorId="0" shapeId="0">
      <text>
        <t>Source: KRT detailed valuation report, 31 Mar 2026.
Ref: Detailed sec 21 (pdf p.389); Valuation Certificate sec 6; Value Summary sec 4 (pdf p.55-56)</t>
      </text>
    </comment>
    <comment ref="E82" authorId="0" shapeId="0">
      <text>
        <t>Source: KRT detailed valuation report, 31 Mar 2026.
Ref: Detailed sec 21 (pdf p.389); Valuation Certificate sec 6; Value Summary sec 4 (pdf p.55-56)</t>
      </text>
    </comment>
    <comment ref="F82" authorId="0" shapeId="0">
      <text>
        <t>Source: KRT detailed valuation report, 31 Mar 2026.
Ref: Detailed sec 21 (pdf p.389); Valuation Certificate sec 6; Value Summary sec 4 (pdf p.55-56)</t>
      </text>
    </comment>
    <comment ref="G82" authorId="0" shapeId="0">
      <text>
        <t>Source: KRT detailed valuation report, 31 Mar 2026.
Ref: Detailed sec 21 (pdf p.389); Valuation Certificate sec 6; Value Summary sec 4 (pdf p.55-56)</t>
      </text>
    </comment>
    <comment ref="H82" authorId="0" shapeId="0">
      <text>
        <t>Source: KRT detailed valuation report, 31 Mar 2026.
Ref: Detailed sec 21 (pdf p.389); Valuation Certificate sec 6; Value Summary sec 4 (pdf p.55-56)</t>
      </text>
    </comment>
    <comment ref="I82" authorId="0" shapeId="0">
      <text>
        <t>Source: KRT detailed valuation report, 31 Mar 2026.
Ref: Detailed sec 21 (pdf p.389); Valuation Certificate sec 6; Value Summary sec 4 (pdf p.55-56)</t>
      </text>
    </comment>
    <comment ref="J82" authorId="0" shapeId="0">
      <text>
        <t>Source: KRT detailed valuation report, 31 Mar 2026.
Ref: Detailed sec 21 (pdf p.389); Valuation Certificate sec 6; Value Summary sec 4 (pdf p.55-56)</t>
      </text>
    </comment>
    <comment ref="N82" authorId="0" shapeId="0">
      <text>
        <t>Source: KRT detailed valuation report, 31 Mar 2026.
Ref: Detailed sec 21 (pdf p.389); Valuation Certificate sec 6; Value Summary sec 4 (pdf p.55-56)</t>
      </text>
    </comment>
    <comment ref="O82" authorId="0" shapeId="0">
      <text>
        <t>Source: KRT detailed valuation report, 31 Mar 2026.
Ref: Detailed sec 21 (pdf p.389); Valuation Certificate sec 6; Value Summary sec 4 (pdf p.55-56)</t>
      </text>
    </comment>
    <comment ref="P82" authorId="0" shapeId="0">
      <text>
        <t>Computed = Market rent / In-place rent - 1</t>
      </text>
    </comment>
    <comment ref="Q82" authorId="0" shapeId="0">
      <text>
        <t>Source: KRT detailed valuation report, 31 Mar 2026.
Ref: Detailed sec 21 (pdf p.389); Valuation Certificate sec 6; Value Summary sec 4 (pdf p.55-56)</t>
      </text>
    </comment>
    <comment ref="S82" authorId="0" shapeId="0">
      <text>
        <t>Source: KRT detailed valuation report, 31 Mar 2026.
Ref: Detailed sec 21 (pdf p.389); Valuation Certificate sec 6; Value Summary sec 4 (pdf p.55-56)</t>
      </text>
    </comment>
    <comment ref="T82" authorId="0" shapeId="0">
      <text>
        <t>Source: KRT detailed valuation report, 31 Mar 2026.
Ref: Detailed sec 21 (pdf p.389); Valuation Certificate sec 6; Value Summary sec 4 (pdf p.55-56)</t>
      </text>
    </comment>
    <comment ref="U82" authorId="0" shapeId="0">
      <text>
        <t>Source: KRT detailed valuation report, 31 Mar 2026.
Ref: Detailed sec 21 (pdf p.389); Valuation Certificate sec 6; Value Summary sec 4 (pdf p.55-56)</t>
      </text>
    </comment>
    <comment ref="V82" authorId="0" shapeId="0">
      <text>
        <t>Computed = Market value / leasable sq ft</t>
      </text>
    </comment>
    <comment ref="W82" authorId="0" shapeId="0">
      <text>
        <t>Source: KRT detailed valuation report, 31 Mar 2026.
Ref: Detailed sec 21 (pdf p.389); Valuation Certificate sec 6; Value Summary sec 4 (pdf p.55-56)</t>
      </text>
    </comment>
    <comment ref="X82" authorId="0" shapeId="0">
      <text>
        <t>Source: KRT detailed valuation report, 31 Mar 2026.
Ref: Detailed sec 21 (pdf p.389); Valuation Certificate sec 6; Value Summary sec 4 (pdf p.55-56)</t>
      </text>
    </comment>
    <comment ref="Y82" authorId="0" shapeId="0">
      <text>
        <t>Source: KRT detailed valuation report, 31 Mar 2026.
Ref: Detailed sec 21 (pdf p.389); Valuation Certificate sec 6; Value Summary sec 4 (pdf p.55-56)</t>
      </text>
    </comment>
    <comment ref="A83" authorId="0" shapeId="0">
      <text>
        <t>Source: KRT detailed valuation report, 31 Mar 2026.
Ref: Detailed sec 22 (pdf p.403); Valuation Certificate sec 6; Value Summary sec 4 (pdf p.55-56)</t>
      </text>
    </comment>
    <comment ref="B83" authorId="0" shapeId="0">
      <text>
        <t>Source: KRT detailed valuation report, 31 Mar 2026.
Ref: Detailed sec 22 (pdf p.403); Valuation Certificate sec 6; Value Summary sec 4 (pdf p.55-56)</t>
      </text>
    </comment>
    <comment ref="C83" authorId="0" shapeId="0">
      <text>
        <t>Source: KRT detailed valuation report, 31 Mar 2026.
Ref: Detailed sec 22 (pdf p.403); Valuation Certificate sec 6; Value Summary sec 4 (pdf p.55-56)</t>
      </text>
    </comment>
    <comment ref="D83" authorId="0" shapeId="0">
      <text>
        <t>Source: KRT detailed valuation report, 31 Mar 2026.
Ref: Detailed sec 22 (pdf p.403); Valuation Certificate sec 6; Value Summary sec 4 (pdf p.55-56)</t>
      </text>
    </comment>
    <comment ref="E83" authorId="0" shapeId="0">
      <text>
        <t>Source: KRT detailed valuation report, 31 Mar 2026.
Ref: Detailed sec 22 (pdf p.403); Valuation Certificate sec 6; Value Summary sec 4 (pdf p.55-56)</t>
      </text>
    </comment>
    <comment ref="F83" authorId="0" shapeId="0">
      <text>
        <t>Source: KRT detailed valuation report, 31 Mar 2026.
Ref: Detailed sec 22 (pdf p.403); Valuation Certificate sec 6; Value Summary sec 4 (pdf p.55-56)</t>
      </text>
    </comment>
    <comment ref="G83" authorId="0" shapeId="0">
      <text>
        <t>Source: KRT detailed valuation report, 31 Mar 2026.
Ref: Detailed sec 22 (pdf p.403); Valuation Certificate sec 6; Value Summary sec 4 (pdf p.55-56)</t>
      </text>
    </comment>
    <comment ref="H83" authorId="0" shapeId="0">
      <text>
        <t>Source: KRT detailed valuation report, 31 Mar 2026.
Ref: Detailed sec 22 (pdf p.403); Valuation Certificate sec 6; Value Summary sec 4 (pdf p.55-56)</t>
      </text>
    </comment>
    <comment ref="I83" authorId="0" shapeId="0">
      <text>
        <t>Source: KRT detailed valuation report, 31 Mar 2026.
Ref: Detailed sec 22 (pdf p.403); Valuation Certificate sec 6; Value Summary sec 4 (pdf p.55-56)</t>
      </text>
    </comment>
    <comment ref="J83" authorId="0" shapeId="0">
      <text>
        <t>Source: KRT detailed valuation report, 31 Mar 2026.
Ref: Detailed sec 22 (pdf p.403); Valuation Certificate sec 6; Value Summary sec 4 (pdf p.55-56)</t>
      </text>
    </comment>
    <comment ref="N83" authorId="0" shapeId="0">
      <text>
        <t>Source: KRT detailed valuation report, 31 Mar 2026.
Ref: Detailed sec 22 (pdf p.403); Valuation Certificate sec 6; Value Summary sec 4 (pdf p.55-56)</t>
      </text>
    </comment>
    <comment ref="O83" authorId="0" shapeId="0">
      <text>
        <t>Source: KRT detailed valuation report, 31 Mar 2026.
Ref: Detailed sec 22 (pdf p.403); Valuation Certificate sec 6; Value Summary sec 4 (pdf p.55-56)</t>
      </text>
    </comment>
    <comment ref="P83" authorId="0" shapeId="0">
      <text>
        <t>Computed = Market rent / In-place rent - 1</t>
      </text>
    </comment>
    <comment ref="Q83" authorId="0" shapeId="0">
      <text>
        <t>Source: KRT detailed valuation report, 31 Mar 2026.
Ref: Detailed sec 22 (pdf p.403); Valuation Certificate sec 6; Value Summary sec 4 (pdf p.55-56)</t>
      </text>
    </comment>
    <comment ref="S83" authorId="0" shapeId="0">
      <text>
        <t>Source: KRT detailed valuation report, 31 Mar 2026.
Ref: Detailed sec 22 (pdf p.403); Valuation Certificate sec 6; Value Summary sec 4 (pdf p.55-56)</t>
      </text>
    </comment>
    <comment ref="T83" authorId="0" shapeId="0">
      <text>
        <t>Source: KRT detailed valuation report, 31 Mar 2026.
Ref: Detailed sec 22 (pdf p.403); Valuation Certificate sec 6; Value Summary sec 4 (pdf p.55-56)</t>
      </text>
    </comment>
    <comment ref="U83" authorId="0" shapeId="0">
      <text>
        <t>Source: KRT detailed valuation report, 31 Mar 2026.
Ref: Detailed sec 22 (pdf p.403); Valuation Certificate sec 6; Value Summary sec 4 (pdf p.55-56)</t>
      </text>
    </comment>
    <comment ref="V83" authorId="0" shapeId="0">
      <text>
        <t>Computed = Market value / leasable sq ft</t>
      </text>
    </comment>
    <comment ref="W83" authorId="0" shapeId="0">
      <text>
        <t>Source: KRT detailed valuation report, 31 Mar 2026.
Ref: Detailed sec 22 (pdf p.403); Valuation Certificate sec 6; Value Summary sec 4 (pdf p.55-56)</t>
      </text>
    </comment>
    <comment ref="X83" authorId="0" shapeId="0">
      <text>
        <t>Source: KRT detailed valuation report, 31 Mar 2026.
Ref: Detailed sec 22 (pdf p.403); Valuation Certificate sec 6; Value Summary sec 4 (pdf p.55-56)</t>
      </text>
    </comment>
    <comment ref="Y83" authorId="0" shapeId="0">
      <text>
        <t>Source: KRT detailed valuation report, 31 Mar 2026.
Ref: Detailed sec 22 (pdf p.403); Valuation Certificate sec 6; Value Summary sec 4 (pdf p.55-56)</t>
      </text>
    </comment>
    <comment ref="A84" authorId="0" shapeId="0">
      <text>
        <t>Source: KRT detailed valuation report, 31 Mar 2026.
Ref: Detailed sec 23 (pdf p.416); Valuation Certificate sec 6; Value Summary sec 4 (pdf p.55-56)</t>
      </text>
    </comment>
    <comment ref="B84" authorId="0" shapeId="0">
      <text>
        <t>Source: KRT detailed valuation report, 31 Mar 2026.
Ref: Detailed sec 23 (pdf p.416); Valuation Certificate sec 6; Value Summary sec 4 (pdf p.55-56)</t>
      </text>
    </comment>
    <comment ref="C84" authorId="0" shapeId="0">
      <text>
        <t>Source: KRT detailed valuation report, 31 Mar 2026.
Ref: Detailed sec 23 (pdf p.416); Valuation Certificate sec 6; Value Summary sec 4 (pdf p.55-56)</t>
      </text>
    </comment>
    <comment ref="D84" authorId="0" shapeId="0">
      <text>
        <t>Source: KRT detailed valuation report, 31 Mar 2026.
Ref: Detailed sec 23 (pdf p.416); Valuation Certificate sec 6; Value Summary sec 4 (pdf p.55-56)</t>
      </text>
    </comment>
    <comment ref="E84" authorId="0" shapeId="0">
      <text>
        <t>Source: KRT detailed valuation report, 31 Mar 2026.
Ref: Detailed sec 23 (pdf p.416); Valuation Certificate sec 6; Value Summary sec 4 (pdf p.55-56)</t>
      </text>
    </comment>
    <comment ref="F84" authorId="0" shapeId="0">
      <text>
        <t>Source: KRT detailed valuation report, 31 Mar 2026.
Ref: Detailed sec 23 (pdf p.416); Valuation Certificate sec 6; Value Summary sec 4 (pdf p.55-56)</t>
      </text>
    </comment>
    <comment ref="G84" authorId="0" shapeId="0">
      <text>
        <t>Source: KRT detailed valuation report, 31 Mar 2026.
Ref: Detailed sec 23 (pdf p.416); Valuation Certificate sec 6; Value Summary sec 4 (pdf p.55-56)</t>
      </text>
    </comment>
    <comment ref="H84" authorId="0" shapeId="0">
      <text>
        <t>Source: KRT detailed valuation report, 31 Mar 2026.
Ref: Detailed sec 23 (pdf p.416); Valuation Certificate sec 6; Value Summary sec 4 (pdf p.55-56)</t>
      </text>
    </comment>
    <comment ref="I84" authorId="0" shapeId="0">
      <text>
        <t>Source: KRT detailed valuation report, 31 Mar 2026.
Ref: Detailed sec 23 (pdf p.416); Valuation Certificate sec 6; Value Summary sec 4 (pdf p.55-56)</t>
      </text>
    </comment>
    <comment ref="J84" authorId="0" shapeId="0">
      <text>
        <t>Source: KRT detailed valuation report, 31 Mar 2026.
Ref: Detailed sec 23 (pdf p.416); Valuation Certificate sec 6; Value Summary sec 4 (pdf p.55-56)</t>
      </text>
    </comment>
    <comment ref="L84" authorId="0" shapeId="0">
      <text>
        <t>Source: KRT detailed valuation report, 31 Mar 2026.
Ref: Detailed sec 23 (pdf p.416); Valuation Certificate sec 6; Value Summary sec 4 (pdf p.55-56)</t>
      </text>
    </comment>
    <comment ref="N84" authorId="0" shapeId="0">
      <text>
        <t>Source: KRT detailed valuation report, 31 Mar 2026.
Ref: Detailed sec 23 (pdf p.416); Valuation Certificate sec 6; Value Summary sec 4 (pdf p.55-56)</t>
      </text>
    </comment>
    <comment ref="O84" authorId="0" shapeId="0">
      <text>
        <t>Source: KRT detailed valuation report, 31 Mar 2026.
Ref: Detailed sec 23 (pdf p.416); Valuation Certificate sec 6; Value Summary sec 4 (pdf p.55-56)</t>
      </text>
    </comment>
    <comment ref="P84" authorId="0" shapeId="0">
      <text>
        <t>Computed = Market rent / In-place rent - 1</t>
      </text>
    </comment>
    <comment ref="Q84" authorId="0" shapeId="0">
      <text>
        <t>Source: KRT detailed valuation report, 31 Mar 2026.
Ref: Detailed sec 23 (pdf p.416); Valuation Certificate sec 6; Value Summary sec 4 (pdf p.55-56)</t>
      </text>
    </comment>
    <comment ref="S84" authorId="0" shapeId="0">
      <text>
        <t>Source: KRT detailed valuation report, 31 Mar 2026.
Ref: Detailed sec 23 (pdf p.416); Valuation Certificate sec 6; Value Summary sec 4 (pdf p.55-56)</t>
      </text>
    </comment>
    <comment ref="T84" authorId="0" shapeId="0">
      <text>
        <t>Source: KRT detailed valuation report, 31 Mar 2026.
Ref: Detailed sec 23 (pdf p.416); Valuation Certificate sec 6; Value Summary sec 4 (pdf p.55-56)</t>
      </text>
    </comment>
    <comment ref="U84" authorId="0" shapeId="0">
      <text>
        <t>Source: KRT detailed valuation report, 31 Mar 2026.
Ref: Detailed sec 23 (pdf p.416); Valuation Certificate sec 6; Value Summary sec 4 (pdf p.55-56)</t>
      </text>
    </comment>
    <comment ref="V84" authorId="0" shapeId="0">
      <text>
        <t>Computed = Market value / leasable sq ft</t>
      </text>
    </comment>
    <comment ref="W84" authorId="0" shapeId="0">
      <text>
        <t>Source: KRT detailed valuation report, 31 Mar 2026.
Ref: Detailed sec 23 (pdf p.416); Valuation Certificate sec 6; Value Summary sec 4 (pdf p.55-56)</t>
      </text>
    </comment>
    <comment ref="X84" authorId="0" shapeId="0">
      <text>
        <t>Source: KRT detailed valuation report, 31 Mar 2026.
Ref: Detailed sec 23 (pdf p.416); Valuation Certificate sec 6; Value Summary sec 4 (pdf p.55-56)</t>
      </text>
    </comment>
    <comment ref="Y84" authorId="0" shapeId="0">
      <text>
        <t>Source: KRT detailed valuation report, 31 Mar 2026.
Ref: Detailed sec 23 (pdf p.416); Valuation Certificate sec 6; Value Summary sec 4 (pdf p.55-56)</t>
      </text>
    </comment>
    <comment ref="A85" authorId="0" shapeId="0">
      <text>
        <t>Source: KRT detailed valuation report, 31 Mar 2026.
Ref: Detailed sec 24 (pdf p.432); Valuation Certificate sec 6; Value Summary sec 4 (pdf p.55-56)</t>
      </text>
    </comment>
    <comment ref="B85" authorId="0" shapeId="0">
      <text>
        <t>Source: KRT detailed valuation report, 31 Mar 2026.
Ref: Detailed sec 24 (pdf p.432); Valuation Certificate sec 6; Value Summary sec 4 (pdf p.55-56)</t>
      </text>
    </comment>
    <comment ref="C85" authorId="0" shapeId="0">
      <text>
        <t>Source: KRT detailed valuation report, 31 Mar 2026.
Ref: Detailed sec 24 (pdf p.432); Valuation Certificate sec 6; Value Summary sec 4 (pdf p.55-56)</t>
      </text>
    </comment>
    <comment ref="D85" authorId="0" shapeId="0">
      <text>
        <t>Source: KRT detailed valuation report, 31 Mar 2026.
Ref: Detailed sec 24 (pdf p.432); Valuation Certificate sec 6; Value Summary sec 4 (pdf p.55-56)</t>
      </text>
    </comment>
    <comment ref="E85" authorId="0" shapeId="0">
      <text>
        <t>Source: KRT detailed valuation report, 31 Mar 2026.
Ref: Detailed sec 24 (pdf p.432); Valuation Certificate sec 6; Value Summary sec 4 (pdf p.55-56)</t>
      </text>
    </comment>
    <comment ref="F85" authorId="0" shapeId="0">
      <text>
        <t>Source: KRT detailed valuation report, 31 Mar 2026.
Ref: Detailed sec 24 (pdf p.432); Valuation Certificate sec 6; Value Summary sec 4 (pdf p.55-56)</t>
      </text>
    </comment>
    <comment ref="G85" authorId="0" shapeId="0">
      <text>
        <t>Source: KRT detailed valuation report, 31 Mar 2026.
Ref: Detailed sec 24 (pdf p.432); Valuation Certificate sec 6; Value Summary sec 4 (pdf p.55-56)</t>
      </text>
    </comment>
    <comment ref="H85" authorId="0" shapeId="0">
      <text>
        <t>Source: KRT detailed valuation report, 31 Mar 2026.
Ref: Detailed sec 24 (pdf p.432); Valuation Certificate sec 6; Value Summary sec 4 (pdf p.55-56)</t>
      </text>
    </comment>
    <comment ref="I85" authorId="0" shapeId="0">
      <text>
        <t>Source: KRT detailed valuation report, 31 Mar 2026.
Ref: Detailed sec 24 (pdf p.432); Valuation Certificate sec 6; Value Summary sec 4 (pdf p.55-56)</t>
      </text>
    </comment>
    <comment ref="J85" authorId="0" shapeId="0">
      <text>
        <t>Source: KRT detailed valuation report, 31 Mar 2026.
Ref: Detailed sec 24 (pdf p.432); Valuation Certificate sec 6; Value Summary sec 4 (pdf p.55-56)</t>
      </text>
    </comment>
    <comment ref="L85" authorId="0" shapeId="0">
      <text>
        <t>Source: KRT detailed valuation report, 31 Mar 2026.
Ref: Detailed sec 24 (pdf p.432); Valuation Certificate sec 6; Value Summary sec 4 (pdf p.55-56)</t>
      </text>
    </comment>
    <comment ref="N85" authorId="0" shapeId="0">
      <text>
        <t>Source: KRT detailed valuation report, 31 Mar 2026.
Ref: Detailed sec 24 (pdf p.432); Valuation Certificate sec 6; Value Summary sec 4 (pdf p.55-56)</t>
      </text>
    </comment>
    <comment ref="O85" authorId="0" shapeId="0">
      <text>
        <t>Source: KRT detailed valuation report, 31 Mar 2026.
Ref: Detailed sec 24 (pdf p.432); Valuation Certificate sec 6; Value Summary sec 4 (pdf p.55-56)</t>
      </text>
    </comment>
    <comment ref="P85" authorId="0" shapeId="0">
      <text>
        <t>Computed = Market rent / In-place rent - 1</t>
      </text>
    </comment>
    <comment ref="Q85" authorId="0" shapeId="0">
      <text>
        <t>Source: KRT detailed valuation report, 31 Mar 2026.
Ref: Detailed sec 24 (pdf p.432); Valuation Certificate sec 6; Value Summary sec 4 (pdf p.55-56)</t>
      </text>
    </comment>
    <comment ref="S85" authorId="0" shapeId="0">
      <text>
        <t>Source: KRT detailed valuation report, 31 Mar 2026.
Ref: Detailed sec 24 (pdf p.432); Valuation Certificate sec 6; Value Summary sec 4 (pdf p.55-56)</t>
      </text>
    </comment>
    <comment ref="T85" authorId="0" shapeId="0">
      <text>
        <t>Source: KRT detailed valuation report, 31 Mar 2026.
Ref: Detailed sec 24 (pdf p.432); Valuation Certificate sec 6; Value Summary sec 4 (pdf p.55-56)</t>
      </text>
    </comment>
    <comment ref="U85" authorId="0" shapeId="0">
      <text>
        <t>Source: KRT detailed valuation report, 31 Mar 2026.
Ref: Detailed sec 24 (pdf p.432); Valuation Certificate sec 6; Value Summary sec 4 (pdf p.55-56)</t>
      </text>
    </comment>
    <comment ref="V85" authorId="0" shapeId="0">
      <text>
        <t>Computed = Market value / leasable sq ft</t>
      </text>
    </comment>
    <comment ref="W85" authorId="0" shapeId="0">
      <text>
        <t>Source: KRT detailed valuation report, 31 Mar 2026.
Ref: Detailed sec 24 (pdf p.432); Valuation Certificate sec 6; Value Summary sec 4 (pdf p.55-56)</t>
      </text>
    </comment>
    <comment ref="X85" authorId="0" shapeId="0">
      <text>
        <t>Source: KRT detailed valuation report, 31 Mar 2026.
Ref: Detailed sec 24 (pdf p.432); Valuation Certificate sec 6; Value Summary sec 4 (pdf p.55-56)</t>
      </text>
    </comment>
    <comment ref="Y85" authorId="0" shapeId="0">
      <text>
        <t>Source: KRT detailed valuation report, 31 Mar 2026.
Ref: Detailed sec 24 (pdf p.432); Valuation Certificate sec 6; Value Summary sec 4 (pdf p.55-56)</t>
      </text>
    </comment>
    <comment ref="A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B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C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D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E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F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G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H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I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J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N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O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P86" authorId="0" shapeId="0">
      <text>
        <t>Computed = Market rent / In-place rent - 1</t>
      </text>
    </comment>
    <comment ref="Q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S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T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U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V86" authorId="0" shapeId="0">
      <text>
        <t>Computed = Market value / leasable sq ft</t>
      </text>
    </comment>
    <comment ref="W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X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Y86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A87" authorId="0" shapeId="0">
      <text>
        <t>Source: KRT detailed valuation report, 31 Mar 2026.
Ref: Detailed sec 26 (pdf p.467); Valuation Certificate sec 6; Value Summary sec 4 (pdf p.55-56)</t>
      </text>
    </comment>
    <comment ref="B87" authorId="0" shapeId="0">
      <text>
        <t>Source: KRT detailed valuation report, 31 Mar 2026.
Ref: Detailed sec 26 (pdf p.467); Valuation Certificate sec 6; Value Summary sec 4 (pdf p.55-56)</t>
      </text>
    </comment>
    <comment ref="C87" authorId="0" shapeId="0">
      <text>
        <t>Source: KRT detailed valuation report, 31 Mar 2026.
Ref: Detailed sec 26 (pdf p.467); Valuation Certificate sec 6; Value Summary sec 4 (pdf p.55-56)</t>
      </text>
    </comment>
    <comment ref="D87" authorId="0" shapeId="0">
      <text>
        <t>Source: KRT detailed valuation report, 31 Mar 2026.
Ref: Detailed sec 26 (pdf p.467); Valuation Certificate sec 6; Value Summary sec 4 (pdf p.55-56)</t>
      </text>
    </comment>
    <comment ref="E87" authorId="0" shapeId="0">
      <text>
        <t>Source: KRT detailed valuation report, 31 Mar 2026.
Ref: Detailed sec 26 (pdf p.467); Valuation Certificate sec 6; Value Summary sec 4 (pdf p.55-56)</t>
      </text>
    </comment>
    <comment ref="F87" authorId="0" shapeId="0">
      <text>
        <t>Source: KRT detailed valuation report, 31 Mar 2026.
Ref: Detailed sec 26 (pdf p.467); Valuation Certificate sec 6; Value Summary sec 4 (pdf p.55-56)</t>
      </text>
    </comment>
    <comment ref="G87" authorId="0" shapeId="0">
      <text>
        <t>Source: KRT detailed valuation report, 31 Mar 2026.
Ref: Detailed sec 26 (pdf p.467); Valuation Certificate sec 6; Value Summary sec 4 (pdf p.55-56)</t>
      </text>
    </comment>
    <comment ref="H87" authorId="0" shapeId="0">
      <text>
        <t>Source: KRT detailed valuation report, 31 Mar 2026.
Ref: Detailed sec 26 (pdf p.467); Valuation Certificate sec 6; Value Summary sec 4 (pdf p.55-56)</t>
      </text>
    </comment>
    <comment ref="I87" authorId="0" shapeId="0">
      <text>
        <t>Source: KRT detailed valuation report, 31 Mar 2026.
Ref: Detailed sec 26 (pdf p.467); Valuation Certificate sec 6; Value Summary sec 4 (pdf p.55-56)</t>
      </text>
    </comment>
    <comment ref="J87" authorId="0" shapeId="0">
      <text>
        <t>Source: KRT detailed valuation report, 31 Mar 2026.
Ref: Detailed sec 26 (pdf p.467); Valuation Certificate sec 6; Value Summary sec 4 (pdf p.55-56)</t>
      </text>
    </comment>
    <comment ref="L87" authorId="0" shapeId="0">
      <text>
        <t>Source: KRT detailed valuation report, 31 Mar 2026.
Ref: Detailed sec 26 (pdf p.467); Valuation Certificate sec 6; Value Summary sec 4 (pdf p.55-56)</t>
      </text>
    </comment>
    <comment ref="N87" authorId="0" shapeId="0">
      <text>
        <t>Source: KRT detailed valuation report, 31 Mar 2026.
Ref: Detailed sec 26 (pdf p.467); Valuation Certificate sec 6; Value Summary sec 4 (pdf p.55-56)</t>
      </text>
    </comment>
    <comment ref="O87" authorId="0" shapeId="0">
      <text>
        <t>Source: KRT detailed valuation report, 31 Mar 2026.
Ref: Detailed sec 26 (pdf p.467); Valuation Certificate sec 6; Value Summary sec 4 (pdf p.55-56)</t>
      </text>
    </comment>
    <comment ref="P87" authorId="0" shapeId="0">
      <text>
        <t>Computed = Market rent / In-place rent - 1</t>
      </text>
    </comment>
    <comment ref="Q87" authorId="0" shapeId="0">
      <text>
        <t>Source: KRT detailed valuation report, 31 Mar 2026.
Ref: Detailed sec 26 (pdf p.467); Valuation Certificate sec 6; Value Summary sec 4 (pdf p.55-56)</t>
      </text>
    </comment>
    <comment ref="S87" authorId="0" shapeId="0">
      <text>
        <t>Source: KRT detailed valuation report, 31 Mar 2026.
Ref: Detailed sec 26 (pdf p.467); Valuation Certificate sec 6; Value Summary sec 4 (pdf p.55-56)</t>
      </text>
    </comment>
    <comment ref="T87" authorId="0" shapeId="0">
      <text>
        <t>Source: KRT detailed valuation report, 31 Mar 2026.
Ref: Detailed sec 26 (pdf p.467); Valuation Certificate sec 6; Value Summary sec 4 (pdf p.55-56)</t>
      </text>
    </comment>
    <comment ref="U87" authorId="0" shapeId="0">
      <text>
        <t>Source: KRT detailed valuation report, 31 Mar 2026.
Ref: Detailed sec 26 (pdf p.467); Valuation Certificate sec 6; Value Summary sec 4 (pdf p.55-56)</t>
      </text>
    </comment>
    <comment ref="V87" authorId="0" shapeId="0">
      <text>
        <t>Computed = Market value / leasable sq ft</t>
      </text>
    </comment>
    <comment ref="W87" authorId="0" shapeId="0">
      <text>
        <t>Source: KRT detailed valuation report, 31 Mar 2026.
Ref: Detailed sec 26 (pdf p.467); Valuation Certificate sec 6; Value Summary sec 4 (pdf p.55-56)</t>
      </text>
    </comment>
    <comment ref="X87" authorId="0" shapeId="0">
      <text>
        <t>Source: KRT detailed valuation report, 31 Mar 2026.
Ref: Detailed sec 26 (pdf p.467); Valuation Certificate sec 6; Value Summary sec 4 (pdf p.55-56)</t>
      </text>
    </comment>
    <comment ref="Y87" authorId="0" shapeId="0">
      <text>
        <t>Source: KRT detailed valuation report, 31 Mar 2026.
Ref: Detailed sec 26 (pdf p.467); Valuation Certificate sec 6; Value Summary sec 4 (pdf p.55-56)</t>
      </text>
    </comment>
    <comment ref="A88" authorId="0" shapeId="0">
      <text>
        <t>Source: KRT detailed valuation report, 31 Mar 2026.
Ref: Detailed sec 27 (pdf p.482); Valuation Certificate sec 6; Value Summary sec 4 (pdf p.55-56)</t>
      </text>
    </comment>
    <comment ref="B88" authorId="0" shapeId="0">
      <text>
        <t>Source: KRT detailed valuation report, 31 Mar 2026.
Ref: Detailed sec 27 (pdf p.482); Valuation Certificate sec 6; Value Summary sec 4 (pdf p.55-56)</t>
      </text>
    </comment>
    <comment ref="C88" authorId="0" shapeId="0">
      <text>
        <t>Source: KRT detailed valuation report, 31 Mar 2026.
Ref: Detailed sec 27 (pdf p.482); Valuation Certificate sec 6; Value Summary sec 4 (pdf p.55-56)</t>
      </text>
    </comment>
    <comment ref="D88" authorId="0" shapeId="0">
      <text>
        <t>Source: KRT detailed valuation report, 31 Mar 2026.
Ref: Detailed sec 27 (pdf p.482); Valuation Certificate sec 6; Value Summary sec 4 (pdf p.55-56)</t>
      </text>
    </comment>
    <comment ref="E88" authorId="0" shapeId="0">
      <text>
        <t>Source: KRT detailed valuation report, 31 Mar 2026.
Ref: Detailed sec 27 (pdf p.482); Valuation Certificate sec 6; Value Summary sec 4 (pdf p.55-56)</t>
      </text>
    </comment>
    <comment ref="F88" authorId="0" shapeId="0">
      <text>
        <t>Source: KRT detailed valuation report, 31 Mar 2026.
Ref: Detailed sec 27 (pdf p.482); Valuation Certificate sec 6; Value Summary sec 4 (pdf p.55-56)</t>
      </text>
    </comment>
    <comment ref="G88" authorId="0" shapeId="0">
      <text>
        <t>Source: KRT detailed valuation report, 31 Mar 2026.
Ref: Detailed sec 27 (pdf p.482); Valuation Certificate sec 6; Value Summary sec 4 (pdf p.55-56)</t>
      </text>
    </comment>
    <comment ref="H88" authorId="0" shapeId="0">
      <text>
        <t>Source: KRT detailed valuation report, 31 Mar 2026.
Ref: Detailed sec 27 (pdf p.482); Valuation Certificate sec 6; Value Summary sec 4 (pdf p.55-56)</t>
      </text>
    </comment>
    <comment ref="I88" authorId="0" shapeId="0">
      <text>
        <t>Source: KRT detailed valuation report, 31 Mar 2026.
Ref: Detailed sec 27 (pdf p.482); Valuation Certificate sec 6; Value Summary sec 4 (pdf p.55-56)</t>
      </text>
    </comment>
    <comment ref="J88" authorId="0" shapeId="0">
      <text>
        <t>Source: KRT detailed valuation report, 31 Mar 2026.
Ref: Detailed sec 27 (pdf p.482); Valuation Certificate sec 6; Value Summary sec 4 (pdf p.55-56)</t>
      </text>
    </comment>
    <comment ref="L88" authorId="0" shapeId="0">
      <text>
        <t>Source: KRT detailed valuation report, 31 Mar 2026.
Ref: Detailed sec 27 (pdf p.482); Valuation Certificate sec 6; Value Summary sec 4 (pdf p.55-56)</t>
      </text>
    </comment>
    <comment ref="N88" authorId="0" shapeId="0">
      <text>
        <t>Source: KRT detailed valuation report, 31 Mar 2026.
Ref: Detailed sec 27 (pdf p.482); Valuation Certificate sec 6; Value Summary sec 4 (pdf p.55-56)</t>
      </text>
    </comment>
    <comment ref="O88" authorId="0" shapeId="0">
      <text>
        <t>Source: KRT detailed valuation report, 31 Mar 2026.
Ref: Detailed sec 27 (pdf p.482); Valuation Certificate sec 6; Value Summary sec 4 (pdf p.55-56)</t>
      </text>
    </comment>
    <comment ref="P88" authorId="0" shapeId="0">
      <text>
        <t>Computed = Market rent / In-place rent - 1</t>
      </text>
    </comment>
    <comment ref="Q88" authorId="0" shapeId="0">
      <text>
        <t>Source: KRT detailed valuation report, 31 Mar 2026.
Ref: Detailed sec 27 (pdf p.482); Valuation Certificate sec 6; Value Summary sec 4 (pdf p.55-56)</t>
      </text>
    </comment>
    <comment ref="S88" authorId="0" shapeId="0">
      <text>
        <t>Source: KRT detailed valuation report, 31 Mar 2026.
Ref: Detailed sec 27 (pdf p.482); Valuation Certificate sec 6; Value Summary sec 4 (pdf p.55-56)</t>
      </text>
    </comment>
    <comment ref="T88" authorId="0" shapeId="0">
      <text>
        <t>Source: KRT detailed valuation report, 31 Mar 2026.
Ref: Detailed sec 27 (pdf p.482); Valuation Certificate sec 6; Value Summary sec 4 (pdf p.55-56)</t>
      </text>
    </comment>
    <comment ref="U88" authorId="0" shapeId="0">
      <text>
        <t>Source: KRT detailed valuation report, 31 Mar 2026.
Ref: Detailed sec 27 (pdf p.482); Valuation Certificate sec 6; Value Summary sec 4 (pdf p.55-56)</t>
      </text>
    </comment>
    <comment ref="V88" authorId="0" shapeId="0">
      <text>
        <t>Computed = Market value / leasable sq ft</t>
      </text>
    </comment>
    <comment ref="W88" authorId="0" shapeId="0">
      <text>
        <t>Source: KRT detailed valuation report, 31 Mar 2026.
Ref: Detailed sec 27 (pdf p.482); Valuation Certificate sec 6; Value Summary sec 4 (pdf p.55-56)</t>
      </text>
    </comment>
    <comment ref="X88" authorId="0" shapeId="0">
      <text>
        <t>Source: KRT detailed valuation report, 31 Mar 2026.
Ref: Detailed sec 27 (pdf p.482); Valuation Certificate sec 6; Value Summary sec 4 (pdf p.55-56)</t>
      </text>
    </comment>
    <comment ref="Y88" authorId="0" shapeId="0">
      <text>
        <t>Source: KRT detailed valuation report, 31 Mar 2026.
Ref: Detailed sec 27 (pdf p.482); Valuation Certificate sec 6; Value Summary sec 4 (pdf p.55-56)</t>
      </text>
    </comment>
    <comment ref="A89" authorId="0" shapeId="0">
      <text>
        <t>Source: KRT detailed valuation report, 31 Mar 2026.
Ref: Detailed sec 28 (pdf p.497); Valuation Certificate sec 6; Value Summary sec 4 (pdf p.55-56)</t>
      </text>
    </comment>
    <comment ref="B89" authorId="0" shapeId="0">
      <text>
        <t>Source: KRT detailed valuation report, 31 Mar 2026.
Ref: Detailed sec 28 (pdf p.497); Valuation Certificate sec 6; Value Summary sec 4 (pdf p.55-56)</t>
      </text>
    </comment>
    <comment ref="C89" authorId="0" shapeId="0">
      <text>
        <t>Source: KRT detailed valuation report, 31 Mar 2026.
Ref: Detailed sec 28 (pdf p.497); Valuation Certificate sec 6; Value Summary sec 4 (pdf p.55-56)</t>
      </text>
    </comment>
    <comment ref="D89" authorId="0" shapeId="0">
      <text>
        <t>Source: KRT detailed valuation report, 31 Mar 2026.
Ref: Detailed sec 28 (pdf p.497); Valuation Certificate sec 6; Value Summary sec 4 (pdf p.55-56)</t>
      </text>
    </comment>
    <comment ref="E89" authorId="0" shapeId="0">
      <text>
        <t>Source: KRT detailed valuation report, 31 Mar 2026.
Ref: Detailed sec 28 (pdf p.497); Valuation Certificate sec 6; Value Summary sec 4 (pdf p.55-56)</t>
      </text>
    </comment>
    <comment ref="F89" authorId="0" shapeId="0">
      <text>
        <t>Source: KRT detailed valuation report, 31 Mar 2026.
Ref: Detailed sec 28 (pdf p.497); Valuation Certificate sec 6; Value Summary sec 4 (pdf p.55-56)</t>
      </text>
    </comment>
    <comment ref="G89" authorId="0" shapeId="0">
      <text>
        <t>Source: KRT detailed valuation report, 31 Mar 2026.
Ref: Detailed sec 28 (pdf p.497); Valuation Certificate sec 6; Value Summary sec 4 (pdf p.55-56)</t>
      </text>
    </comment>
    <comment ref="H89" authorId="0" shapeId="0">
      <text>
        <t>Source: KRT detailed valuation report, 31 Mar 2026.
Ref: Detailed sec 28 (pdf p.497); Valuation Certificate sec 6; Value Summary sec 4 (pdf p.55-56)</t>
      </text>
    </comment>
    <comment ref="I89" authorId="0" shapeId="0">
      <text>
        <t>Source: KRT detailed valuation report, 31 Mar 2026.
Ref: Detailed sec 28 (pdf p.497); Valuation Certificate sec 6; Value Summary sec 4 (pdf p.55-56)</t>
      </text>
    </comment>
    <comment ref="J89" authorId="0" shapeId="0">
      <text>
        <t>Source: KRT detailed valuation report, 31 Mar 2026.
Ref: Detailed sec 28 (pdf p.497); Valuation Certificate sec 6; Value Summary sec 4 (pdf p.55-56)</t>
      </text>
    </comment>
    <comment ref="N89" authorId="0" shapeId="0">
      <text>
        <t>Source: KRT detailed valuation report, 31 Mar 2026.
Ref: Detailed sec 28 (pdf p.497); Valuation Certificate sec 6; Value Summary sec 4 (pdf p.55-56)</t>
      </text>
    </comment>
    <comment ref="O89" authorId="0" shapeId="0">
      <text>
        <t>Source: KRT detailed valuation report, 31 Mar 2026.
Ref: Detailed sec 28 (pdf p.497); Valuation Certificate sec 6; Value Summary sec 4 (pdf p.55-56)</t>
      </text>
    </comment>
    <comment ref="P89" authorId="0" shapeId="0">
      <text>
        <t>Computed = Market rent / In-place rent - 1</t>
      </text>
    </comment>
    <comment ref="Q89" authorId="0" shapeId="0">
      <text>
        <t>Source: KRT detailed valuation report, 31 Mar 2026.
Ref: Detailed sec 28 (pdf p.497); Valuation Certificate sec 6; Value Summary sec 4 (pdf p.55-56)</t>
      </text>
    </comment>
    <comment ref="S89" authorId="0" shapeId="0">
      <text>
        <t>Source: KRT detailed valuation report, 31 Mar 2026.
Ref: Detailed sec 28 (pdf p.497); Valuation Certificate sec 6; Value Summary sec 4 (pdf p.55-56)</t>
      </text>
    </comment>
    <comment ref="T89" authorId="0" shapeId="0">
      <text>
        <t>Source: KRT detailed valuation report, 31 Mar 2026.
Ref: Detailed sec 28 (pdf p.497); Valuation Certificate sec 6; Value Summary sec 4 (pdf p.55-56)</t>
      </text>
    </comment>
    <comment ref="U89" authorId="0" shapeId="0">
      <text>
        <t>Source: KRT detailed valuation report, 31 Mar 2026.
Ref: Detailed sec 28 (pdf p.497); Valuation Certificate sec 6; Value Summary sec 4 (pdf p.55-56)</t>
      </text>
    </comment>
    <comment ref="V89" authorId="0" shapeId="0">
      <text>
        <t>Computed = Market value / leasable sq ft</t>
      </text>
    </comment>
    <comment ref="W89" authorId="0" shapeId="0">
      <text>
        <t>Source: KRT detailed valuation report, 31 Mar 2026.
Ref: Detailed sec 28 (pdf p.497); Valuation Certificate sec 6; Value Summary sec 4 (pdf p.55-56)</t>
      </text>
    </comment>
    <comment ref="X89" authorId="0" shapeId="0">
      <text>
        <t>Source: KRT detailed valuation report, 31 Mar 2026.
Ref: Detailed sec 28 (pdf p.497); Valuation Certificate sec 6; Value Summary sec 4 (pdf p.55-56)</t>
      </text>
    </comment>
    <comment ref="Y89" authorId="0" shapeId="0">
      <text>
        <t>Source: KRT detailed valuation report, 31 Mar 2026.
Ref: Detailed sec 28 (pdf p.497); Valuation Certificate sec 6; Value Summary sec 4 (pdf p.55-56)</t>
      </text>
    </comment>
    <comment ref="A90" authorId="0" shapeId="0">
      <text>
        <t>Source: KRT detailed valuation report, 31 Mar 2026.
Ref: Detailed sec 29 (pdf p.512); Valuation Certificate sec 6; Value Summary sec 4 (pdf p.55-56)</t>
      </text>
    </comment>
    <comment ref="B90" authorId="0" shapeId="0">
      <text>
        <t>Source: KRT detailed valuation report, 31 Mar 2026.
Ref: Detailed sec 29 (pdf p.512); Valuation Certificate sec 6; Value Summary sec 4 (pdf p.55-56)</t>
      </text>
    </comment>
    <comment ref="C90" authorId="0" shapeId="0">
      <text>
        <t>Source: KRT detailed valuation report, 31 Mar 2026.
Ref: Detailed sec 29 (pdf p.512); Valuation Certificate sec 6; Value Summary sec 4 (pdf p.55-56)</t>
      </text>
    </comment>
    <comment ref="D90" authorId="0" shapeId="0">
      <text>
        <t>Source: KRT detailed valuation report, 31 Mar 2026.
Ref: Detailed sec 29 (pdf p.512); Valuation Certificate sec 6; Value Summary sec 4 (pdf p.55-56)</t>
      </text>
    </comment>
    <comment ref="E90" authorId="0" shapeId="0">
      <text>
        <t>Source: KRT detailed valuation report, 31 Mar 2026.
Ref: Detailed sec 29 (pdf p.512); Valuation Certificate sec 6; Value Summary sec 4 (pdf p.55-56)</t>
      </text>
    </comment>
    <comment ref="F90" authorId="0" shapeId="0">
      <text>
        <t>Source: KRT detailed valuation report, 31 Mar 2026.
Ref: Detailed sec 29 (pdf p.512); Valuation Certificate sec 6; Value Summary sec 4 (pdf p.55-56)</t>
      </text>
    </comment>
    <comment ref="G90" authorId="0" shapeId="0">
      <text>
        <t>Source: KRT detailed valuation report, 31 Mar 2026.
Ref: Detailed sec 29 (pdf p.512); Valuation Certificate sec 6; Value Summary sec 4 (pdf p.55-56)</t>
      </text>
    </comment>
    <comment ref="H90" authorId="0" shapeId="0">
      <text>
        <t>Source: KRT detailed valuation report, 31 Mar 2026.
Ref: Detailed sec 29 (pdf p.512); Valuation Certificate sec 6; Value Summary sec 4 (pdf p.55-56)</t>
      </text>
    </comment>
    <comment ref="I90" authorId="0" shapeId="0">
      <text>
        <t>Source: KRT detailed valuation report, 31 Mar 2026.
Ref: Detailed sec 29 (pdf p.512); Valuation Certificate sec 6; Value Summary sec 4 (pdf p.55-56)</t>
      </text>
    </comment>
    <comment ref="J90" authorId="0" shapeId="0">
      <text>
        <t>Source: KRT detailed valuation report, 31 Mar 2026.
Ref: Detailed sec 29 (pdf p.512); Valuation Certificate sec 6; Value Summary sec 4 (pdf p.55-56)</t>
      </text>
    </comment>
    <comment ref="L90" authorId="0" shapeId="0">
      <text>
        <t>Source: KRT detailed valuation report, 31 Mar 2026.
Ref: Detailed sec 29 (pdf p.512); Valuation Certificate sec 6; Value Summary sec 4 (pdf p.55-56)</t>
      </text>
    </comment>
    <comment ref="N90" authorId="0" shapeId="0">
      <text>
        <t>Source: KRT detailed valuation report, 31 Mar 2026.
Ref: Detailed sec 29 (pdf p.512); Valuation Certificate sec 6; Value Summary sec 4 (pdf p.55-56)</t>
      </text>
    </comment>
    <comment ref="O90" authorId="0" shapeId="0">
      <text>
        <t>Source: KRT detailed valuation report, 31 Mar 2026.
Ref: Detailed sec 29 (pdf p.512); Valuation Certificate sec 6; Value Summary sec 4 (pdf p.55-56)</t>
      </text>
    </comment>
    <comment ref="P90" authorId="0" shapeId="0">
      <text>
        <t>Computed = Market rent / In-place rent - 1</t>
      </text>
    </comment>
    <comment ref="Q90" authorId="0" shapeId="0">
      <text>
        <t>Source: KRT detailed valuation report, 31 Mar 2026.
Ref: Detailed sec 29 (pdf p.512); Valuation Certificate sec 6; Value Summary sec 4 (pdf p.55-56)</t>
      </text>
    </comment>
    <comment ref="S90" authorId="0" shapeId="0">
      <text>
        <t>Source: KRT detailed valuation report, 31 Mar 2026.
Ref: Detailed sec 29 (pdf p.512); Valuation Certificate sec 6; Value Summary sec 4 (pdf p.55-56)</t>
      </text>
    </comment>
    <comment ref="T90" authorId="0" shapeId="0">
      <text>
        <t>Source: KRT detailed valuation report, 31 Mar 2026.
Ref: Detailed sec 29 (pdf p.512); Valuation Certificate sec 6; Value Summary sec 4 (pdf p.55-56)</t>
      </text>
    </comment>
    <comment ref="U90" authorId="0" shapeId="0">
      <text>
        <t>Source: KRT detailed valuation report, 31 Mar 2026.
Ref: Detailed sec 29 (pdf p.512); Valuation Certificate sec 6; Value Summary sec 4 (pdf p.55-56)</t>
      </text>
    </comment>
    <comment ref="V90" authorId="0" shapeId="0">
      <text>
        <t>Computed = Market value / leasable sq ft</t>
      </text>
    </comment>
    <comment ref="W90" authorId="0" shapeId="0">
      <text>
        <t>Source: KRT detailed valuation report, 31 Mar 2026.
Ref: Detailed sec 29 (pdf p.512); Valuation Certificate sec 6; Value Summary sec 4 (pdf p.55-56)</t>
      </text>
    </comment>
    <comment ref="X90" authorId="0" shapeId="0">
      <text>
        <t>Source: KRT detailed valuation report, 31 Mar 2026.
Ref: Detailed sec 29 (pdf p.512); Valuation Certificate sec 6; Value Summary sec 4 (pdf p.55-56)</t>
      </text>
    </comment>
    <comment ref="Y90" authorId="0" shapeId="0">
      <text>
        <t>Source: KRT detailed valuation report, 31 Mar 2026.
Ref: Detailed sec 29 (pdf p.512); Valuation Certificate sec 6; Value Summary sec 4 (pdf p.55-56)</t>
      </text>
    </comment>
    <comment ref="A91" authorId="0" shapeId="0">
      <text>
        <t>Source: KRT detailed valuation report, 31 Mar 2026.
Ref: Detailed sec 30 (pdf p.526); Valuation Certificate sec 6; Value Summary sec 4 (pdf p.55-56)</t>
      </text>
    </comment>
    <comment ref="B91" authorId="0" shapeId="0">
      <text>
        <t>Source: KRT detailed valuation report, 31 Mar 2026.
Ref: Detailed sec 30 (pdf p.526); Valuation Certificate sec 6; Value Summary sec 4 (pdf p.55-56)</t>
      </text>
    </comment>
    <comment ref="C91" authorId="0" shapeId="0">
      <text>
        <t>Source: KRT detailed valuation report, 31 Mar 2026.
Ref: Detailed sec 30 (pdf p.526); Valuation Certificate sec 6; Value Summary sec 4 (pdf p.55-56)</t>
      </text>
    </comment>
    <comment ref="D91" authorId="0" shapeId="0">
      <text>
        <t>Source: KRT detailed valuation report, 31 Mar 2026.
Ref: Detailed sec 30 (pdf p.526); Valuation Certificate sec 6; Value Summary sec 4 (pdf p.55-56)</t>
      </text>
    </comment>
    <comment ref="E91" authorId="0" shapeId="0">
      <text>
        <t>Source: KRT detailed valuation report, 31 Mar 2026.
Ref: Detailed sec 30 (pdf p.526); Valuation Certificate sec 6; Value Summary sec 4 (pdf p.55-56)</t>
      </text>
    </comment>
    <comment ref="F91" authorId="0" shapeId="0">
      <text>
        <t>Source: KRT detailed valuation report, 31 Mar 2026.
Ref: Detailed sec 30 (pdf p.526); Valuation Certificate sec 6; Value Summary sec 4 (pdf p.55-56)</t>
      </text>
    </comment>
    <comment ref="G91" authorId="0" shapeId="0">
      <text>
        <t>Source: KRT detailed valuation report, 31 Mar 2026.
Ref: Detailed sec 30 (pdf p.526); Valuation Certificate sec 6; Value Summary sec 4 (pdf p.55-56)</t>
      </text>
    </comment>
    <comment ref="H91" authorId="0" shapeId="0">
      <text>
        <t>Source: KRT detailed valuation report, 31 Mar 2026.
Ref: Detailed sec 30 (pdf p.526); Valuation Certificate sec 6; Value Summary sec 4 (pdf p.55-56)</t>
      </text>
    </comment>
    <comment ref="I91" authorId="0" shapeId="0">
      <text>
        <t>Source: KRT detailed valuation report, 31 Mar 2026.
Ref: Detailed sec 30 (pdf p.526); Valuation Certificate sec 6; Value Summary sec 4 (pdf p.55-56)</t>
      </text>
    </comment>
    <comment ref="J91" authorId="0" shapeId="0">
      <text>
        <t>Source: KRT detailed valuation report, 31 Mar 2026.
Ref: Detailed sec 30 (pdf p.526); Valuation Certificate sec 6; Value Summary sec 4 (pdf p.55-56)</t>
      </text>
    </comment>
    <comment ref="L91" authorId="0" shapeId="0">
      <text>
        <t>Source: KRT detailed valuation report, 31 Mar 2026.
Ref: Detailed sec 30 (pdf p.526); Valuation Certificate sec 6; Value Summary sec 4 (pdf p.55-56)</t>
      </text>
    </comment>
    <comment ref="N91" authorId="0" shapeId="0">
      <text>
        <t>Source: KRT detailed valuation report, 31 Mar 2026.
Ref: Detailed sec 30 (pdf p.526); Valuation Certificate sec 6; Value Summary sec 4 (pdf p.55-56)</t>
      </text>
    </comment>
    <comment ref="O91" authorId="0" shapeId="0">
      <text>
        <t>Source: KRT detailed valuation report, 31 Mar 2026.
Ref: Detailed sec 30 (pdf p.526); Valuation Certificate sec 6; Value Summary sec 4 (pdf p.55-56)</t>
      </text>
    </comment>
    <comment ref="P91" authorId="0" shapeId="0">
      <text>
        <t>Computed = Market rent / In-place rent - 1</t>
      </text>
    </comment>
    <comment ref="Q91" authorId="0" shapeId="0">
      <text>
        <t>Source: KRT detailed valuation report, 31 Mar 2026.
Ref: Detailed sec 30 (pdf p.526); Valuation Certificate sec 6; Value Summary sec 4 (pdf p.55-56)</t>
      </text>
    </comment>
    <comment ref="S91" authorId="0" shapeId="0">
      <text>
        <t>Source: KRT detailed valuation report, 31 Mar 2026.
Ref: Detailed sec 30 (pdf p.526); Valuation Certificate sec 6; Value Summary sec 4 (pdf p.55-56)</t>
      </text>
    </comment>
    <comment ref="T91" authorId="0" shapeId="0">
      <text>
        <t>Source: KRT detailed valuation report, 31 Mar 2026.
Ref: Detailed sec 30 (pdf p.526); Valuation Certificate sec 6; Value Summary sec 4 (pdf p.55-56)</t>
      </text>
    </comment>
    <comment ref="U91" authorId="0" shapeId="0">
      <text>
        <t>Source: KRT detailed valuation report, 31 Mar 2026.
Ref: Detailed sec 30 (pdf p.526); Valuation Certificate sec 6; Value Summary sec 4 (pdf p.55-56)</t>
      </text>
    </comment>
    <comment ref="V91" authorId="0" shapeId="0">
      <text>
        <t>Computed = Market value / leasable sq ft</t>
      </text>
    </comment>
    <comment ref="W91" authorId="0" shapeId="0">
      <text>
        <t>Source: KRT detailed valuation report, 31 Mar 2026.
Ref: Detailed sec 30 (pdf p.526); Valuation Certificate sec 6; Value Summary sec 4 (pdf p.55-56)</t>
      </text>
    </comment>
    <comment ref="X91" authorId="0" shapeId="0">
      <text>
        <t>Source: KRT detailed valuation report, 31 Mar 2026.
Ref: Detailed sec 30 (pdf p.526); Valuation Certificate sec 6; Value Summary sec 4 (pdf p.55-56)</t>
      </text>
    </comment>
    <comment ref="Y91" authorId="0" shapeId="0">
      <text>
        <t>Source: KRT detailed valuation report, 31 Mar 2026.
Ref: Detailed sec 30 (pdf p.526); Valuation Certificate sec 6; Value Summary sec 4 (pdf p.55-56)</t>
      </text>
    </comment>
    <comment ref="A92" authorId="0" shapeId="0">
      <text>
        <t>Source: KRT detailed valuation report, 31 Mar 2026.
Ref: Detailed sec 31 (pdf p.541); Valuation Certificate sec 6; Value Summary sec 4 (pdf p.55-56)</t>
      </text>
    </comment>
    <comment ref="B92" authorId="0" shapeId="0">
      <text>
        <t>Source: KRT detailed valuation report, 31 Mar 2026.
Ref: Detailed sec 31 (pdf p.541); Valuation Certificate sec 6; Value Summary sec 4 (pdf p.55-56)</t>
      </text>
    </comment>
    <comment ref="C92" authorId="0" shapeId="0">
      <text>
        <t>Source: KRT detailed valuation report, 31 Mar 2026.
Ref: Detailed sec 31 (pdf p.541); Valuation Certificate sec 6; Value Summary sec 4 (pdf p.55-56)</t>
      </text>
    </comment>
    <comment ref="D92" authorId="0" shapeId="0">
      <text>
        <t>Source: KRT detailed valuation report, 31 Mar 2026.
Ref: Detailed sec 31 (pdf p.541); Valuation Certificate sec 6; Value Summary sec 4 (pdf p.55-56)</t>
      </text>
    </comment>
    <comment ref="E92" authorId="0" shapeId="0">
      <text>
        <t>Source: KRT detailed valuation report, 31 Mar 2026.
Ref: Detailed sec 31 (pdf p.541); Valuation Certificate sec 6; Value Summary sec 4 (pdf p.55-56)</t>
      </text>
    </comment>
    <comment ref="F92" authorId="0" shapeId="0">
      <text>
        <t>Source: KRT detailed valuation report, 31 Mar 2026.
Ref: Detailed sec 31 (pdf p.541); Valuation Certificate sec 6; Value Summary sec 4 (pdf p.55-56)</t>
      </text>
    </comment>
    <comment ref="G92" authorId="0" shapeId="0">
      <text>
        <t>Source: KRT detailed valuation report, 31 Mar 2026.
Ref: Detailed sec 31 (pdf p.541); Valuation Certificate sec 6; Value Summary sec 4 (pdf p.55-56)</t>
      </text>
    </comment>
    <comment ref="H92" authorId="0" shapeId="0">
      <text>
        <t>Source: KRT detailed valuation report, 31 Mar 2026.
Ref: Detailed sec 31 (pdf p.541); Valuation Certificate sec 6; Value Summary sec 4 (pdf p.55-56)</t>
      </text>
    </comment>
    <comment ref="I92" authorId="0" shapeId="0">
      <text>
        <t>Source: KRT detailed valuation report, 31 Mar 2026.
Ref: Detailed sec 31 (pdf p.541); Valuation Certificate sec 6; Value Summary sec 4 (pdf p.55-56)</t>
      </text>
    </comment>
    <comment ref="J92" authorId="0" shapeId="0">
      <text>
        <t>Source: KRT detailed valuation report, 31 Mar 2026.
Ref: Detailed sec 31 (pdf p.541); Valuation Certificate sec 6; Value Summary sec 4 (pdf p.55-56)</t>
      </text>
    </comment>
    <comment ref="N92" authorId="0" shapeId="0">
      <text>
        <t>Source: KRT detailed valuation report, 31 Mar 2026.
Ref: Detailed sec 31 (pdf p.541); Valuation Certificate sec 6; Value Summary sec 4 (pdf p.55-56)</t>
      </text>
    </comment>
    <comment ref="P92" authorId="0" shapeId="0">
      <text>
        <t>Computed = Market rent / In-place rent - 1</t>
      </text>
    </comment>
    <comment ref="S92" authorId="0" shapeId="0">
      <text>
        <t>Source: KRT detailed valuation report, 31 Mar 2026.
Ref: Detailed sec 31 (pdf p.541); Valuation Certificate sec 6; Value Summary sec 4 (pdf p.55-56)</t>
      </text>
    </comment>
    <comment ref="T92" authorId="0" shapeId="0">
      <text>
        <t>Source: KRT detailed valuation report, 31 Mar 2026.
Ref: Detailed sec 31 (pdf p.541); Valuation Certificate sec 6; Value Summary sec 4 (pdf p.55-56)</t>
      </text>
    </comment>
    <comment ref="U92" authorId="0" shapeId="0">
      <text>
        <t>Source: KRT detailed valuation report, 31 Mar 2026.
Ref: Detailed sec 31 (pdf p.541); Valuation Certificate sec 6; Value Summary sec 4 (pdf p.55-56)</t>
      </text>
    </comment>
    <comment ref="V92" authorId="0" shapeId="0">
      <text>
        <t>Computed = Market value / leasable sq ft</t>
      </text>
    </comment>
    <comment ref="W92" authorId="0" shapeId="0">
      <text>
        <t>Source: KRT detailed valuation report, 31 Mar 2026.
Ref: Detailed sec 31 (pdf p.541); Valuation Certificate sec 6; Value Summary sec 4 (pdf p.55-56)</t>
      </text>
    </comment>
    <comment ref="X92" authorId="0" shapeId="0">
      <text>
        <t>Source: KRT detailed valuation report, 31 Mar 2026.
Ref: Detailed sec 31 (pdf p.541); Valuation Certificate sec 6; Value Summary sec 4 (pdf p.55-56)</t>
      </text>
    </comment>
    <comment ref="Y92" authorId="0" shapeId="0">
      <text>
        <t>Source: KRT detailed valuation report, 31 Mar 2026.
Ref: Detailed sec 31 (pdf p.541); Valuation Certificate sec 6; Value Summary sec 4 (pdf p.55-56)</t>
      </text>
    </comment>
    <comment ref="A93" authorId="0" shapeId="0">
      <text>
        <t>Source: KRT detailed valuation report, 31 Mar 2026.
Ref: Detailed sec 32 (pdf p.554); Valuation Certificate sec 6; Value Summary sec 4 (pdf p.55-56)</t>
      </text>
    </comment>
    <comment ref="B93" authorId="0" shapeId="0">
      <text>
        <t>Source: KRT detailed valuation report, 31 Mar 2026.
Ref: Detailed sec 32 (pdf p.554); Valuation Certificate sec 6; Value Summary sec 4 (pdf p.55-56)</t>
      </text>
    </comment>
    <comment ref="C93" authorId="0" shapeId="0">
      <text>
        <t>Source: KRT detailed valuation report, 31 Mar 2026.
Ref: Detailed sec 32 (pdf p.554); Valuation Certificate sec 6; Value Summary sec 4 (pdf p.55-56)</t>
      </text>
    </comment>
    <comment ref="D93" authorId="0" shapeId="0">
      <text>
        <t>Source: KRT detailed valuation report, 31 Mar 2026.
Ref: Detailed sec 32 (pdf p.554); Valuation Certificate sec 6; Value Summary sec 4 (pdf p.55-56)</t>
      </text>
    </comment>
    <comment ref="E93" authorId="0" shapeId="0">
      <text>
        <t>Source: KRT detailed valuation report, 31 Mar 2026.
Ref: Detailed sec 32 (pdf p.554); Valuation Certificate sec 6; Value Summary sec 4 (pdf p.55-56)</t>
      </text>
    </comment>
    <comment ref="F93" authorId="0" shapeId="0">
      <text>
        <t>Source: KRT detailed valuation report, 31 Mar 2026.
Ref: Detailed sec 32 (pdf p.554); Valuation Certificate sec 6; Value Summary sec 4 (pdf p.55-56)</t>
      </text>
    </comment>
    <comment ref="G93" authorId="0" shapeId="0">
      <text>
        <t>Source: KRT detailed valuation report, 31 Mar 2026.
Ref: Detailed sec 32 (pdf p.554); Valuation Certificate sec 6; Value Summary sec 4 (pdf p.55-56)</t>
      </text>
    </comment>
    <comment ref="H93" authorId="0" shapeId="0">
      <text>
        <t>Source: KRT detailed valuation report, 31 Mar 2026.
Ref: Detailed sec 32 (pdf p.554); Valuation Certificate sec 6; Value Summary sec 4 (pdf p.55-56)</t>
      </text>
    </comment>
    <comment ref="I93" authorId="0" shapeId="0">
      <text>
        <t>Source: KRT detailed valuation report, 31 Mar 2026.
Ref: Detailed sec 32 (pdf p.554); Valuation Certificate sec 6; Value Summary sec 4 (pdf p.55-56)</t>
      </text>
    </comment>
    <comment ref="J93" authorId="0" shapeId="0">
      <text>
        <t>Source: KRT detailed valuation report, 31 Mar 2026.
Ref: Detailed sec 32 (pdf p.554); Valuation Certificate sec 6; Value Summary sec 4 (pdf p.55-56)</t>
      </text>
    </comment>
    <comment ref="N93" authorId="0" shapeId="0">
      <text>
        <t>Source: KRT detailed valuation report, 31 Mar 2026.
Ref: Detailed sec 32 (pdf p.554); Valuation Certificate sec 6; Value Summary sec 4 (pdf p.55-56)</t>
      </text>
    </comment>
    <comment ref="P93" authorId="0" shapeId="0">
      <text>
        <t>Computed = Market rent / In-place rent - 1</t>
      </text>
    </comment>
    <comment ref="S93" authorId="0" shapeId="0">
      <text>
        <t>Source: KRT detailed valuation report, 31 Mar 2026.
Ref: Detailed sec 32 (pdf p.554); Valuation Certificate sec 6; Value Summary sec 4 (pdf p.55-56)</t>
      </text>
    </comment>
    <comment ref="T93" authorId="0" shapeId="0">
      <text>
        <t>Source: KRT detailed valuation report, 31 Mar 2026.
Ref: Detailed sec 32 (pdf p.554); Valuation Certificate sec 6; Value Summary sec 4 (pdf p.55-56)</t>
      </text>
    </comment>
    <comment ref="U93" authorId="0" shapeId="0">
      <text>
        <t>Source: KRT detailed valuation report, 31 Mar 2026.
Ref: Detailed sec 32 (pdf p.554); Valuation Certificate sec 6; Value Summary sec 4 (pdf p.55-56)</t>
      </text>
    </comment>
    <comment ref="V93" authorId="0" shapeId="0">
      <text>
        <t>Computed = Market value / leasable sq ft</t>
      </text>
    </comment>
    <comment ref="W93" authorId="0" shapeId="0">
      <text>
        <t>Source: KRT detailed valuation report, 31 Mar 2026.
Ref: Detailed sec 32 (pdf p.554); Valuation Certificate sec 6; Value Summary sec 4 (pdf p.55-56)</t>
      </text>
    </comment>
    <comment ref="X93" authorId="0" shapeId="0">
      <text>
        <t>Source: KRT detailed valuation report, 31 Mar 2026.
Ref: Detailed sec 32 (pdf p.554); Valuation Certificate sec 6; Value Summary sec 4 (pdf p.55-56)</t>
      </text>
    </comment>
    <comment ref="Y93" authorId="0" shapeId="0">
      <text>
        <t>Source: KRT detailed valuation report, 31 Mar 2026.
Ref: Detailed sec 32 (pdf p.554); Valuation Certificate sec 6; Value Summary sec 4 (pdf p.55-56)</t>
      </text>
    </comment>
    <comment ref="A94" authorId="0" shapeId="0">
      <text>
        <t>Source: KRT detailed valuation report, 31 Mar 2026.
Ref: Detailed sec 33 (pdf p.567); Valuation Certificate sec 6; Value Summary sec 4 (pdf p.55-56)</t>
      </text>
    </comment>
    <comment ref="B94" authorId="0" shapeId="0">
      <text>
        <t>Source: KRT detailed valuation report, 31 Mar 2026.
Ref: Detailed sec 33 (pdf p.567); Valuation Certificate sec 6; Value Summary sec 4 (pdf p.55-56)</t>
      </text>
    </comment>
    <comment ref="C94" authorId="0" shapeId="0">
      <text>
        <t>Source: KRT detailed valuation report, 31 Mar 2026.
Ref: Detailed sec 33 (pdf p.567); Valuation Certificate sec 6; Value Summary sec 4 (pdf p.55-56)</t>
      </text>
    </comment>
    <comment ref="D94" authorId="0" shapeId="0">
      <text>
        <t>Source: KRT detailed valuation report, 31 Mar 2026.
Ref: Detailed sec 33 (pdf p.567); Valuation Certificate sec 6; Value Summary sec 4 (pdf p.55-56)</t>
      </text>
    </comment>
    <comment ref="E94" authorId="0" shapeId="0">
      <text>
        <t>Source: KRT detailed valuation report, 31 Mar 2026.
Ref: Detailed sec 33 (pdf p.567); Valuation Certificate sec 6; Value Summary sec 4 (pdf p.55-56)</t>
      </text>
    </comment>
    <comment ref="F94" authorId="0" shapeId="0">
      <text>
        <t>Source: KRT detailed valuation report, 31 Mar 2026.
Ref: Detailed sec 33 (pdf p.567); Valuation Certificate sec 6; Value Summary sec 4 (pdf p.55-56)</t>
      </text>
    </comment>
    <comment ref="G94" authorId="0" shapeId="0">
      <text>
        <t>Source: KRT detailed valuation report, 31 Mar 2026.
Ref: Detailed sec 33 (pdf p.567); Valuation Certificate sec 6; Value Summary sec 4 (pdf p.55-56)</t>
      </text>
    </comment>
    <comment ref="H94" authorId="0" shapeId="0">
      <text>
        <t>Source: KRT detailed valuation report, 31 Mar 2026.
Ref: Detailed sec 33 (pdf p.567); Valuation Certificate sec 6; Value Summary sec 4 (pdf p.55-56)</t>
      </text>
    </comment>
    <comment ref="I94" authorId="0" shapeId="0">
      <text>
        <t>Source: KRT detailed valuation report, 31 Mar 2026.
Ref: Detailed sec 33 (pdf p.567); Valuation Certificate sec 6; Value Summary sec 4 (pdf p.55-56)</t>
      </text>
    </comment>
    <comment ref="J94" authorId="0" shapeId="0">
      <text>
        <t>Source: KRT detailed valuation report, 31 Mar 2026.
Ref: Detailed sec 33 (pdf p.567); Valuation Certificate sec 6; Value Summary sec 4 (pdf p.55-56)</t>
      </text>
    </comment>
    <comment ref="L94" authorId="0" shapeId="0">
      <text>
        <t>Source: KRT detailed valuation report, 31 Mar 2026.
Ref: Detailed sec 33 (pdf p.567); Valuation Certificate sec 6; Value Summary sec 4 (pdf p.55-56)</t>
      </text>
    </comment>
    <comment ref="N94" authorId="0" shapeId="0">
      <text>
        <t>Source: KRT detailed valuation report, 31 Mar 2026.
Ref: Detailed sec 33 (pdf p.567); Valuation Certificate sec 6; Value Summary sec 4 (pdf p.55-56)</t>
      </text>
    </comment>
    <comment ref="O94" authorId="0" shapeId="0">
      <text>
        <t>Source: KRT detailed valuation report, 31 Mar 2026.
Ref: Detailed sec 33 (pdf p.567); Valuation Certificate sec 6; Value Summary sec 4 (pdf p.55-56)</t>
      </text>
    </comment>
    <comment ref="P94" authorId="0" shapeId="0">
      <text>
        <t>Computed = Market rent / In-place rent - 1</t>
      </text>
    </comment>
    <comment ref="Q94" authorId="0" shapeId="0">
      <text>
        <t>Source: KRT detailed valuation report, 31 Mar 2026.
Ref: Detailed sec 33 (pdf p.567); Valuation Certificate sec 6; Value Summary sec 4 (pdf p.55-56)</t>
      </text>
    </comment>
    <comment ref="S94" authorId="0" shapeId="0">
      <text>
        <t>Source: KRT detailed valuation report, 31 Mar 2026.
Ref: Detailed sec 33 (pdf p.567); Valuation Certificate sec 6; Value Summary sec 4 (pdf p.55-56)</t>
      </text>
    </comment>
    <comment ref="T94" authorId="0" shapeId="0">
      <text>
        <t>Source: KRT detailed valuation report, 31 Mar 2026.
Ref: Detailed sec 33 (pdf p.567); Valuation Certificate sec 6; Value Summary sec 4 (pdf p.55-56)</t>
      </text>
    </comment>
    <comment ref="U94" authorId="0" shapeId="0">
      <text>
        <t>Source: KRT detailed valuation report, 31 Mar 2026.
Ref: Detailed sec 33 (pdf p.567); Valuation Certificate sec 6; Value Summary sec 4 (pdf p.55-56)</t>
      </text>
    </comment>
    <comment ref="V94" authorId="0" shapeId="0">
      <text>
        <t>Computed = Market value / leasable sq ft</t>
      </text>
    </comment>
    <comment ref="W94" authorId="0" shapeId="0">
      <text>
        <t>Source: KRT detailed valuation report, 31 Mar 2026.
Ref: Detailed sec 33 (pdf p.567); Valuation Certificate sec 6; Value Summary sec 4 (pdf p.55-56)</t>
      </text>
    </comment>
    <comment ref="X94" authorId="0" shapeId="0">
      <text>
        <t>Source: KRT detailed valuation report, 31 Mar 2026.
Ref: Detailed sec 33 (pdf p.567); Valuation Certificate sec 6; Value Summary sec 4 (pdf p.55-56)</t>
      </text>
    </comment>
    <comment ref="Y94" authorId="0" shapeId="0">
      <text>
        <t>Source: KRT detailed valuation report, 31 Mar 2026.
Ref: Detailed sec 33 (pdf p.567); Valuation Certificate sec 6; Value Summary sec 4 (pdf p.55-56)</t>
      </text>
    </comment>
    <comment ref="A95" authorId="0" shapeId="0">
      <text>
        <t>Source: KRT detailed valuation report, 31 Mar 2026.
Ref: Detailed sec 34 (pdf p.582); Valuation Certificate sec 6; Value Summary sec 4 (pdf p.55-56)</t>
      </text>
    </comment>
    <comment ref="B95" authorId="0" shapeId="0">
      <text>
        <t>Source: KRT detailed valuation report, 31 Mar 2026.
Ref: Detailed sec 34 (pdf p.582); Valuation Certificate sec 6; Value Summary sec 4 (pdf p.55-56)</t>
      </text>
    </comment>
    <comment ref="C95" authorId="0" shapeId="0">
      <text>
        <t>Source: KRT detailed valuation report, 31 Mar 2026.
Ref: Detailed sec 34 (pdf p.582); Valuation Certificate sec 6; Value Summary sec 4 (pdf p.55-56)</t>
      </text>
    </comment>
    <comment ref="D95" authorId="0" shapeId="0">
      <text>
        <t>Source: KRT detailed valuation report, 31 Mar 2026.
Ref: Detailed sec 34 (pdf p.582); Valuation Certificate sec 6; Value Summary sec 4 (pdf p.55-56)</t>
      </text>
    </comment>
    <comment ref="E95" authorId="0" shapeId="0">
      <text>
        <t>Source: KRT detailed valuation report, 31 Mar 2026.
Ref: Detailed sec 34 (pdf p.582); Valuation Certificate sec 6; Value Summary sec 4 (pdf p.55-56)</t>
      </text>
    </comment>
    <comment ref="F95" authorId="0" shapeId="0">
      <text>
        <t>Source: KRT detailed valuation report, 31 Mar 2026.
Ref: Detailed sec 34 (pdf p.582); Valuation Certificate sec 6; Value Summary sec 4 (pdf p.55-56)</t>
      </text>
    </comment>
    <comment ref="G95" authorId="0" shapeId="0">
      <text>
        <t>Source: KRT detailed valuation report, 31 Mar 2026.
Ref: Detailed sec 34 (pdf p.582); Valuation Certificate sec 6; Value Summary sec 4 (pdf p.55-56)</t>
      </text>
    </comment>
    <comment ref="H95" authorId="0" shapeId="0">
      <text>
        <t>Source: KRT detailed valuation report, 31 Mar 2026.
Ref: Detailed sec 34 (pdf p.582); Valuation Certificate sec 6; Value Summary sec 4 (pdf p.55-56)</t>
      </text>
    </comment>
    <comment ref="I95" authorId="0" shapeId="0">
      <text>
        <t>Source: KRT detailed valuation report, 31 Mar 2026.
Ref: Detailed sec 34 (pdf p.582); Valuation Certificate sec 6; Value Summary sec 4 (pdf p.55-56)</t>
      </text>
    </comment>
    <comment ref="J95" authorId="0" shapeId="0">
      <text>
        <t>Source: KRT detailed valuation report, 31 Mar 2026.
Ref: Detailed sec 34 (pdf p.582); Valuation Certificate sec 6; Value Summary sec 4 (pdf p.55-56)</t>
      </text>
    </comment>
    <comment ref="L95" authorId="0" shapeId="0">
      <text>
        <t>Source: KRT detailed valuation report, 31 Mar 2026.
Ref: Detailed sec 34 (pdf p.582); Valuation Certificate sec 6; Value Summary sec 4 (pdf p.55-56)</t>
      </text>
    </comment>
    <comment ref="N95" authorId="0" shapeId="0">
      <text>
        <t>Source: KRT detailed valuation report, 31 Mar 2026.
Ref: Detailed sec 34 (pdf p.582); Valuation Certificate sec 6; Value Summary sec 4 (pdf p.55-56)</t>
      </text>
    </comment>
    <comment ref="O95" authorId="0" shapeId="0">
      <text>
        <t>Source: KRT detailed valuation report, 31 Mar 2026.
Ref: Detailed sec 34 (pdf p.582); Valuation Certificate sec 6; Value Summary sec 4 (pdf p.55-56)</t>
      </text>
    </comment>
    <comment ref="P95" authorId="0" shapeId="0">
      <text>
        <t>Computed = Market rent / In-place rent - 1</t>
      </text>
    </comment>
    <comment ref="Q95" authorId="0" shapeId="0">
      <text>
        <t>Source: KRT detailed valuation report, 31 Mar 2026.
Ref: Detailed sec 34 (pdf p.582); Valuation Certificate sec 6; Value Summary sec 4 (pdf p.55-56)</t>
      </text>
    </comment>
    <comment ref="S95" authorId="0" shapeId="0">
      <text>
        <t>Source: KRT detailed valuation report, 31 Mar 2026.
Ref: Detailed sec 34 (pdf p.582); Valuation Certificate sec 6; Value Summary sec 4 (pdf p.55-56)</t>
      </text>
    </comment>
    <comment ref="T95" authorId="0" shapeId="0">
      <text>
        <t>Source: KRT detailed valuation report, 31 Mar 2026.
Ref: Detailed sec 34 (pdf p.582); Valuation Certificate sec 6; Value Summary sec 4 (pdf p.55-56)</t>
      </text>
    </comment>
    <comment ref="U95" authorId="0" shapeId="0">
      <text>
        <t>Source: KRT detailed valuation report, 31 Mar 2026.
Ref: Detailed sec 34 (pdf p.582); Valuation Certificate sec 6; Value Summary sec 4 (pdf p.55-56)</t>
      </text>
    </comment>
    <comment ref="V95" authorId="0" shapeId="0">
      <text>
        <t>Computed = Market value / leasable sq ft</t>
      </text>
    </comment>
    <comment ref="W95" authorId="0" shapeId="0">
      <text>
        <t>Source: KRT detailed valuation report, 31 Mar 2026.
Ref: Detailed sec 34 (pdf p.582); Valuation Certificate sec 6; Value Summary sec 4 (pdf p.55-56)</t>
      </text>
    </comment>
    <comment ref="X95" authorId="0" shapeId="0">
      <text>
        <t>Source: KRT detailed valuation report, 31 Mar 2026.
Ref: Detailed sec 34 (pdf p.582); Valuation Certificate sec 6; Value Summary sec 4 (pdf p.55-56)</t>
      </text>
    </comment>
    <comment ref="Y95" authorId="0" shapeId="0">
      <text>
        <t>Source: KRT detailed valuation report, 31 Mar 2026.
Ref: Detailed sec 34 (pdf p.582); Valuation Certificate sec 6; Value Summary sec 4 (pdf p.55-56)</t>
      </text>
    </comment>
    <comment ref="A96" authorId="0" shapeId="0">
      <text>
        <t>Source: KRT detailed valuation report, 31 Mar 2026.
Ref: Detailed sec 35 (pdf p.597); Valuation Certificate sec 6; Value Summary sec 4 (pdf p.55-56)</t>
      </text>
    </comment>
    <comment ref="B96" authorId="0" shapeId="0">
      <text>
        <t>Source: KRT detailed valuation report, 31 Mar 2026.
Ref: Detailed sec 35 (pdf p.597); Valuation Certificate sec 6; Value Summary sec 4 (pdf p.55-56)</t>
      </text>
    </comment>
    <comment ref="C96" authorId="0" shapeId="0">
      <text>
        <t>Source: KRT detailed valuation report, 31 Mar 2026.
Ref: Detailed sec 35 (pdf p.597); Valuation Certificate sec 6; Value Summary sec 4 (pdf p.55-56)</t>
      </text>
    </comment>
    <comment ref="D96" authorId="0" shapeId="0">
      <text>
        <t>Source: KRT detailed valuation report, 31 Mar 2026.
Ref: Detailed sec 35 (pdf p.597); Valuation Certificate sec 6; Value Summary sec 4 (pdf p.55-56)</t>
      </text>
    </comment>
    <comment ref="E96" authorId="0" shapeId="0">
      <text>
        <t>Source: KRT detailed valuation report, 31 Mar 2026.
Ref: Detailed sec 35 (pdf p.597); Valuation Certificate sec 6; Value Summary sec 4 (pdf p.55-56)</t>
      </text>
    </comment>
    <comment ref="F96" authorId="0" shapeId="0">
      <text>
        <t>Source: KRT detailed valuation report, 31 Mar 2026.
Ref: Detailed sec 35 (pdf p.597); Valuation Certificate sec 6; Value Summary sec 4 (pdf p.55-56)</t>
      </text>
    </comment>
    <comment ref="G96" authorId="0" shapeId="0">
      <text>
        <t>Source: KRT detailed valuation report, 31 Mar 2026.
Ref: Detailed sec 35 (pdf p.597); Valuation Certificate sec 6; Value Summary sec 4 (pdf p.55-56)</t>
      </text>
    </comment>
    <comment ref="H96" authorId="0" shapeId="0">
      <text>
        <t>Source: KRT detailed valuation report, 31 Mar 2026.
Ref: Detailed sec 35 (pdf p.597); Valuation Certificate sec 6; Value Summary sec 4 (pdf p.55-56)</t>
      </text>
    </comment>
    <comment ref="I96" authorId="0" shapeId="0">
      <text>
        <t>Source: KRT detailed valuation report, 31 Mar 2026.
Ref: Detailed sec 35 (pdf p.597); Valuation Certificate sec 6; Value Summary sec 4 (pdf p.55-56)</t>
      </text>
    </comment>
    <comment ref="J96" authorId="0" shapeId="0">
      <text>
        <t>Source: KRT detailed valuation report, 31 Mar 2026.
Ref: Detailed sec 35 (pdf p.597); Valuation Certificate sec 6; Value Summary sec 4 (pdf p.55-56)</t>
      </text>
    </comment>
    <comment ref="L96" authorId="0" shapeId="0">
      <text>
        <t>Source: KRT detailed valuation report, 31 Mar 2026.
Ref: Detailed sec 35 (pdf p.597); Valuation Certificate sec 6; Value Summary sec 4 (pdf p.55-56)</t>
      </text>
    </comment>
    <comment ref="N96" authorId="0" shapeId="0">
      <text>
        <t>Source: KRT detailed valuation report, 31 Mar 2026.
Ref: Detailed sec 35 (pdf p.597); Valuation Certificate sec 6; Value Summary sec 4 (pdf p.55-56)</t>
      </text>
    </comment>
    <comment ref="O96" authorId="0" shapeId="0">
      <text>
        <t>Source: KRT detailed valuation report, 31 Mar 2026.
Ref: Detailed sec 35 (pdf p.597); Valuation Certificate sec 6; Value Summary sec 4 (pdf p.55-56)</t>
      </text>
    </comment>
    <comment ref="P96" authorId="0" shapeId="0">
      <text>
        <t>Computed = Market rent / In-place rent - 1</t>
      </text>
    </comment>
    <comment ref="Q96" authorId="0" shapeId="0">
      <text>
        <t>Source: KRT detailed valuation report, 31 Mar 2026.
Ref: Detailed sec 35 (pdf p.597); Valuation Certificate sec 6; Value Summary sec 4 (pdf p.55-56)</t>
      </text>
    </comment>
    <comment ref="S96" authorId="0" shapeId="0">
      <text>
        <t>Source: KRT detailed valuation report, 31 Mar 2026.
Ref: Detailed sec 35 (pdf p.597); Valuation Certificate sec 6; Value Summary sec 4 (pdf p.55-56)</t>
      </text>
    </comment>
    <comment ref="T96" authorId="0" shapeId="0">
      <text>
        <t>Source: KRT detailed valuation report, 31 Mar 2026.
Ref: Detailed sec 35 (pdf p.597); Valuation Certificate sec 6; Value Summary sec 4 (pdf p.55-56)</t>
      </text>
    </comment>
    <comment ref="U96" authorId="0" shapeId="0">
      <text>
        <t>Source: KRT detailed valuation report, 31 Mar 2026.
Ref: Detailed sec 35 (pdf p.597); Valuation Certificate sec 6; Value Summary sec 4 (pdf p.55-56)</t>
      </text>
    </comment>
    <comment ref="V96" authorId="0" shapeId="0">
      <text>
        <t>Computed = Market value / leasable sq ft</t>
      </text>
    </comment>
    <comment ref="W96" authorId="0" shapeId="0">
      <text>
        <t>Source: KRT detailed valuation report, 31 Mar 2026.
Ref: Detailed sec 35 (pdf p.597); Valuation Certificate sec 6; Value Summary sec 4 (pdf p.55-56)</t>
      </text>
    </comment>
    <comment ref="X96" authorId="0" shapeId="0">
      <text>
        <t>Source: KRT detailed valuation report, 31 Mar 2026.
Ref: Detailed sec 35 (pdf p.597); Valuation Certificate sec 6; Value Summary sec 4 (pdf p.55-56)</t>
      </text>
    </comment>
    <comment ref="Y96" authorId="0" shapeId="0">
      <text>
        <t>Source: KRT detailed valuation report, 31 Mar 2026.
Ref: Detailed sec 35 (pdf p.597); Valuation Certificate sec 6; Value Summary sec 4 (pdf p.55-56)</t>
      </text>
    </comment>
    <comment ref="A97" authorId="0" shapeId="0">
      <text>
        <t>Source: KRT detailed valuation report, 31 Mar 2026.
Ref: Detailed sec 36 (pdf p.612); Valuation Certificate sec 6; Value Summary sec 4 (pdf p.55-56)</t>
      </text>
    </comment>
    <comment ref="B97" authorId="0" shapeId="0">
      <text>
        <t>Source: KRT detailed valuation report, 31 Mar 2026.
Ref: Detailed sec 36 (pdf p.612); Valuation Certificate sec 6; Value Summary sec 4 (pdf p.55-56)</t>
      </text>
    </comment>
    <comment ref="C97" authorId="0" shapeId="0">
      <text>
        <t>Source: KRT detailed valuation report, 31 Mar 2026.
Ref: Detailed sec 36 (pdf p.612); Valuation Certificate sec 6; Value Summary sec 4 (pdf p.55-56)</t>
      </text>
    </comment>
    <comment ref="D97" authorId="0" shapeId="0">
      <text>
        <t>Source: KRT detailed valuation report, 31 Mar 2026.
Ref: Detailed sec 36 (pdf p.612); Valuation Certificate sec 6; Value Summary sec 4 (pdf p.55-56)</t>
      </text>
    </comment>
    <comment ref="E97" authorId="0" shapeId="0">
      <text>
        <t>Source: KRT detailed valuation report, 31 Mar 2026.
Ref: Detailed sec 36 (pdf p.612); Valuation Certificate sec 6; Value Summary sec 4 (pdf p.55-56)</t>
      </text>
    </comment>
    <comment ref="F97" authorId="0" shapeId="0">
      <text>
        <t>Source: KRT detailed valuation report, 31 Mar 2026.
Ref: Detailed sec 36 (pdf p.612); Valuation Certificate sec 6; Value Summary sec 4 (pdf p.55-56)</t>
      </text>
    </comment>
    <comment ref="H97" authorId="0" shapeId="0">
      <text>
        <t>Source: KRT detailed valuation report, 31 Mar 2026.
Ref: Detailed sec 36 (pdf p.612); Valuation Certificate sec 6; Value Summary sec 4 (pdf p.55-56)</t>
      </text>
    </comment>
    <comment ref="P97" authorId="0" shapeId="0">
      <text>
        <t>Computed = Market rent / In-place rent - 1</t>
      </text>
    </comment>
    <comment ref="T97" authorId="0" shapeId="0">
      <text>
        <t>Source: KRT detailed valuation report, 31 Mar 2026.
Ref: Detailed sec 36 (pdf p.612); Valuation Certificate sec 6; Value Summary sec 4 (pdf p.55-56)</t>
      </text>
    </comment>
    <comment ref="U97" authorId="0" shapeId="0">
      <text>
        <t>Source: KRT detailed valuation report, 31 Mar 2026.
Ref: Detailed sec 36 (pdf p.612); Valuation Certificate sec 6; Value Summary sec 4 (pdf p.55-56)</t>
      </text>
    </comment>
    <comment ref="V97" authorId="0" shapeId="0">
      <text>
        <t>Computed = Market value / leasable sq ft</t>
      </text>
    </comment>
    <comment ref="W97" authorId="0" shapeId="0">
      <text>
        <t>Source: KRT detailed valuation report, 31 Mar 2026.
Ref: Detailed sec 36 (pdf p.612); Valuation Certificate sec 6; Value Summary sec 4 (pdf p.55-56)</t>
      </text>
    </comment>
    <comment ref="Y97" authorId="0" shapeId="0">
      <text>
        <t>Source: KRT detailed valuation report, 31 Mar 2026.
Ref: Detailed sec 36 (pdf p.612); Valuation Certificate sec 6; Value Summary sec 4 (pdf p.55-56)</t>
      </text>
    </comment>
    <comment ref="A98" authorId="0" shapeId="0">
      <text>
        <t>Source: KRT detailed valuation report, 31 Mar 2026.
Ref: Detailed sec 37 (pdf p.619); Valuation Certificate sec 6; Value Summary sec 4 (pdf p.55-56)</t>
      </text>
    </comment>
    <comment ref="B98" authorId="0" shapeId="0">
      <text>
        <t>Source: KRT detailed valuation report, 31 Mar 2026.
Ref: Detailed sec 37 (pdf p.619); Valuation Certificate sec 6; Value Summary sec 4 (pdf p.55-56)</t>
      </text>
    </comment>
    <comment ref="C98" authorId="0" shapeId="0">
      <text>
        <t>Source: KRT detailed valuation report, 31 Mar 2026.
Ref: Detailed sec 37 (pdf p.619); Valuation Certificate sec 6; Value Summary sec 4 (pdf p.55-56)</t>
      </text>
    </comment>
    <comment ref="D98" authorId="0" shapeId="0">
      <text>
        <t>Source: KRT detailed valuation report, 31 Mar 2026.
Ref: Detailed sec 37 (pdf p.619); Valuation Certificate sec 6; Value Summary sec 4 (pdf p.55-56)</t>
      </text>
    </comment>
    <comment ref="E98" authorId="0" shapeId="0">
      <text>
        <t>Source: KRT detailed valuation report, 31 Mar 2026.
Ref: Detailed sec 37 (pdf p.619); Valuation Certificate sec 6; Value Summary sec 4 (pdf p.55-56)</t>
      </text>
    </comment>
    <comment ref="F98" authorId="0" shapeId="0">
      <text>
        <t>Source: KRT detailed valuation report, 31 Mar 2026.
Ref: Detailed sec 37 (pdf p.619); Valuation Certificate sec 6; Value Summary sec 4 (pdf p.55-56)</t>
      </text>
    </comment>
    <comment ref="H98" authorId="0" shapeId="0">
      <text>
        <t>Source: KRT detailed valuation report, 31 Mar 2026.
Ref: Detailed sec 37 (pdf p.619); Valuation Certificate sec 6; Value Summary sec 4 (pdf p.55-56)</t>
      </text>
    </comment>
    <comment ref="P98" authorId="0" shapeId="0">
      <text>
        <t>Computed = Market rent / In-place rent - 1</t>
      </text>
    </comment>
    <comment ref="T98" authorId="0" shapeId="0">
      <text>
        <t>Source: KRT detailed valuation report, 31 Mar 2026.
Ref: Detailed sec 37 (pdf p.619); Valuation Certificate sec 6; Value Summary sec 4 (pdf p.55-56)</t>
      </text>
    </comment>
    <comment ref="U98" authorId="0" shapeId="0">
      <text>
        <t>Source: KRT detailed valuation report, 31 Mar 2026.
Ref: Detailed sec 37 (pdf p.619); Valuation Certificate sec 6; Value Summary sec 4 (pdf p.55-56)</t>
      </text>
    </comment>
    <comment ref="V98" authorId="0" shapeId="0">
      <text>
        <t>Computed = Market value / leasable sq ft</t>
      </text>
    </comment>
    <comment ref="W98" authorId="0" shapeId="0">
      <text>
        <t>Source: KRT detailed valuation report, 31 Mar 2026.
Ref: Detailed sec 37 (pdf p.619); Valuation Certificate sec 6; Value Summary sec 4 (pdf p.55-56)</t>
      </text>
    </comment>
    <comment ref="Y98" authorId="0" shapeId="0">
      <text>
        <t>Source: KRT detailed valuation report, 31 Mar 2026.
Ref: Detailed sec 37 (pdf p.619); Valuation Certificate sec 6; Value Summary sec 4 (pdf p.55-56)</t>
      </text>
    </comment>
    <comment ref="A99" authorId="0" shapeId="0">
      <text>
        <t>Source: KRT detailed valuation report, 31 Mar 2026.
Ref: Detailed sec 38 (pdf p.626); Valuation Certificate sec 6; Value Summary sec 4 (pdf p.55-56)</t>
      </text>
    </comment>
    <comment ref="B99" authorId="0" shapeId="0">
      <text>
        <t>Source: KRT detailed valuation report, 31 Mar 2026.
Ref: Detailed sec 38 (pdf p.626); Valuation Certificate sec 6; Value Summary sec 4 (pdf p.55-56)</t>
      </text>
    </comment>
    <comment ref="C99" authorId="0" shapeId="0">
      <text>
        <t>Source: KRT detailed valuation report, 31 Mar 2026.
Ref: Detailed sec 38 (pdf p.626); Valuation Certificate sec 6; Value Summary sec 4 (pdf p.55-56)</t>
      </text>
    </comment>
    <comment ref="D99" authorId="0" shapeId="0">
      <text>
        <t>Source: KRT detailed valuation report, 31 Mar 2026.
Ref: Detailed sec 38 (pdf p.626); Valuation Certificate sec 6; Value Summary sec 4 (pdf p.55-56)</t>
      </text>
    </comment>
    <comment ref="E99" authorId="0" shapeId="0">
      <text>
        <t>Source: KRT detailed valuation report, 31 Mar 2026.
Ref: Detailed sec 38 (pdf p.626); Valuation Certificate sec 6; Value Summary sec 4 (pdf p.55-56)</t>
      </text>
    </comment>
    <comment ref="F99" authorId="0" shapeId="0">
      <text>
        <t>Source: KRT detailed valuation report, 31 Mar 2026.
Ref: Detailed sec 38 (pdf p.626); Valuation Certificate sec 6; Value Summary sec 4 (pdf p.55-56)</t>
      </text>
    </comment>
    <comment ref="H99" authorId="0" shapeId="0">
      <text>
        <t>Source: KRT detailed valuation report, 31 Mar 2026.
Ref: Detailed sec 38 (pdf p.626); Valuation Certificate sec 6; Value Summary sec 4 (pdf p.55-56)</t>
      </text>
    </comment>
    <comment ref="P99" authorId="0" shapeId="0">
      <text>
        <t>Computed = Market rent / In-place rent - 1</t>
      </text>
    </comment>
    <comment ref="T99" authorId="0" shapeId="0">
      <text>
        <t>Source: KRT detailed valuation report, 31 Mar 2026.
Ref: Detailed sec 38 (pdf p.626); Valuation Certificate sec 6; Value Summary sec 4 (pdf p.55-56)</t>
      </text>
    </comment>
    <comment ref="U99" authorId="0" shapeId="0">
      <text>
        <t>Source: KRT detailed valuation report, 31 Mar 2026.
Ref: Detailed sec 38 (pdf p.626); Valuation Certificate sec 6; Value Summary sec 4 (pdf p.55-56)</t>
      </text>
    </comment>
    <comment ref="V99" authorId="0" shapeId="0">
      <text>
        <t>Computed = Market value / leasable sq ft</t>
      </text>
    </comment>
    <comment ref="W99" authorId="0" shapeId="0">
      <text>
        <t>Source: KRT detailed valuation report, 31 Mar 2026.
Ref: Detailed sec 38 (pdf p.626); Valuation Certificate sec 6; Value Summary sec 4 (pdf p.55-56)</t>
      </text>
    </comment>
    <comment ref="Y99" authorId="0" shapeId="0">
      <text>
        <t>Source: KRT detailed valuation report, 31 Mar 2026.
Ref: Detailed sec 38 (pdf p.626); Valuation Certificate sec 6; Value Summary sec 4 (pdf p.55-56)</t>
      </text>
    </comment>
    <comment ref="A100" authorId="0" shapeId="0">
      <text>
        <t>Source: KRT detailed valuation report, 31 Mar 2026.
Ref: Detailed sec 39 (pdf p.634); Valuation Certificate sec 6; Value Summary sec 4 (pdf p.55-56)</t>
      </text>
    </comment>
    <comment ref="B100" authorId="0" shapeId="0">
      <text>
        <t>Source: KRT detailed valuation report, 31 Mar 2026.
Ref: Detailed sec 39 (pdf p.634); Valuation Certificate sec 6; Value Summary sec 4 (pdf p.55-56)</t>
      </text>
    </comment>
    <comment ref="C100" authorId="0" shapeId="0">
      <text>
        <t>Source: KRT detailed valuation report, 31 Mar 2026.
Ref: Detailed sec 39 (pdf p.634); Valuation Certificate sec 6; Value Summary sec 4 (pdf p.55-56)</t>
      </text>
    </comment>
    <comment ref="D100" authorId="0" shapeId="0">
      <text>
        <t>Source: KRT detailed valuation report, 31 Mar 2026.
Ref: Detailed sec 39 (pdf p.634); Valuation Certificate sec 6; Value Summary sec 4 (pdf p.55-56)</t>
      </text>
    </comment>
    <comment ref="E100" authorId="0" shapeId="0">
      <text>
        <t>Source: KRT detailed valuation report, 31 Mar 2026.
Ref: Detailed sec 39 (pdf p.634); Valuation Certificate sec 6; Value Summary sec 4 (pdf p.55-56)</t>
      </text>
    </comment>
    <comment ref="F100" authorId="0" shapeId="0">
      <text>
        <t>Source: KRT detailed valuation report, 31 Mar 2026.
Ref: Detailed sec 39 (pdf p.634); Valuation Certificate sec 6; Value Summary sec 4 (pdf p.55-56)</t>
      </text>
    </comment>
    <comment ref="H100" authorId="0" shapeId="0">
      <text>
        <t>Source: KRT detailed valuation report, 31 Mar 2026.
Ref: Detailed sec 39 (pdf p.634); Valuation Certificate sec 6; Value Summary sec 4 (pdf p.55-56)</t>
      </text>
    </comment>
    <comment ref="P100" authorId="0" shapeId="0">
      <text>
        <t>Computed = Market rent / In-place rent - 1</t>
      </text>
    </comment>
    <comment ref="T100" authorId="0" shapeId="0">
      <text>
        <t>Source: KRT detailed valuation report, 31 Mar 2026.
Ref: Detailed sec 39 (pdf p.634); Valuation Certificate sec 6; Value Summary sec 4 (pdf p.55-56)</t>
      </text>
    </comment>
    <comment ref="U100" authorId="0" shapeId="0">
      <text>
        <t>Source: KRT detailed valuation report, 31 Mar 2026.
Ref: Detailed sec 39 (pdf p.634); Valuation Certificate sec 6; Value Summary sec 4 (pdf p.55-56)</t>
      </text>
    </comment>
    <comment ref="V100" authorId="0" shapeId="0">
      <text>
        <t>Computed = Market value / leasable sq ft</t>
      </text>
    </comment>
    <comment ref="W100" authorId="0" shapeId="0">
      <text>
        <t>Source: KRT detailed valuation report, 31 Mar 2026.
Ref: Detailed sec 39 (pdf p.634); Valuation Certificate sec 6; Value Summary sec 4 (pdf p.55-56)</t>
      </text>
    </comment>
    <comment ref="Y100" authorId="0" shapeId="0">
      <text>
        <t>Source: KRT detailed valuation report, 31 Mar 2026.
Ref: Detailed sec 39 (pdf p.634); Valuation Certificate sec 6; Value Summary sec 4 (pdf p.55-56)</t>
      </text>
    </comment>
    <comment ref="A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B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C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D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E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F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G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H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I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J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K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L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M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N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O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P101" authorId="0" shapeId="0">
      <text>
        <t>Computed = Market rent / In-place rent - 1</t>
      </text>
    </comment>
    <comment ref="Q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R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S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T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U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V101" authorId="0" shapeId="0">
      <text>
        <t>Computed = Market value / leasable sq ft</t>
      </text>
    </comment>
    <comment ref="Y101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A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B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C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D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E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F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G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H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I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J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K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L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M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N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O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P102" authorId="0" shapeId="0">
      <text>
        <t>Computed = Market rent / In-place rent - 1</t>
      </text>
    </comment>
    <comment ref="Q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R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S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T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U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V102" authorId="0" shapeId="0">
      <text>
        <t>Computed = Market value / leasable sq ft</t>
      </text>
    </comment>
    <comment ref="Y102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A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B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C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D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E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F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G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H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I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J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K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L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M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N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O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P103" authorId="0" shapeId="0">
      <text>
        <t>Computed = Market rent / In-place rent - 1</t>
      </text>
    </comment>
    <comment ref="Q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R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S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T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U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V103" authorId="0" shapeId="0">
      <text>
        <t>Computed = Market value / leasable sq ft</t>
      </text>
    </comment>
    <comment ref="Y103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A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B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C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D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E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F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G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H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I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J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K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L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M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N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O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P104" authorId="0" shapeId="0">
      <text>
        <t>Computed = Market rent / In-place rent - 1</t>
      </text>
    </comment>
    <comment ref="Q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R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S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T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U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V104" authorId="0" shapeId="0">
      <text>
        <t>Computed = Market value / leasable sq ft</t>
      </text>
    </comment>
    <comment ref="Y104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A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B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C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D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E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F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G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H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I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J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K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L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M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N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O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P105" authorId="0" shapeId="0">
      <text>
        <t>Computed = Market rent / In-place rent - 1</t>
      </text>
    </comment>
    <comment ref="Q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R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S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T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U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V105" authorId="0" shapeId="0">
      <text>
        <t>Computed = Market value / leasable sq ft</t>
      </text>
    </comment>
    <comment ref="Y105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A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B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C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D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E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F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G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H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J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K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L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M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N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O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P106" authorId="0" shapeId="0">
      <text>
        <t>Computed = Market rent / In-place rent - 1</t>
      </text>
    </comment>
    <comment ref="Q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R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S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T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U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V106" authorId="0" shapeId="0">
      <text>
        <t>Computed = Market value / leasable sq ft</t>
      </text>
    </comment>
    <comment ref="Y106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A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B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C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D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E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F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G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H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P107" authorId="0" shapeId="0">
      <text>
        <t>Computed = Market rent / In-place rent - 1</t>
      </text>
    </comment>
    <comment ref="S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T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U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V107" authorId="0" shapeId="0">
      <text>
        <t>Computed = Market value / leasable sq ft</t>
      </text>
    </comment>
    <comment ref="Y107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A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B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C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D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E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F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G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H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P108" authorId="0" shapeId="0">
      <text>
        <t>Computed = Market rent / In-place rent - 1</t>
      </text>
    </comment>
    <comment ref="S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T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U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V108" authorId="0" shapeId="0">
      <text>
        <t>Computed = Market value / leasable sq ft</t>
      </text>
    </comment>
    <comment ref="Y108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A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B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C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D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E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F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H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P109" authorId="0" shapeId="0">
      <text>
        <t>Computed = Market rent / In-place rent - 1</t>
      </text>
    </comment>
    <comment ref="U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V109" authorId="0" shapeId="0">
      <text>
        <t>Computed = Market value / leasable sq ft</t>
      </text>
    </comment>
    <comment ref="Y109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A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B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C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D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E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F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G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H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I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J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L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M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N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O4" authorId="0" shapeId="0">
      <text>
        <t>Computed = Market rent / In-place rent - 1</t>
      </text>
    </comment>
    <comment ref="P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R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S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T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U4" authorId="0" shapeId="0">
      <text>
        <t>Computed = Market value / leasable sq ft</t>
      </text>
    </comment>
    <comment ref="V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W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X4" authorId="0" shapeId="0">
      <text>
        <t>Source: Embassy independent valuation report, 31 Mar 2026.
Ref: Mixed-use: completed office 14.6 msf + UC/proposed office 2.6 msf + Hotel (5-star 266 keys, 3-star 353 keys). Value split: completed 242,591 + UC/proposed 17,026 + hotel 19,072. Ca</t>
      </text>
    </comment>
    <comment ref="A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B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C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D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E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F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G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H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I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J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L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M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N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O5" authorId="0" shapeId="0">
      <text>
        <t>Computed = Market rent / In-place rent - 1</t>
      </text>
    </comment>
    <comment ref="P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R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S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T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U5" authorId="0" shapeId="0">
      <text>
        <t>Computed = Market value / leasable sq ft</t>
      </text>
    </comment>
    <comment ref="V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W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X5" authorId="0" shapeId="0">
      <text>
        <t>Source: Embassy independent valuation report, 31 Mar 2026.
Ref: Mixed-use: completed office 9.2 msf + UC office 0.4 msf + 2 UC hotels (5-star 311 keys, 3-star 207 keys). Value split: completed 153,974 + UC/proposed 4,258 + hotel 8,014. Cap 8% o</t>
      </text>
    </comment>
    <comment ref="A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B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C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D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E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F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G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H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I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J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L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M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N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O6" authorId="0" shapeId="0">
      <text>
        <t>Computed = Market rent / In-place rent - 1</t>
      </text>
    </comment>
    <comment ref="P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R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S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T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U6" authorId="0" shapeId="0">
      <text>
        <t>Computed = Market value / leasable sq ft</t>
      </text>
    </comment>
    <comment ref="V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W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X6" authorId="0" shapeId="0">
      <text>
        <t>Source: Embassy independent valuation report, 31 Mar 2026.
Ref: 100% property value = GolfLinks 84,937 + Pinehurst 8,829 = 93,766; REIT economic interest = 50% of GolfLinks + 100% Pinehurst = 51,298 (this is the share-of-total value shown in th</t>
      </text>
    </comment>
    <comment ref="A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B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C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D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E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F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G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H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I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J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L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M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N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O7" authorId="0" shapeId="0">
      <text>
        <t>Computed = Market rent / In-place rent - 1</t>
      </text>
    </comment>
    <comment ref="P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R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S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T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U7" authorId="0" shapeId="0">
      <text>
        <t>Computed = Market value / leasable sq ft</t>
      </text>
    </comment>
    <comment ref="V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W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X7" authorId="0" shapeId="0">
      <text>
        <t>Source: Embassy independent valuation report, 31 Mar 2026.
Ref: Mixed-use: completed office 0.3 msf (Pinnacle tower) + Four Seasons hotel 230 keys (5-star). Value split: office 5,902 + hotel 9,818 = 15,720. Cap 7.75% office, 7.14% hospitality (</t>
      </text>
    </comment>
    <comment ref="A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B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C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D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E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F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G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H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I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J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M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N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O8" authorId="0" shapeId="0">
      <text>
        <t>Computed = Market rent / In-place rent - 1</t>
      </text>
    </comment>
    <comment ref="Q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R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S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T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U8" authorId="0" shapeId="0">
      <text>
        <t>Computed = Market value / leasable sq ft</t>
      </text>
    </comment>
    <comment ref="V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W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X8" authorId="0" shapeId="0">
      <text>
        <t xml:space="preserve">Source: Embassy independent valuation report, 31 Mar 2026.
Ref: REIT share (developer share under JDA) approx. 1.4 msf: Phase I completed 0.4 msf (single tenant Philips India, lease to Nov 2038) + Phase II UC 1.0 msf (completion FY2028). Value </t>
      </text>
    </comment>
    <comment ref="A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B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C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D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E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F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G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H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I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J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L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M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N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O9" authorId="0" shapeId="0">
      <text>
        <t>Computed = Market rent / In-place rent - 1</t>
      </text>
    </comment>
    <comment ref="P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R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S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T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U9" authorId="0" shapeId="0">
      <text>
        <t>Computed = Market value / leasable sq ft</t>
      </text>
    </comment>
    <comment ref="V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W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X9" authorId="0" shapeId="0">
      <text>
        <t>Source: Embassy independent valuation report, 31 Mar 2026.
Ref: Completed office 0.5 msf (= total). Cap 7.5% (recorded 8, rounded); discount 11.5% operational. Office mkt rent revised 300-&gt;350; in-place 296. Age ~56 yrs, LEED Platinum. Acquisit</t>
      </text>
    </comment>
    <comment ref="A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B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C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D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E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F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G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H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I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J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L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M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N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O10" authorId="0" shapeId="0">
      <text>
        <t>Computed = Market rent / In-place rent - 1</t>
      </text>
    </comment>
    <comment ref="P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R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S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T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U10" authorId="0" shapeId="0">
      <text>
        <t>Computed = Market value / leasable sq ft</t>
      </text>
    </comment>
    <comment ref="V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W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X10" authorId="0" shapeId="0">
      <text>
        <t>Source: Embassy independent valuation report, 31 Mar 2026.
Ref: Completed office 1.2 msf (3 towers A/B/C). Cap 8%; discount 11.5% operational. Office mkt rent revised 121-&gt;135; retail mkt rent 250; in-place 118. LEED Platinum. Acquisition price</t>
      </text>
    </comment>
    <comment ref="A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B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C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D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E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F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G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H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I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J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L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M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N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O11" authorId="0" shapeId="0">
      <text>
        <t>Computed = Market rent / In-place rent - 1</t>
      </text>
    </comment>
    <comment ref="P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R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S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T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U11" authorId="0" shapeId="0">
      <text>
        <t>Computed = Market value / leasable sq ft</t>
      </text>
    </comment>
    <comment ref="V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W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X11" authorId="0" shapeId="0">
      <text>
        <t>Source: Embassy independent valuation report, 31 Mar 2026.
Ref: Leasehold interest in ~226,663 sqft (2 basements, part ground+1st, entire 2nd-7th floors) with 54.2% undivided land share. Cap 7.5% (recorded 8, rounded); discount 11.5% operationa</t>
      </text>
    </comment>
    <comment ref="A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B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C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D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E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F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G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H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I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J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L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M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N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O12" authorId="0" shapeId="0">
      <text>
        <t>Computed = Market rent / In-place rent - 1</t>
      </text>
    </comment>
    <comment ref="P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R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S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T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U12" authorId="0" shapeId="0">
      <text>
        <t>Computed = Market value / leasable sq ft</t>
      </text>
    </comment>
    <comment ref="V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W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X12" authorId="0" shapeId="0">
      <text>
        <t>Source: Embassy independent valuation report, 31 Mar 2026.
Ref: Mixed-use: completed office 3.0 msf + UC/proposed office 2.4 msf + 116-key hotel. Value split: completed 23,235 + UC/proposed 2,450 + hotel 239. Cap 8.25% office (recorded 8, round</t>
      </text>
    </comment>
    <comment ref="A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B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C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D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E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F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G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H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I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J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L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M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N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O13" authorId="0" shapeId="0">
      <text>
        <t>Computed = Market rent / In-place rent - 1</t>
      </text>
    </comment>
    <comment ref="P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R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S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T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U13" authorId="0" shapeId="0">
      <text>
        <t>Computed = Market value / leasable sq ft</t>
      </text>
    </comment>
    <comment ref="V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W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X13" authorId="0" shapeId="0">
      <text>
        <t>Source: Embassy independent valuation report, 31 Mar 2026.
Ref: Completed office 1.9 msf (all completed, no UC). Cap 8.25% (recorded 8, rounded); discount 11.5% operational. Very low occupancy 24%. Office mkt rent 46, in-place 56. Same SPV as E</t>
      </text>
    </comment>
    <comment ref="A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B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C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D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E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F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G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H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I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J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L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M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N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O14" authorId="0" shapeId="0">
      <text>
        <t>Computed = Market rent / In-place rent - 1</t>
      </text>
    </comment>
    <comment ref="P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R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S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T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U14" authorId="0" shapeId="0">
      <text>
        <t>Computed = Market value / leasable sq ft</t>
      </text>
    </comment>
    <comment ref="V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W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X14" authorId="0" shapeId="0">
      <text>
        <t>Source: Embassy independent valuation report, 31 Mar 2026.
Ref: Completed office 1.5 msf (5 SEZ + 1 Non-SEZ block). Cap 8.25% (recorded 8, rounded); discount 11.5% operational. Only freehold Pune asset. Office mkt rent 50, in-place 51. Acquisit</t>
      </text>
    </comment>
    <comment ref="A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B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C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D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E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F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G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H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I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J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L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M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N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O15" authorId="0" shapeId="0">
      <text>
        <t>Computed = Market rent / In-place rent - 1</t>
      </text>
    </comment>
    <comment ref="P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R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S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T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U15" authorId="0" shapeId="0">
      <text>
        <t>Computed = Market value / leasable sq ft</t>
      </text>
    </comment>
    <comment ref="V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W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X15" authorId="0" shapeId="0">
      <text>
        <t>Source: Embassy independent valuation report, 31 Mar 2026.
Ref: Completed office 3.3 msf (10 buildings incl food court). Cap 8%; discount 11.5% operational. Office mkt rent 59 (incl parking), in-place 57; retail mkt rent 85. Seismic Zone IV. Ac</t>
      </text>
    </comment>
    <comment ref="A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B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C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D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E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F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G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H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I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J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L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M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N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O16" authorId="0" shapeId="0">
      <text>
        <t>Computed = Market rent / In-place rent - 1</t>
      </text>
    </comment>
    <comment ref="P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R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S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T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U16" authorId="0" shapeId="0">
      <text>
        <t>Computed = Market value / leasable sq ft</t>
      </text>
    </comment>
    <comment ref="V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W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X16" authorId="0" shapeId="0">
      <text>
        <t>Source: Embassy independent valuation report, 31 Mar 2026.
Ref: Completed office 1.4 msf (5 Non-SEZ blocks). Rent roll ~99.6% occupied. Cap 8%; discount 11.5% operational. Office mkt rent 51 (incl parking), in-place 46; retail mkt rent 85. LEED</t>
      </text>
    </comment>
    <comment ref="A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B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C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D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E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F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G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H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I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J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L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O17" authorId="0" shapeId="0">
      <text>
        <t>Computed = Market rent / In-place rent - 1</t>
      </text>
    </comment>
    <comment ref="R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S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T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U17" authorId="0" shapeId="0">
      <text>
        <t>Computed = Market value / leasable sq ft</t>
      </text>
    </comment>
    <comment ref="V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X17" authorId="0" shapeId="0">
      <text>
        <t>Source: Embassy independent valuation report, 31 Mar 2026.
Ref: 247-key 5-star hotel (developed area ~0.5 msf). Stabilized occupancy 72% (FY2026); ADR INR 15,000/room/night +5% YoY from Oct 2026; F&amp;B revenue 40% of rooms revenue. Cap rate 7.14%</t>
      </text>
    </comment>
    <comment ref="A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B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C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D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E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F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G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H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I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J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L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M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N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O18" authorId="0" shapeId="0">
      <text>
        <t>Computed = Market rent / In-place rent - 1</t>
      </text>
    </comment>
    <comment ref="P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R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S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T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U18" authorId="0" shapeId="0">
      <text>
        <t>Computed = Market value / leasable sq ft</t>
      </text>
    </comment>
    <comment ref="V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W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X18" authorId="0" shapeId="0">
      <text>
        <t>Source: Embassy independent valuation report, 31 Mar 2026.
Ref: Mixed-use (IT/ITeS SEZ/Non-SEZ): completed 2.5 msf + UC/proposed 2.6 msf. Value split: completed 15,556 + UC 5,031 = 20,587. Cap 8% office/retail; discount 11.5% operational office</t>
      </text>
    </comment>
    <comment ref="A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B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C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D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E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F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G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O19" authorId="0" shapeId="0">
      <text>
        <t>Computed = Market rent / In-place rent - 1</t>
      </text>
    </comment>
    <comment ref="S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T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  <comment ref="U19" authorId="0" shapeId="0">
      <text>
        <t>Computed = Market value / leasable sq ft</t>
      </text>
    </comment>
    <comment ref="X19" authorId="0" shapeId="0">
      <text>
        <t>Source: Embassy independent valuation report, 31 Mar 2026.
Ref: Solar Park: installed capacity 130 MW DC / 100 MW AC; commissioned Feb 2018; ~215 MU/yr; CUF 17.35%. No leasable area or psf rent. Discount rate 11.5% (recorded 12, rounded); no ca</t>
      </text>
    </comment>
  </commentList>
</comments>
</file>

<file path=xl/comments/comment3.xml><?xml version="1.0" encoding="utf-8"?>
<comments xmlns="http://schemas.openxmlformats.org/spreadsheetml/2006/main">
  <authors>
    <author>Source</author>
  </authors>
  <commentList>
    <comment ref="A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B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C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D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E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F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G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H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I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J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K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L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M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N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O4" authorId="0" shapeId="0">
      <text>
        <t>Computed = Market rent / In-place rent - 1</t>
      </text>
    </comment>
    <comment ref="P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Q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R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S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T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U4" authorId="0" shapeId="0">
      <text>
        <t>Computed = Market value / leasable sq ft</t>
      </text>
    </comment>
    <comment ref="X4" authorId="0" shapeId="0">
      <text>
        <t xml:space="preserve">Source: Mindspace Q4 FY26 valuation report, 31 Mar 2026.
Ref: Grade A IT Park, 8 buildings (Non-SEZ 11,22; SEZ rest); Bldg 22 hotel. MREIT 89% interest (100% value INR89,481.03mn). Exit cap 7.75%, WACC 11.75%. Occ 96.3%/committed 98.7%. Land </t>
      </text>
    </comment>
    <comment ref="A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B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C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D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E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F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G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H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I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J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K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L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M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N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O5" authorId="0" shapeId="0">
      <text>
        <t>Computed = Market rent / In-place rent - 1</t>
      </text>
    </comment>
    <comment ref="P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Q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R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S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T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U5" authorId="0" shapeId="0">
      <text>
        <t>Computed = Market value / leasable sq ft</t>
      </text>
    </comment>
    <comment ref="X5" authorId="0" shapeId="0">
      <text>
        <t>Source: Mindspace Q4 FY26 valuation report, 31 Mar 2026.
Ref: IT Park Non-SEZ (incl retail). Exit cap 7.75%, WACC 11.75%. Occ 96.5%/committed 99.2%. Land 48.43 ac freehold. chunk a</t>
      </text>
    </comment>
    <comment ref="A6" authorId="0" shapeId="0">
      <text>
        <t>Source: Mindspace Q4 FY26 valuation report, 31 Mar 2026.
Ref: IT Park Non-SEZ. Exit cap 7.75%, WACC 11.75%. Occ 99.8%/committed 99.8%. Land 8.52 ac freehold. chunk a</t>
      </text>
    </comment>
    <comment ref="B6" authorId="0" shapeId="0">
      <text>
        <t>Source: Mindspace Q4 FY26 valuation report, 31 Mar 2026.
Ref: IT Park Non-SEZ. Exit cap 7.75%, WACC 11.75%. Occ 99.8%/committed 99.8%. Land 8.52 ac freehold. chunk a</t>
      </text>
    </comment>
    <comment ref="C6" authorId="0" shapeId="0">
      <text>
        <t>Source: Mindspace Q4 FY26 valuation report, 31 Mar 2026.
Ref: IT Park Non-SEZ. Exit cap 7.75%, WACC 11.75%. Occ 99.8%/committed 99.8%. Land 8.52 ac freehold. chunk a</t>
      </text>
    </comment>
    <comment ref="D6" authorId="0" shapeId="0">
      <text>
        <t>Source: Mindspace Q4 FY26 valuation report, 31 Mar 2026.
Ref: IT Park Non-SEZ. Exit cap 7.75%, WACC 11.75%. Occ 99.8%/committed 99.8%. Land 8.52 ac freehold. chunk a</t>
      </text>
    </comment>
    <comment ref="E6" authorId="0" shapeId="0">
      <text>
        <t>Source: Mindspace Q4 FY26 valuation report, 31 Mar 2026.
Ref: IT Park Non-SEZ. Exit cap 7.75%, WACC 11.75%. Occ 99.8%/committed 99.8%. Land 8.52 ac freehold. chunk a</t>
      </text>
    </comment>
    <comment ref="F6" authorId="0" shapeId="0">
      <text>
        <t>Source: Mindspace Q4 FY26 valuation report, 31 Mar 2026.
Ref: IT Park Non-SEZ. Exit cap 7.75%, WACC 11.75%. Occ 99.8%/committed 99.8%. Land 8.52 ac freehold. chunk a</t>
      </text>
    </comment>
    <comment ref="G6" authorId="0" shapeId="0">
      <text>
        <t>Source: Mindspace Q4 FY26 valuation report, 31 Mar 2026.
Ref: IT Park Non-SEZ. Exit cap 7.75%, WACC 11.75%. Occ 99.8%/committed 99.8%. Land 8.52 ac freehold. chunk a</t>
      </text>
    </comment>
    <comment ref="H6" authorId="0" shapeId="0">
      <text>
        <t>Source: Mindspace Q4 FY26 valuation report, 31 Mar 2026.
Ref: IT Park Non-SEZ. Exit cap 7.75%, WACC 11.75%. Occ 99.8%/committed 99.8%. Land 8.52 ac freehold. chunk a</t>
      </text>
    </comment>
    <comment ref="I6" authorId="0" shapeId="0">
      <text>
        <t>Source: Mindspace Q4 FY26 valuation report, 31 Mar 2026.
Ref: IT Park Non-SEZ. Exit cap 7.75%, WACC 11.75%. Occ 99.8%/committed 99.8%. Land 8.52 ac freehold. chunk a</t>
      </text>
    </comment>
    <comment ref="J6" authorId="0" shapeId="0">
      <text>
        <t>Source: Mindspace Q4 FY26 valuation report, 31 Mar 2026.
Ref: IT Park Non-SEZ. Exit cap 7.75%, WACC 11.75%. Occ 99.8%/committed 99.8%. Land 8.52 ac freehold. chunk a</t>
      </text>
    </comment>
    <comment ref="K6" authorId="0" shapeId="0">
      <text>
        <t>Source: Mindspace Q4 FY26 valuation report, 31 Mar 2026.
Ref: IT Park Non-SEZ. Exit cap 7.75%, WACC 11.75%. Occ 99.8%/committed 99.8%. Land 8.52 ac freehold. chunk a</t>
      </text>
    </comment>
    <comment ref="L6" authorId="0" shapeId="0">
      <text>
        <t>Source: Mindspace Q4 FY26 valuation report, 31 Mar 2026.
Ref: IT Park Non-SEZ. Exit cap 7.75%, WACC 11.75%. Occ 99.8%/committed 99.8%. Land 8.52 ac freehold. chunk a</t>
      </text>
    </comment>
    <comment ref="M6" authorId="0" shapeId="0">
      <text>
        <t>Source: Mindspace Q4 FY26 valuation report, 31 Mar 2026.
Ref: IT Park Non-SEZ. Exit cap 7.75%, WACC 11.75%. Occ 99.8%/committed 99.8%. Land 8.52 ac freehold. chunk a</t>
      </text>
    </comment>
    <comment ref="N6" authorId="0" shapeId="0">
      <text>
        <t>Source: Mindspace Q4 FY26 valuation report, 31 Mar 2026.
Ref: IT Park Non-SEZ. Exit cap 7.75%, WACC 11.75%. Occ 99.8%/committed 99.8%. Land 8.52 ac freehold. chunk a</t>
      </text>
    </comment>
    <comment ref="O6" authorId="0" shapeId="0">
      <text>
        <t>Computed = Market rent / In-place rent - 1</t>
      </text>
    </comment>
    <comment ref="P6" authorId="0" shapeId="0">
      <text>
        <t>Source: Mindspace Q4 FY26 valuation report, 31 Mar 2026.
Ref: IT Park Non-SEZ. Exit cap 7.75%, WACC 11.75%. Occ 99.8%/committed 99.8%. Land 8.52 ac freehold. chunk a</t>
      </text>
    </comment>
    <comment ref="Q6" authorId="0" shapeId="0">
      <text>
        <t>Source: Mindspace Q4 FY26 valuation report, 31 Mar 2026.
Ref: IT Park Non-SEZ. Exit cap 7.75%, WACC 11.75%. Occ 99.8%/committed 99.8%. Land 8.52 ac freehold. chunk a</t>
      </text>
    </comment>
    <comment ref="R6" authorId="0" shapeId="0">
      <text>
        <t>Source: Mindspace Q4 FY26 valuation report, 31 Mar 2026.
Ref: IT Park Non-SEZ. Exit cap 7.75%, WACC 11.75%. Occ 99.8%/committed 99.8%. Land 8.52 ac freehold. chunk a</t>
      </text>
    </comment>
    <comment ref="S6" authorId="0" shapeId="0">
      <text>
        <t>Source: Mindspace Q4 FY26 valuation report, 31 Mar 2026.
Ref: IT Park Non-SEZ. Exit cap 7.75%, WACC 11.75%. Occ 99.8%/committed 99.8%. Land 8.52 ac freehold. chunk a</t>
      </text>
    </comment>
    <comment ref="T6" authorId="0" shapeId="0">
      <text>
        <t>Source: Mindspace Q4 FY26 valuation report, 31 Mar 2026.
Ref: IT Park Non-SEZ. Exit cap 7.75%, WACC 11.75%. Occ 99.8%/committed 99.8%. Land 8.52 ac freehold. chunk a</t>
      </text>
    </comment>
    <comment ref="U6" authorId="0" shapeId="0">
      <text>
        <t>Computed = Market value / leasable sq ft</t>
      </text>
    </comment>
    <comment ref="X6" authorId="0" shapeId="0">
      <text>
        <t>Source: Mindspace Q4 FY26 valuation report, 31 Mar 2026.
Ref: IT Park Non-SEZ. Exit cap 7.75%, WACC 11.75%. Occ 99.8%/committed 99.8%. Land 8.52 ac freehold. chunk a</t>
      </text>
    </comment>
    <comment ref="A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B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C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D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E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F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G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H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I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J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K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L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O7" authorId="0" shapeId="0">
      <text>
        <t>Computed = Market rent / In-place rent - 1</t>
      </text>
    </comment>
    <comment ref="Q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T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U7" authorId="0" shapeId="0">
      <text>
        <t>Computed = Market value / leasable sq ft</t>
      </text>
    </comment>
    <comment ref="X7" authorId="0" shapeId="0">
      <text>
        <t>Source: Mindspace Q4 FY26 valuation report, 31 Mar 2026.
Ref: Non-SEZ IT Park; built component 0.57 msf currently VACANT (NIL occupancy/tenants) + undeveloped land held at land value. Valued via Land &amp; Building/DCF hybrid; land ~INR30.49mn/ac</t>
      </text>
    </comment>
    <comment ref="A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B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C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D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E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F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G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H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I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J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K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L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N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O8" authorId="0" shapeId="0">
      <text>
        <t>Computed = Market rent / In-place rent - 1</t>
      </text>
    </comment>
    <comment ref="P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Q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R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S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T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U8" authorId="0" shapeId="0">
      <text>
        <t>Computed = Market value / leasable sq ft</t>
      </text>
    </comment>
    <comment ref="X8" authorId="0" shapeId="0">
      <text>
        <t>Source: Mindspace Q4 FY26 valuation report, 31 Mar 2026.
Ref: SEZ IT/ITeS. Exit cap 7.75%, WACC 11.75%. Occ 100%/committed 100%. Sustain entitled 65.5% undivided share of 9.07 ac land. Market rent per JLL (not a single psf figure in exec summ</t>
      </text>
    </comment>
    <comment ref="A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B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C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D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E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F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G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H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I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J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K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L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M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N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O9" authorId="0" shapeId="0">
      <text>
        <t>Computed = Market rent / In-place rent - 1</t>
      </text>
    </comment>
    <comment ref="P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Q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R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S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T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U9" authorId="0" shapeId="0">
      <text>
        <t>Computed = Market value / leasable sq ft</t>
      </text>
    </comment>
    <comment ref="X9" authorId="0" shapeId="0">
      <text>
        <t>Source: Mindspace Q4 FY26 valuation report, 31 Mar 2026.
Ref: Non-SEZ office. Exit cap 8.00%, WACC 11.75%. Occ 61.5%/committed 72.3%. Market/marginal office rent INR60/psf/mo. Land ~6 ac freehold. chunk b</t>
      </text>
    </comment>
    <comment ref="A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B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C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D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E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F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G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H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I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J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K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L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M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N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O10" authorId="0" shapeId="0">
      <text>
        <t>Computed = Market rent / In-place rent - 1</t>
      </text>
    </comment>
    <comment ref="P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Q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R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S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T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U10" authorId="0" shapeId="0">
      <text>
        <t>Computed = Market value / leasable sq ft</t>
      </text>
    </comment>
    <comment ref="X10" authorId="0" shapeId="0">
      <text>
        <t xml:space="preserve">Source: Mindspace Q4 FY26 valuation report, 31 Mar 2026.
Ref: Grade A IT SEZ. Total 7.4 msf = 4.98 completed (occ/tenants shown) + 2.41 under-constr/future (B17 hotel+office, Bldg15; NIL occupancy). Exit cap 8.00%; WACC 11.75% completed, 13% </t>
      </text>
    </comment>
    <comment ref="A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B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C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D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E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F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G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H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I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J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K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L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M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N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O11" authorId="0" shapeId="0">
      <text>
        <t>Computed = Market rent / In-place rent - 1</t>
      </text>
    </comment>
    <comment ref="P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Q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R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S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T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U11" authorId="0" shapeId="0">
      <text>
        <t>Computed = Market value / leasable sq ft</t>
      </text>
    </comment>
    <comment ref="X11" authorId="0" shapeId="0">
      <text>
        <t>Source: Mindspace Q4 FY26 valuation report, 31 Mar 2026.
Ref: IT SEZ w/ data-centre buildings. Total 6.46 msf incl UC data centres (B7,B9A,B11). Completed 5.41 msf occ 96.6%/committed 98.7%, 62 tenants. Exit cap 8.00% (completed; 8.25% termin</t>
      </text>
    </comment>
    <comment ref="A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B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C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D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E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F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G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H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I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J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K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L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M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N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O12" authorId="0" shapeId="0">
      <text>
        <t>Computed = Market rent / In-place rent - 1</t>
      </text>
    </comment>
    <comment ref="P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Q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R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S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T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U12" authorId="0" shapeId="0">
      <text>
        <t>Computed = Market value / leasable sq ft</t>
      </text>
    </comment>
    <comment ref="X12" authorId="0" shapeId="0">
      <text>
        <t>Source: Mindspace Q4 FY26 valuation report, 31 Mar 2026.
Ref: Office. Exit cap 8.00%, WACC 11.75%. Occ 98.6%/committed 98.6%, 9 tenants. Market/marginal rent INR116/psf/mo, in-place INR108.5. WALE 3.1 yrs. Land ~4.2 ac freehold. chunk b</t>
      </text>
    </comment>
    <comment ref="A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B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C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D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E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F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G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H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I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J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K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L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M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N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O13" authorId="0" shapeId="0">
      <text>
        <t>Computed = Market rent / In-place rent - 1</t>
      </text>
    </comment>
    <comment ref="Q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R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S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T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U13" authorId="0" shapeId="0">
      <text>
        <t>Computed = Market value / leasable sq ft</t>
      </text>
    </comment>
    <comment ref="X13" authorId="0" shapeId="0">
      <text>
        <t>Source: Mindspace Q4 FY26 valuation report, 31 Mar 2026.
Ref: BKC office, fully operational single-tenant. Exit cap ~7.5-7.75%, WACC 11.75%. Occ 100%/committed 100%, 1 office tenant. Market/marginal rent INR318, in-place INR240 psf/mo. MV INR</t>
      </text>
    </comment>
    <comment ref="A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B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C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D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E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F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G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H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I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J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K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L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M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N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O14" authorId="0" shapeId="0">
      <text>
        <t>Computed = Market rent / In-place rent - 1</t>
      </text>
    </comment>
    <comment ref="P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Q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R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S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T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U14" authorId="0" shapeId="0">
      <text>
        <t>Computed = Market value / leasable sq ft</t>
      </text>
    </comment>
    <comment ref="X14" authorId="0" shapeId="0">
      <text>
        <t>Source: Mindspace Q4 FY26 valuation report, 31 Mar 2026.
Ref: Commercial Non-SEZ + 36 residential units to rent. Exit cap 7.50%, WACC 11.75%. Occ 95.5%/committed 96.7%, 8 office tenants. Market rent INR340, in-place INR306.3 psf/mo. Leasehold</t>
      </text>
    </comment>
    <comment ref="A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B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C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D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E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F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G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H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I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J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K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L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M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N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O15" authorId="0" shapeId="0">
      <text>
        <t>Computed = Market rent / In-place rent - 1</t>
      </text>
    </comment>
    <comment ref="P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Q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R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S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T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U15" authorId="0" shapeId="0">
      <text>
        <t>Computed = Market value / leasable sq ft</t>
      </text>
    </comment>
    <comment ref="X15" authorId="0" shapeId="0">
      <text>
        <t>Source: Mindspace Q4 FY26 valuation report, 31 Mar 2026.
Ref: Office. Exit cap 8.00%, WACC 11.75%. Occ 91.8%/committed 96.3%, 19 tenants. Market/marginal office rent INR82, in-place INR87.3 psf/mo. Land ~25.7 ac freehold. chunk c</t>
      </text>
    </comment>
    <comment ref="A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B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C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D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E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F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G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H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I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J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K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L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M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N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O16" authorId="0" shapeId="0">
      <text>
        <t>Computed = Market rent / In-place rent - 1</t>
      </text>
    </comment>
    <comment ref="P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Q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R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S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T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U16" authorId="0" shapeId="0">
      <text>
        <t>Computed = Market value / leasable sq ft</t>
      </text>
    </comment>
    <comment ref="X16" authorId="0" shapeId="0">
      <text>
        <t>Source: Mindspace Q4 FY26 valuation report, 31 Mar 2026.
Ref: SEZ IT. Exit cap 7.75%, WACC 11.75% completed/13% UC. Occ 100%/100%, 28 tenants. Market office rent INR90, in-place INR85.4 psf/mo. Land ~26 ac freehold. chunk c</t>
      </text>
    </comment>
    <comment ref="A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B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C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D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E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F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G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H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I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J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K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L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M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N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O17" authorId="0" shapeId="0">
      <text>
        <t>Computed = Market rent / In-place rent - 1</t>
      </text>
    </comment>
    <comment ref="P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Q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R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S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T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U17" authorId="0" shapeId="0">
      <text>
        <t>Computed = Market value / leasable sq ft</t>
      </text>
    </comment>
    <comment ref="X17" authorId="0" shapeId="0">
      <text>
        <t>Source: Mindspace Q4 FY26 valuation report, 31 Mar 2026.
Ref: Office. Exit cap 8.00%, WACC 11.75%. Occ 100%/100%, 4 tenants. Market office rent INR85, in-place INR85.3 psf/mo. Land ~10.1 ac freehold. chunk c</t>
      </text>
    </comment>
    <comment ref="A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B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C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D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E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F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G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H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I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J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K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L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M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N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O18" authorId="0" shapeId="0">
      <text>
        <t>Computed = Market rent / In-place rent - 1</t>
      </text>
    </comment>
    <comment ref="P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Q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R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S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T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U18" authorId="0" shapeId="0">
      <text>
        <t>Computed = Market value / leasable sq ft</t>
      </text>
    </comment>
    <comment ref="X18" authorId="0" shapeId="0">
      <text>
        <t>Source: Mindspace Q4 FY26 valuation report, 31 Mar 2026.
Ref: Single office building B8. Exit cap office 8.00%, WACC 11.75%. Occ 88.1%/committed 94.2%, 1 tenant. Market office rent INR84 (amenity INR65), in-place INR86.2 psf/mo. Land ~0.67 ac</t>
      </text>
    </comment>
    <comment ref="A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B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C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D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E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F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G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H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I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J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K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L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M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N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O19" authorId="0" shapeId="0">
      <text>
        <t>Computed = Market rent / In-place rent - 1</t>
      </text>
    </comment>
    <comment ref="Q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R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S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T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U19" authorId="0" shapeId="0">
      <text>
        <t>Computed = Market value / leasable sq ft</t>
      </text>
    </comment>
    <comment ref="X19" authorId="0" shapeId="0">
      <text>
        <t>Source: Mindspace Q4 FY26 valuation report, 31 Mar 2026.
Ref: Office. Exit cap 7.75%, WACC 11.75%. Occ 99.5%/committed 100%, 16 tenants. Market/marginal office rent INR72, in-place INR65.7 psf/mo. Land ~6.13 ac freehold. WALE not cleanly capt</t>
      </text>
    </comment>
    <comment ref="A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B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C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D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E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F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G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H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I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J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K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L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M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N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O20" authorId="0" shapeId="0">
      <text>
        <t>Computed = Market rent / In-place rent - 1</t>
      </text>
    </comment>
    <comment ref="Q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R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S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T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  <comment ref="U20" authorId="0" shapeId="0">
      <text>
        <t>Computed = Market value / leasable sq ft</t>
      </text>
    </comment>
    <comment ref="X20" authorId="0" shapeId="0">
      <text>
        <t>Source: Mindspace Q4 FY26 valuation report, 31 Mar 2026.
Ref: Commercial Non-SEZ. Leasable 0.22 msf, completed ~0.16 msf. Exit cap 7.50%, WACC 11.75%. Occ 100%/100%, 1 office tenant. Market rent INR250, in-place INR197.1 psf/mo. Land ~1.08 ac</t>
      </text>
    </comment>
  </commentList>
</comments>
</file>

<file path=xl/comments/comment4.xml><?xml version="1.0" encoding="utf-8"?>
<comments xmlns="http://schemas.openxmlformats.org/spreadsheetml/2006/main">
  <authors>
    <author>Source</author>
  </authors>
  <commentList>
    <comment ref="A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B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C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D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E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F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G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H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I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J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K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M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N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O4" authorId="0" shapeId="0">
      <text>
        <t>Computed = Market rent / In-place rent - 1</t>
      </text>
    </comment>
    <comment ref="P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R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S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T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U4" authorId="0" shapeId="0">
      <text>
        <t>Computed = Market value / leasable sq ft</t>
      </text>
    </comment>
    <comment ref="X4" authorId="0" shapeId="0">
      <text>
        <t>Source: Brookfield FY2026 summary valuation report, 31 Mar 2026.
Ref: Completed leasable 4,083,525 sqft (13 bldgs, 83.34% committed occ) + future dev 99,924 sqft. WACC operational 11.50%, WACC under-construction/future dev 12.75% (discount_rate shown</t>
      </text>
    </comment>
    <comment ref="A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B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C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D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E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F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G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I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J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K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M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N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O5" authorId="0" shapeId="0">
      <text>
        <t>Computed = Market rent / In-place rent - 1</t>
      </text>
    </comment>
    <comment ref="P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R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S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T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U5" authorId="0" shapeId="0">
      <text>
        <t>Computed = Market value / leasable sq ft</t>
      </text>
    </comment>
    <comment ref="X5" authorId="0" shapeId="0">
      <text>
        <t>Source: Brookfield FY2026 summary valuation report, 31 Mar 2026.
Ref: Completed 20,23,237 sqft (7 bldgs, 97.96% committed occ) + future dev 0.86 msf. REIT share 100%. WACC operational 11.50%, UC 12.75%. Completed MV 26,026mn + future dev 3,459mn = 29</t>
      </text>
    </comment>
    <comment ref="A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B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C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D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E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F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G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I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J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K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M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N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O6" authorId="0" shapeId="0">
      <text>
        <t>Computed = Market rent / In-place rent - 1</t>
      </text>
    </comment>
    <comment ref="P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R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S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T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U6" authorId="0" shapeId="0">
      <text>
        <t>Computed = Market value / leasable sq ft</t>
      </text>
    </comment>
    <comment ref="X6" authorId="0" shapeId="0">
      <text>
        <t>Source: Brookfield FY2026 summary valuation report, 31 Mar 2026.
Ref: Completed 39,15,881 sqft (14 bldgs, 93.52% committed occ) + future dev 0.77 msf. REIT share 100%. Achievable mkt rent: 70 SEZ office / 57 non-SEZ / 60 mixed-use retail; inplace(cur</t>
      </text>
    </comment>
    <comment ref="A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B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C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D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E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F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G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I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J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K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M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N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O7" authorId="0" shapeId="0">
      <text>
        <t>Computed = Market rent / In-place rent - 1</t>
      </text>
    </comment>
    <comment ref="P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R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S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T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U7" authorId="0" shapeId="0">
      <text>
        <t>Computed = Market value / leasable sq ft</t>
      </text>
    </comment>
    <comment ref="X7" authorId="0" shapeId="0">
      <text>
        <t>Source: Brookfield FY2026 summary valuation report, 31 Mar 2026.
Ref: Completed 32,01,857 sqft (12 bldgs, 98.82% committed occ) + under construction 0.58 msf + future dev 2.11 msf. REIT share 100%. Achievable mkt rent 55 SEZ office /57 non-SEZ /60 mi</t>
      </text>
    </comment>
    <comment ref="A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B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C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D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E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F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G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H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I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J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K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M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N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O8" authorId="0" shapeId="0">
      <text>
        <t>Computed = Market rent / In-place rent - 1</t>
      </text>
    </comment>
    <comment ref="P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R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S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T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U8" authorId="0" shapeId="0">
      <text>
        <t>Computed = Market value / leasable sq ft</t>
      </text>
    </comment>
    <comment ref="X8" authorId="0" shapeId="0">
      <text>
        <t>Source: Brookfield FY2026 summary valuation report, 31 Mar 2026.
Ref: Single bldg two wings, 1,619,079 sqft, 95.61% committed occ (val rpt) / 96% (deck). REIT share 100%. Deck groups Kensington under 'Downtown Powai - SEZ' (100% economic interest). P</t>
      </text>
    </comment>
    <comment ref="A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B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C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D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E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F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G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I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J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K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M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N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O9" authorId="0" shapeId="0">
      <text>
        <t>Computed = Market rent / In-place rent - 1</t>
      </text>
    </comment>
    <comment ref="P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R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S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T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U9" authorId="0" shapeId="0">
      <text>
        <t>Computed = Market value / leasable sq ft</t>
      </text>
    </comment>
    <comment ref="X9" authorId="0" shapeId="0">
      <text>
        <t>Source: Brookfield FY2026 summary valuation report, 31 Mar 2026.
Ref: JV / North Commercial Portfolio - equity-accounted; REIT economic interest 50% (deck). Val report MV of financial interest is 100% asset value 60,489mn (completed 59,924mn + future</t>
      </text>
    </comment>
    <comment ref="A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B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C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D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E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F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G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I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J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K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M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N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O10" authorId="0" shapeId="0">
      <text>
        <t>Computed = Market rent / In-place rent - 1</t>
      </text>
    </comment>
    <comment ref="P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S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T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U10" authorId="0" shapeId="0">
      <text>
        <t>Computed = Market value / leasable sq ft</t>
      </text>
    </comment>
    <comment ref="X10" authorId="0" shapeId="0">
      <text>
        <t>Source: Brookfield FY2026 summary valuation report, 31 Mar 2026.
Ref: JV / North Commercial Portfolio - equity-accounted; REIT interest 50% Equity + 50% CCDs (val rpt sec 4.7.3); deck 'Downtown Powai - IT/Commercial' 50% economic interest. Val report</t>
      </text>
    </comment>
    <comment ref="A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B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C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D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E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F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G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H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I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J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K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M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N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O11" authorId="0" shapeId="0">
      <text>
        <t>Computed = Market rent / In-place rent - 1</t>
      </text>
    </comment>
    <comment ref="T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U11" authorId="0" shapeId="0">
      <text>
        <t>Computed = Market value / leasable sq ft</t>
      </text>
    </comment>
    <comment ref="X11" authorId="0" shapeId="0">
      <text>
        <t>Source: Brookfield FY2026 summary valuation report, 31 Mar 2026.
Ref: JV / North Commercial Portfolio - equity-accounted; part of 'Worldmark, New Delhi' (deck 50% economic interest, WALE 5.1yr, inplace rent ~230 combined WM ND). Tower 1: 607,892 sqft</t>
      </text>
    </comment>
    <comment ref="A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B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C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D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E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F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G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H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I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J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K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M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N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O12" authorId="0" shapeId="0">
      <text>
        <t>Computed = Market rent / In-place rent - 1</t>
      </text>
    </comment>
    <comment ref="T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U12" authorId="0" shapeId="0">
      <text>
        <t>Computed = Market value / leasable sq ft</t>
      </text>
    </comment>
    <comment ref="X12" authorId="0" shapeId="0">
      <text>
        <t>Source: Brookfield FY2026 summary valuation report, 31 Mar 2026.
Ref: JV / North Commercial Portfolio - equity-accounted; part of 'Worldmark, New Delhi' (deck 50% economic interest). Tower 2&amp;3: 847,326 sqft, 92.90% committed occ. Cap rate NA; WACC op</t>
      </text>
    </comment>
    <comment ref="A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B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C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D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E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F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G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H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I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J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K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L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N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O13" authorId="0" shapeId="0">
      <text>
        <t>Computed = Market rent / In-place rent - 1</t>
      </text>
    </comment>
    <comment ref="P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Q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R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S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T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U13" authorId="0" shapeId="0">
      <text>
        <t>Computed = Market value / leasable sq ft</t>
      </text>
    </comment>
    <comment ref="X13" authorId="0" shapeId="0">
      <text>
        <t>Source: Brookfield FY2026 summary valuation report, 31 Mar 2026.
Ref: JV / North Commercial Portfolio - equity-accounted; REIT 50% economic interest (deck). Held by Rostrum Realty Pvt Ltd (also holds Pavilion Mall). Single bldg 692,585 sqft, 100% com</t>
      </text>
    </comment>
    <comment ref="A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B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C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D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E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F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G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H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I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J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K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L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N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O14" authorId="0" shapeId="0">
      <text>
        <t>Computed = Market rent / In-place rent - 1</t>
      </text>
    </comment>
    <comment ref="P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R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S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T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U14" authorId="0" shapeId="0">
      <text>
        <t>Computed = Market value / leasable sq ft</t>
      </text>
    </comment>
    <comment ref="X14" authorId="0" shapeId="0">
      <text>
        <t>Source: Brookfield FY2026 summary valuation report, 31 Mar 2026.
Ref: JV / North Commercial Portfolio - equity-accounted; REIT 50% economic interest (deck). Held by Oak Infrastructure Developers. 5 towers (Tower 1-5), 751,397 sqft, 92.2% committed oc</t>
      </text>
    </comment>
    <comment ref="A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B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C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D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E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F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G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H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I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J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K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L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N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O15" authorId="0" shapeId="0">
      <text>
        <t>Computed = Market rent / In-place rent - 1</t>
      </text>
    </comment>
    <comment ref="P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R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S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T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U15" authorId="0" shapeId="0">
      <text>
        <t>Computed = Market value / leasable sq ft</t>
      </text>
    </comment>
    <comment ref="X15" authorId="0" shapeId="0">
      <text>
        <t>Source: Brookfield FY2026 summary valuation report, 31 Mar 2026.
Ref: JV / North Commercial Portfolio - equity-accounted; REIT 50% economic interest (deck). Held by Rostrum Realty Pvt Ltd (with Airtel Centre). Retail mall, 1 tower 389,845 sqft, 79.15</t>
      </text>
    </comment>
    <comment ref="A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B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C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D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E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F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G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H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I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J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K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L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M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N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O16" authorId="0" shapeId="0">
      <text>
        <t>Computed = Market rent / In-place rent - 1</t>
      </text>
    </comment>
    <comment ref="P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R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S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T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  <comment ref="U16" authorId="0" shapeId="0">
      <text>
        <t>Computed = Market value / leasable sq ft</t>
      </text>
    </comment>
    <comment ref="X16" authorId="0" shapeId="0">
      <text>
        <t xml:space="preserve">Source: Brookfield FY2026 summary valuation report, 31 Mar 2026.
Ref: Acquired Q3 FY2026 (large-scale Bengaluru entry). 15 completed bldgs, 7,652,675 sqft, 94.3% effective committed occ (excl campus 3A/B/C; 94.7% incl) + future dev 79,634 sqft. REIT </t>
      </text>
    </comment>
  </commentList>
</comments>
</file>

<file path=xl/comments/comment5.xml><?xml version="1.0" encoding="utf-8"?>
<comments xmlns="http://schemas.openxmlformats.org/spreadsheetml/2006/main">
  <authors>
    <author>Source</author>
  </authors>
  <commentList>
    <comment ref="A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B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C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D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E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F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G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H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I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J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K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L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M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N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O4" authorId="0" shapeId="0">
      <text>
        <t>Computed = Market rent / In-place rent - 1</t>
      </text>
    </comment>
    <comment ref="P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Q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R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S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T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U4" authorId="0" shapeId="0">
      <text>
        <t>Computed = Market value / leasable sq ft</t>
      </text>
    </comment>
    <comment ref="X4" authorId="0" shapeId="0">
      <text>
        <t>Source: Nexus detailed valuation report, 31 Mar 2026.
Ref: Freehold. Committed occ 98.8% (cert p68); leased 531,773/550,908 sf. Market/marginal rent 534.7 psf/mo, in-place (warm shell) 470.1 psf/mo (p125). WALE 4.7yr by area / 3.7yr by ren</t>
      </text>
    </comment>
    <comment ref="A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B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C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D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E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F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G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H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I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J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K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L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M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N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O5" authorId="0" shapeId="0">
      <text>
        <t>Computed = Market rent / In-place rent - 1</t>
      </text>
    </comment>
    <comment ref="P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Q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R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S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T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U5" authorId="0" shapeId="0">
      <text>
        <t>Computed = Market value / leasable sq ft</t>
      </text>
    </comment>
    <comment ref="X5" authorId="0" shapeId="0">
      <text>
        <t>Source: Nexus detailed valuation report, 31 Mar 2026.
Ref: Freehold. RETAIL component only in this row (mall). Committed occ mall 94.4%; leased 1,210,824/1,326,512 sf. Mall market rent 208.9 psf/mo, in-place 197.0 psf/mo. Mall WALE 4.3yr a</t>
      </text>
    </comment>
    <comment ref="A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B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C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D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E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F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G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H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I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J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K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L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M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N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O6" authorId="0" shapeId="0">
      <text>
        <t>Computed = Market rent / In-place rent - 1</t>
      </text>
    </comment>
    <comment ref="P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Q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R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S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T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U6" authorId="0" shapeId="0">
      <text>
        <t>Computed = Market value / leasable sq ft</t>
      </text>
    </comment>
    <comment ref="X6" authorId="0" shapeId="0">
      <text>
        <t>Source: Nexus detailed valuation report, 31 Mar 2026.
Ref: Leasehold (CIDCO, 60yr from 2008; ~42yr remaining, perpetuity assumed). Committed occ 98.1%; leased 954,988/979,577 sf. Market rent 160.2, in-place 152.6 psf/mo. WALE 5.8yr area/4.</t>
      </text>
    </comment>
    <comment ref="A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B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C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D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E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F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G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H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I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J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K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L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M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N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O7" authorId="0" shapeId="0">
      <text>
        <t>Computed = Market rent / In-place rent - 1</t>
      </text>
    </comment>
    <comment ref="P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Q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R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S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T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U7" authorId="0" shapeId="0">
      <text>
        <t>Computed = Market value / leasable sq ft</t>
      </text>
    </comment>
    <comment ref="X7" authorId="0" shapeId="0">
      <text>
        <t>Source: Nexus detailed valuation report, 31 Mar 2026.
Ref: Leasehold (AUDA, 99yr from 2006; perpetuity assumed). Two phases (P-I 2011, P-II Aug 2021). Committed occ 96.0%; leased 845,775/888,276 sf. Market rent 145.7, in-place 131.6 psf/mo</t>
      </text>
    </comment>
    <comment ref="A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B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C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D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E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F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G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H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I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J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K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L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M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N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O8" authorId="0" shapeId="0">
      <text>
        <t>Computed = Market rent / In-place rent - 1</t>
      </text>
    </comment>
    <comment ref="P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Q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R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S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T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U8" authorId="0" shapeId="0">
      <text>
        <t>Computed = Market value / leasable sq ft</t>
      </text>
    </comment>
    <comment ref="X8" authorId="0" shapeId="0">
      <text>
        <t>Source: Nexus detailed valuation report, 31 Mar 2026.
Ref: Freehold. Committed occ 98.8%; leased 815,382/831,841 sf. Market rent 132.3, in-place 118.9 psf/mo. WALE 3.1yr area/2.9yr rental. Cap 8.00%. Value INR 19,783mn. Pages 76-77, cap p6</t>
      </text>
    </comment>
    <comment ref="A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B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C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D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E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F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G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H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I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J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K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L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M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N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O9" authorId="0" shapeId="0">
      <text>
        <t>Computed = Market rent / In-place rent - 1</t>
      </text>
    </comment>
    <comment ref="P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Q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R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S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T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U9" authorId="0" shapeId="0">
      <text>
        <t>Computed = Market value / leasable sq ft</t>
      </text>
    </comment>
    <comment ref="X9" authorId="0" shapeId="0">
      <text>
        <t>Source: Nexus detailed valuation report, 31 Mar 2026.
Ref: Freehold. Value/area reflect NHRPL economic interest of 307,374 sf = ownership 254,960 sf + short-term leasehold 21,877 sf + revenue-share 30,537 sf (both valid to 31 Mar 2028). Co</t>
      </text>
    </comment>
    <comment ref="A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B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C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D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E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F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G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H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I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J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K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L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M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N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O10" authorId="0" shapeId="0">
      <text>
        <t>Computed = Market rent / In-place rent - 1</t>
      </text>
    </comment>
    <comment ref="P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Q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R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S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T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U10" authorId="0" shapeId="0">
      <text>
        <t>Computed = Market value / leasable sq ft</t>
      </text>
    </comment>
    <comment ref="X10" authorId="0" shapeId="0">
      <text>
        <t xml:space="preserve">Source: Nexus detailed valuation report, 31 Mar 2026.
Ref: Freehold. RETAIL row (mall). Committed occ mall 99.4%; leased 637,489/653,765 sf. Mall market rent 117.1, in-place 109.8 psf/mo. Mall WALE 4.5yr area/3.9yr rental. Mall cap 8.00%. </t>
      </text>
    </comment>
    <comment ref="A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B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C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D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E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F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G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H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I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J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K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L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M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N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O11" authorId="0" shapeId="0">
      <text>
        <t>Computed = Market rent / In-place rent - 1</t>
      </text>
    </comment>
    <comment ref="P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Q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R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S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T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U11" authorId="0" shapeId="0">
      <text>
        <t>Computed = Market value / leasable sq ft</t>
      </text>
    </comment>
    <comment ref="X11" authorId="0" shapeId="0">
      <text>
        <t>Source: Nexus detailed valuation report, 31 Mar 2026.
Ref: Freehold. RETAIL row (mall). Committed occ mall 94.1%; leased 401,882/433,090 sf. Mall market rent 142.0, in-place 124.7 psf/mo. Mall WALE 8.1yr area/5.5yr rental. Mall cap 8.25% (</t>
      </text>
    </comment>
    <comment ref="A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B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C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D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E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F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G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H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I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J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K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L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M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N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O12" authorId="0" shapeId="0">
      <text>
        <t>Computed = Market rent / In-place rent - 1</t>
      </text>
    </comment>
    <comment ref="P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Q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R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S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T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U12" authorId="0" shapeId="0">
      <text>
        <t>Computed = Market value / leasable sq ft</t>
      </text>
    </comment>
    <comment ref="X12" authorId="0" shapeId="0">
      <text>
        <t>Source: Nexus detailed valuation report, 31 Mar 2026.
Ref: Part Freehold / Part Leasehold (~44yr remaining leasehold, perpetuity assumed). Committed occ 98.9%; leased 423,650/428,391 sf. Market rent 161.7, in-place 154.1 psf/mo. WALE 6.5yr</t>
      </text>
    </comment>
    <comment ref="A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B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C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D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E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F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G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H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I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J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K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L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M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N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O13" authorId="0" shapeId="0">
      <text>
        <t>Computed = Market rent / In-place rent - 1</t>
      </text>
    </comment>
    <comment ref="P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Q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R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S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T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U13" authorId="0" shapeId="0">
      <text>
        <t>Computed = Market value / leasable sq ft</t>
      </text>
    </comment>
    <comment ref="X13" authorId="0" shapeId="0">
      <text>
        <t xml:space="preserve">Source: Nexus detailed valuation report, 31 Mar 2026.
Ref: Freehold. Committed occ 97.4%; leased 509,841/539,181 sf. Market rent 99.1, in-place 89.5 psf/mo. WALE 7.7yr area/5.2yr rental. Cap 8.00%. Value INR 8,851mn. Pages 86-87, cap p61, </t>
      </text>
    </comment>
    <comment ref="A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B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C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D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E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F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G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H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I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J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K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L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M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N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O14" authorId="0" shapeId="0">
      <text>
        <t>Computed = Market rent / In-place rent - 1</t>
      </text>
    </comment>
    <comment ref="P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Q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R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S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T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U14" authorId="0" shapeId="0">
      <text>
        <t>Computed = Market value / leasable sq ft</t>
      </text>
    </comment>
    <comment ref="X14" authorId="0" shapeId="0">
      <text>
        <t>Source: Nexus detailed valuation report, 31 Mar 2026.
Ref: Freehold. Area &amp; value ADJUSTED for 64.90% economic interest. Total mall leasable 627,877 sf (0.63msf), NSRPL share 407,492 sf (0.41msf). Total asset value 100%=INR 14,267mn; adjus</t>
      </text>
    </comment>
    <comment ref="A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B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C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D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E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F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G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H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I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J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K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M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N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O15" authorId="0" shapeId="0">
      <text>
        <t>Computed = Market rent / In-place rent - 1</t>
      </text>
    </comment>
    <comment ref="P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Q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R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S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T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U15" authorId="0" shapeId="0">
      <text>
        <t>Computed = Market value / leasable sq ft</t>
      </text>
    </comment>
    <comment ref="X15" authorId="0" shapeId="0">
      <text>
        <t>Source: Nexus detailed valuation report, 31 Mar 2026.
Ref: Freehold. RETAIL row (mall). Committed occ mall 98.1%. Mall market rent 102.6, in-place 92.0 psf/mo. Mall WALE 3.7yr area/3.4yr rental. Mall cap 8.00%. Mall value INR 5,824mn. Comp</t>
      </text>
    </comment>
    <comment ref="A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B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C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D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E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F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G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H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I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J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K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M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N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O16" authorId="0" shapeId="0">
      <text>
        <t>Computed = Market rent / In-place rent - 1</t>
      </text>
    </comment>
    <comment ref="P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Q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R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S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T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U16" authorId="0" shapeId="0">
      <text>
        <t>Computed = Market value / leasable sq ft</t>
      </text>
    </comment>
    <comment ref="X16" authorId="0" shapeId="0">
      <text>
        <t xml:space="preserve">Source: Nexus detailed valuation report, 31 Mar 2026.
Ref: Leasehold (99yr from 2004; ~77yr remaining, perpetuity assumed). Committed occ 90.4%. Market rent 86.5, in-place 82.4 psf/mo. WALE 3.5yr area/3.4yr rental. Cap 8.25% (tier-2 city, </t>
      </text>
    </comment>
    <comment ref="A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B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C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D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E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F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G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H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I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J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K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M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N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O17" authorId="0" shapeId="0">
      <text>
        <t>Computed = Market rent / In-place rent - 1</t>
      </text>
    </comment>
    <comment ref="P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Q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R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S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T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U17" authorId="0" shapeId="0">
      <text>
        <t>Computed = Market value / leasable sq ft</t>
      </text>
    </comment>
    <comment ref="X17" authorId="0" shapeId="0">
      <text>
        <t xml:space="preserve">Source: Nexus detailed valuation report, 31 Mar 2026.
Ref: Freehold. Area &amp; value ADJUSTED for 68% economic interest. Total mall leasable 714,750 sf (0.71msf), NMRPL share 486,030 sf (0.49msf). Total asset value 100%=INR 7,436mn; adjusted </t>
      </text>
    </comment>
    <comment ref="A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B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C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D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E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F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G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H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I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J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K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L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M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N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O18" authorId="0" shapeId="0">
      <text>
        <t>Computed = Market rent / In-place rent - 1</t>
      </text>
    </comment>
    <comment ref="P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Q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R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S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T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U18" authorId="0" shapeId="0">
      <text>
        <t>Computed = Market value / leasable sq ft</t>
      </text>
    </comment>
    <comment ref="X18" authorId="0" shapeId="0">
      <text>
        <t xml:space="preserve">Source: Nexus detailed valuation report, 31 Mar 2026.
Ref: Freehold. Committed occ 99.7%; occupied 323,207/326,002 sf. Market rent 79.3, in-place 71.5 psf/mo. WALE 6.1yr area/4.8yr rental. Cap 8.25% (tier-2 city). Value INR 4,241mn. Pages </t>
      </text>
    </comment>
    <comment ref="A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B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C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D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E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F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G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H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I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J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K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L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M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N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O19" authorId="0" shapeId="0">
      <text>
        <t>Computed = Market rent / In-place rent - 1</t>
      </text>
    </comment>
    <comment ref="P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R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S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T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U19" authorId="0" shapeId="0">
      <text>
        <t>Computed = Market value / leasable sq ft</t>
      </text>
    </comment>
    <comment ref="X19" authorId="0" shapeId="0">
      <text>
        <t xml:space="preserve">Source: Nexus detailed valuation report, 31 Mar 2026.
Ref: Freehold. Committed occ 87.3%; leased 214,464/246,864 sf. Market rent 67.2, in-place 63.4 psf/mo. WALE 10.8yr area/11.7yr rental. Cap 8.50% (tier-2 city, high competition; highest </t>
      </text>
    </comment>
    <comment ref="A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B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C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D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E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F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G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O20" authorId="0" shapeId="0">
      <text>
        <t>Computed = Market rent / In-place rent - 1</t>
      </text>
    </comment>
    <comment ref="S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T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U20" authorId="0" shapeId="0">
      <text>
        <t>Computed = Market value / leasable sq ft</t>
      </text>
    </comment>
    <comment ref="X20" authorId="0" shapeId="0">
      <text>
        <t>Source: Nexus detailed valuation report, 31 Mar 2026.
Ref: Leasehold (67.925 acres, ~20yr remaining). NOT a mall: 15 MW (AC) captive solar PV plant with PPA supplying Nexus Koramangala, Shantiniketan, Whitefield, Centre City and Fiza. Valu</t>
      </text>
    </comment>
    <comment ref="A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B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C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D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E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F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G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H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I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J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K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M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N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O21" authorId="0" shapeId="0">
      <text>
        <t>Computed = Market rent / In-place rent - 1</t>
      </text>
    </comment>
    <comment ref="P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Q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R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S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T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U21" authorId="0" shapeId="0">
      <text>
        <t>Computed = Market value / leasable sq ft</t>
      </text>
    </comment>
    <comment ref="X21" authorId="0" shapeId="0">
      <text>
        <t xml:space="preserve">Source: Nexus detailed valuation report, 31 Mar 2026.
Ref: Freehold. Acquired Feb 2025 (post-IPO) at purchase price INR 8,697.5mn; not a related-party transaction. UDS in land for mall = 12,748 sqm. Committed occ 99.0%. Market rent 124.4, </t>
      </text>
    </comment>
    <comment ref="A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B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C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D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E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F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G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H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I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J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K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M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N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O22" authorId="0" shapeId="0">
      <text>
        <t>Computed = Market rent / In-place rent - 1</t>
      </text>
    </comment>
    <comment ref="P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Q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R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S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T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U22" authorId="0" shapeId="0">
      <text>
        <t>Computed = Market value / leasable sq ft</t>
      </text>
    </comment>
    <comment ref="X22" authorId="0" shapeId="0">
      <text>
        <t>Source: Nexus detailed valuation report, 31 Mar 2026.
Ref: Freehold. RETAIL row (mall). Acquired May 2025 (post-IPO) at purchase price INR 4,900mn; not related-party. Committed occ mall 99.3%. Mall market rent 125.5, in-place 110.0 psf/mo.</t>
      </text>
    </comment>
    <comment ref="A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B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C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D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E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F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G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H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I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J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K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L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M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N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O23" authorId="0" shapeId="0">
      <text>
        <t>Computed = Market rent / In-place rent - 1</t>
      </text>
    </comment>
    <comment ref="P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Q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R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S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T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  <comment ref="U23" authorId="0" shapeId="0">
      <text>
        <t>Computed = Market value / leasable sq ft</t>
      </text>
    </comment>
    <comment ref="X23" authorId="0" shapeId="0">
      <text>
        <t>Source: Nexus detailed valuation report, 31 Mar 2026.
Ref: Leasehold (renewable 4yr 11mo). Nexus Select Trust owns 50% economic interest. Area &amp; value ADJUSTED for 50% stake: total leasable 440,850 sf (0.43msf), share 220,425 sf (0.22msf);</t>
      </text>
    </comment>
  </commentList>
</comments>
</file>

<file path=xl/comments/comment6.xml><?xml version="1.0" encoding="utf-8"?>
<comments xmlns="http://schemas.openxmlformats.org/spreadsheetml/2006/main">
  <authors>
    <author>Source</author>
  </authors>
  <commentList>
    <comment ref="A4" authorId="0" shapeId="0">
      <text>
        <t>Source: KRT detailed valuation report, 31 Mar 2026.
Ref: Detailed sec 7 (pdf p.157); Valuation Certificate sec 6; Value Summary sec 4 (pdf p.55-56)</t>
      </text>
    </comment>
    <comment ref="B4" authorId="0" shapeId="0">
      <text>
        <t>Source: KRT detailed valuation report, 31 Mar 2026.
Ref: Detailed sec 7 (pdf p.157); Valuation Certificate sec 6; Value Summary sec 4 (pdf p.55-56)</t>
      </text>
    </comment>
    <comment ref="C4" authorId="0" shapeId="0">
      <text>
        <t>Source: KRT detailed valuation report, 31 Mar 2026.
Ref: Detailed sec 7 (pdf p.157); Valuation Certificate sec 6; Value Summary sec 4 (pdf p.55-56)</t>
      </text>
    </comment>
    <comment ref="D4" authorId="0" shapeId="0">
      <text>
        <t>Source: KRT detailed valuation report, 31 Mar 2026.
Ref: Detailed sec 7 (pdf p.157); Valuation Certificate sec 6; Value Summary sec 4 (pdf p.55-56)</t>
      </text>
    </comment>
    <comment ref="E4" authorId="0" shapeId="0">
      <text>
        <t>Source: KRT detailed valuation report, 31 Mar 2026.
Ref: Detailed sec 7 (pdf p.157); Valuation Certificate sec 6; Value Summary sec 4 (pdf p.55-56)</t>
      </text>
    </comment>
    <comment ref="F4" authorId="0" shapeId="0">
      <text>
        <t>Source: KRT detailed valuation report, 31 Mar 2026.
Ref: Detailed sec 7 (pdf p.157); Valuation Certificate sec 6; Value Summary sec 4 (pdf p.55-56)</t>
      </text>
    </comment>
    <comment ref="G4" authorId="0" shapeId="0">
      <text>
        <t>Source: KRT detailed valuation report, 31 Mar 2026.
Ref: Detailed sec 7 (pdf p.157); Valuation Certificate sec 6; Value Summary sec 4 (pdf p.55-56)</t>
      </text>
    </comment>
    <comment ref="H4" authorId="0" shapeId="0">
      <text>
        <t>Source: KRT detailed valuation report, 31 Mar 2026.
Ref: Detailed sec 7 (pdf p.157); Valuation Certificate sec 6; Value Summary sec 4 (pdf p.55-56)</t>
      </text>
    </comment>
    <comment ref="I4" authorId="0" shapeId="0">
      <text>
        <t>Source: KRT detailed valuation report, 31 Mar 2026.
Ref: Detailed sec 7 (pdf p.157); Valuation Certificate sec 6; Value Summary sec 4 (pdf p.55-56)</t>
      </text>
    </comment>
    <comment ref="K4" authorId="0" shapeId="0">
      <text>
        <t>Source: KRT detailed valuation report, 31 Mar 2026.
Ref: Detailed sec 7 (pdf p.157); Valuation Certificate sec 6; Value Summary sec 4 (pdf p.55-56)</t>
      </text>
    </comment>
    <comment ref="M4" authorId="0" shapeId="0">
      <text>
        <t>Source: KRT detailed valuation report, 31 Mar 2026.
Ref: Detailed sec 7 (pdf p.157); Valuation Certificate sec 6; Value Summary sec 4 (pdf p.55-56)</t>
      </text>
    </comment>
    <comment ref="N4" authorId="0" shapeId="0">
      <text>
        <t>Source: KRT detailed valuation report, 31 Mar 2026.
Ref: Detailed sec 7 (pdf p.157); Valuation Certificate sec 6; Value Summary sec 4 (pdf p.55-56)</t>
      </text>
    </comment>
    <comment ref="O4" authorId="0" shapeId="0">
      <text>
        <t>Computed = Market rent / In-place rent - 1</t>
      </text>
    </comment>
    <comment ref="P4" authorId="0" shapeId="0">
      <text>
        <t>Source: KRT detailed valuation report, 31 Mar 2026.
Ref: Detailed sec 7 (pdf p.157); Valuation Certificate sec 6; Value Summary sec 4 (pdf p.55-56)</t>
      </text>
    </comment>
    <comment ref="R4" authorId="0" shapeId="0">
      <text>
        <t>Source: KRT detailed valuation report, 31 Mar 2026.
Ref: Detailed sec 7 (pdf p.157); Valuation Certificate sec 6; Value Summary sec 4 (pdf p.55-56)</t>
      </text>
    </comment>
    <comment ref="S4" authorId="0" shapeId="0">
      <text>
        <t>Source: KRT detailed valuation report, 31 Mar 2026.
Ref: Detailed sec 7 (pdf p.157); Valuation Certificate sec 6; Value Summary sec 4 (pdf p.55-56)</t>
      </text>
    </comment>
    <comment ref="T4" authorId="0" shapeId="0">
      <text>
        <t>Source: KRT detailed valuation report, 31 Mar 2026.
Ref: Detailed sec 7 (pdf p.157); Valuation Certificate sec 6; Value Summary sec 4 (pdf p.55-56)</t>
      </text>
    </comment>
    <comment ref="U4" authorId="0" shapeId="0">
      <text>
        <t>Computed = Market value / leasable sq ft</t>
      </text>
    </comment>
    <comment ref="V4" authorId="0" shapeId="0">
      <text>
        <t>Source: KRT detailed valuation report, 31 Mar 2026.
Ref: Detailed sec 7 (pdf p.157); Valuation Certificate sec 6; Value Summary sec 4 (pdf p.55-56)</t>
      </text>
    </comment>
    <comment ref="W4" authorId="0" shapeId="0">
      <text>
        <t>Source: KRT detailed valuation report, 31 Mar 2026.
Ref: Detailed sec 7 (pdf p.157); Valuation Certificate sec 6; Value Summary sec 4 (pdf p.55-56)</t>
      </text>
    </comment>
    <comment ref="X4" authorId="0" shapeId="0">
      <text>
        <t>Source: KRT detailed valuation report, 31 Mar 2026.
Ref: Detailed sec 7 (pdf p.157); Valuation Certificate sec 6; Value Summary sec 4 (pdf p.55-56)</t>
      </text>
    </comment>
    <comment ref="A5" authorId="0" shapeId="0">
      <text>
        <t>Source: KRT detailed valuation report, 31 Mar 2026.
Ref: Detailed sec 8 (pdf p.176); Valuation Certificate sec 6; Value Summary sec 4 (pdf p.55-56)</t>
      </text>
    </comment>
    <comment ref="B5" authorId="0" shapeId="0">
      <text>
        <t>Source: KRT detailed valuation report, 31 Mar 2026.
Ref: Detailed sec 8 (pdf p.176); Valuation Certificate sec 6; Value Summary sec 4 (pdf p.55-56)</t>
      </text>
    </comment>
    <comment ref="C5" authorId="0" shapeId="0">
      <text>
        <t>Source: KRT detailed valuation report, 31 Mar 2026.
Ref: Detailed sec 8 (pdf p.176); Valuation Certificate sec 6; Value Summary sec 4 (pdf p.55-56)</t>
      </text>
    </comment>
    <comment ref="D5" authorId="0" shapeId="0">
      <text>
        <t>Source: KRT detailed valuation report, 31 Mar 2026.
Ref: Detailed sec 8 (pdf p.176); Valuation Certificate sec 6; Value Summary sec 4 (pdf p.55-56)</t>
      </text>
    </comment>
    <comment ref="E5" authorId="0" shapeId="0">
      <text>
        <t>Source: KRT detailed valuation report, 31 Mar 2026.
Ref: Detailed sec 8 (pdf p.176); Valuation Certificate sec 6; Value Summary sec 4 (pdf p.55-56)</t>
      </text>
    </comment>
    <comment ref="F5" authorId="0" shapeId="0">
      <text>
        <t>Source: KRT detailed valuation report, 31 Mar 2026.
Ref: Detailed sec 8 (pdf p.176); Valuation Certificate sec 6; Value Summary sec 4 (pdf p.55-56)</t>
      </text>
    </comment>
    <comment ref="G5" authorId="0" shapeId="0">
      <text>
        <t>Source: KRT detailed valuation report, 31 Mar 2026.
Ref: Detailed sec 8 (pdf p.176); Valuation Certificate sec 6; Value Summary sec 4 (pdf p.55-56)</t>
      </text>
    </comment>
    <comment ref="H5" authorId="0" shapeId="0">
      <text>
        <t>Source: KRT detailed valuation report, 31 Mar 2026.
Ref: Detailed sec 8 (pdf p.176); Valuation Certificate sec 6; Value Summary sec 4 (pdf p.55-56)</t>
      </text>
    </comment>
    <comment ref="I5" authorId="0" shapeId="0">
      <text>
        <t>Source: KRT detailed valuation report, 31 Mar 2026.
Ref: Detailed sec 8 (pdf p.176); Valuation Certificate sec 6; Value Summary sec 4 (pdf p.55-56)</t>
      </text>
    </comment>
    <comment ref="K5" authorId="0" shapeId="0">
      <text>
        <t>Source: KRT detailed valuation report, 31 Mar 2026.
Ref: Detailed sec 8 (pdf p.176); Valuation Certificate sec 6; Value Summary sec 4 (pdf p.55-56)</t>
      </text>
    </comment>
    <comment ref="M5" authorId="0" shapeId="0">
      <text>
        <t>Source: KRT detailed valuation report, 31 Mar 2026.
Ref: Detailed sec 8 (pdf p.176); Valuation Certificate sec 6; Value Summary sec 4 (pdf p.55-56)</t>
      </text>
    </comment>
    <comment ref="N5" authorId="0" shapeId="0">
      <text>
        <t>Source: KRT detailed valuation report, 31 Mar 2026.
Ref: Detailed sec 8 (pdf p.176); Valuation Certificate sec 6; Value Summary sec 4 (pdf p.55-56)</t>
      </text>
    </comment>
    <comment ref="O5" authorId="0" shapeId="0">
      <text>
        <t>Computed = Market rent / In-place rent - 1</t>
      </text>
    </comment>
    <comment ref="P5" authorId="0" shapeId="0">
      <text>
        <t>Source: KRT detailed valuation report, 31 Mar 2026.
Ref: Detailed sec 8 (pdf p.176); Valuation Certificate sec 6; Value Summary sec 4 (pdf p.55-56)</t>
      </text>
    </comment>
    <comment ref="R5" authorId="0" shapeId="0">
      <text>
        <t>Source: KRT detailed valuation report, 31 Mar 2026.
Ref: Detailed sec 8 (pdf p.176); Valuation Certificate sec 6; Value Summary sec 4 (pdf p.55-56)</t>
      </text>
    </comment>
    <comment ref="S5" authorId="0" shapeId="0">
      <text>
        <t>Source: KRT detailed valuation report, 31 Mar 2026.
Ref: Detailed sec 8 (pdf p.176); Valuation Certificate sec 6; Value Summary sec 4 (pdf p.55-56)</t>
      </text>
    </comment>
    <comment ref="T5" authorId="0" shapeId="0">
      <text>
        <t>Source: KRT detailed valuation report, 31 Mar 2026.
Ref: Detailed sec 8 (pdf p.176); Valuation Certificate sec 6; Value Summary sec 4 (pdf p.55-56)</t>
      </text>
    </comment>
    <comment ref="U5" authorId="0" shapeId="0">
      <text>
        <t>Computed = Market value / leasable sq ft</t>
      </text>
    </comment>
    <comment ref="V5" authorId="0" shapeId="0">
      <text>
        <t>Source: KRT detailed valuation report, 31 Mar 2026.
Ref: Detailed sec 8 (pdf p.176); Valuation Certificate sec 6; Value Summary sec 4 (pdf p.55-56)</t>
      </text>
    </comment>
    <comment ref="W5" authorId="0" shapeId="0">
      <text>
        <t>Source: KRT detailed valuation report, 31 Mar 2026.
Ref: Detailed sec 8 (pdf p.176); Valuation Certificate sec 6; Value Summary sec 4 (pdf p.55-56)</t>
      </text>
    </comment>
    <comment ref="X5" authorId="0" shapeId="0">
      <text>
        <t>Source: KRT detailed valuation report, 31 Mar 2026.
Ref: Detailed sec 8 (pdf p.176); Valuation Certificate sec 6; Value Summary sec 4 (pdf p.55-56)</t>
      </text>
    </comment>
    <comment ref="A6" authorId="0" shapeId="0">
      <text>
        <t>Source: KRT detailed valuation report, 31 Mar 2026.
Ref: Detailed sec 9 (pdf p.191); Valuation Certificate sec 6; Value Summary sec 4 (pdf p.55-56)</t>
      </text>
    </comment>
    <comment ref="B6" authorId="0" shapeId="0">
      <text>
        <t>Source: KRT detailed valuation report, 31 Mar 2026.
Ref: Detailed sec 9 (pdf p.191); Valuation Certificate sec 6; Value Summary sec 4 (pdf p.55-56)</t>
      </text>
    </comment>
    <comment ref="C6" authorId="0" shapeId="0">
      <text>
        <t>Source: KRT detailed valuation report, 31 Mar 2026.
Ref: Detailed sec 9 (pdf p.191); Valuation Certificate sec 6; Value Summary sec 4 (pdf p.55-56)</t>
      </text>
    </comment>
    <comment ref="D6" authorId="0" shapeId="0">
      <text>
        <t>Source: KRT detailed valuation report, 31 Mar 2026.
Ref: Detailed sec 9 (pdf p.191); Valuation Certificate sec 6; Value Summary sec 4 (pdf p.55-56)</t>
      </text>
    </comment>
    <comment ref="E6" authorId="0" shapeId="0">
      <text>
        <t>Source: KRT detailed valuation report, 31 Mar 2026.
Ref: Detailed sec 9 (pdf p.191); Valuation Certificate sec 6; Value Summary sec 4 (pdf p.55-56)</t>
      </text>
    </comment>
    <comment ref="F6" authorId="0" shapeId="0">
      <text>
        <t>Source: KRT detailed valuation report, 31 Mar 2026.
Ref: Detailed sec 9 (pdf p.191); Valuation Certificate sec 6; Value Summary sec 4 (pdf p.55-56)</t>
      </text>
    </comment>
    <comment ref="G6" authorId="0" shapeId="0">
      <text>
        <t>Source: KRT detailed valuation report, 31 Mar 2026.
Ref: Detailed sec 9 (pdf p.191); Valuation Certificate sec 6; Value Summary sec 4 (pdf p.55-56)</t>
      </text>
    </comment>
    <comment ref="H6" authorId="0" shapeId="0">
      <text>
        <t>Source: KRT detailed valuation report, 31 Mar 2026.
Ref: Detailed sec 9 (pdf p.191); Valuation Certificate sec 6; Value Summary sec 4 (pdf p.55-56)</t>
      </text>
    </comment>
    <comment ref="I6" authorId="0" shapeId="0">
      <text>
        <t>Source: KRT detailed valuation report, 31 Mar 2026.
Ref: Detailed sec 9 (pdf p.191); Valuation Certificate sec 6; Value Summary sec 4 (pdf p.55-56)</t>
      </text>
    </comment>
    <comment ref="M6" authorId="0" shapeId="0">
      <text>
        <t>Source: KRT detailed valuation report, 31 Mar 2026.
Ref: Detailed sec 9 (pdf p.191); Valuation Certificate sec 6; Value Summary sec 4 (pdf p.55-56)</t>
      </text>
    </comment>
    <comment ref="N6" authorId="0" shapeId="0">
      <text>
        <t>Source: KRT detailed valuation report, 31 Mar 2026.
Ref: Detailed sec 9 (pdf p.191); Valuation Certificate sec 6; Value Summary sec 4 (pdf p.55-56)</t>
      </text>
    </comment>
    <comment ref="O6" authorId="0" shapeId="0">
      <text>
        <t>Computed = Market rent / In-place rent - 1</t>
      </text>
    </comment>
    <comment ref="R6" authorId="0" shapeId="0">
      <text>
        <t>Source: KRT detailed valuation report, 31 Mar 2026.
Ref: Detailed sec 9 (pdf p.191); Valuation Certificate sec 6; Value Summary sec 4 (pdf p.55-56)</t>
      </text>
    </comment>
    <comment ref="S6" authorId="0" shapeId="0">
      <text>
        <t>Source: KRT detailed valuation report, 31 Mar 2026.
Ref: Detailed sec 9 (pdf p.191); Valuation Certificate sec 6; Value Summary sec 4 (pdf p.55-56)</t>
      </text>
    </comment>
    <comment ref="T6" authorId="0" shapeId="0">
      <text>
        <t>Source: KRT detailed valuation report, 31 Mar 2026.
Ref: Detailed sec 9 (pdf p.191); Valuation Certificate sec 6; Value Summary sec 4 (pdf p.55-56)</t>
      </text>
    </comment>
    <comment ref="U6" authorId="0" shapeId="0">
      <text>
        <t>Computed = Market value / leasable sq ft</t>
      </text>
    </comment>
    <comment ref="V6" authorId="0" shapeId="0">
      <text>
        <t>Source: KRT detailed valuation report, 31 Mar 2026.
Ref: Detailed sec 9 (pdf p.191); Valuation Certificate sec 6; Value Summary sec 4 (pdf p.55-56)</t>
      </text>
    </comment>
    <comment ref="W6" authorId="0" shapeId="0">
      <text>
        <t>Source: KRT detailed valuation report, 31 Mar 2026.
Ref: Detailed sec 9 (pdf p.191); Valuation Certificate sec 6; Value Summary sec 4 (pdf p.55-56)</t>
      </text>
    </comment>
    <comment ref="X6" authorId="0" shapeId="0">
      <text>
        <t>Source: KRT detailed valuation report, 31 Mar 2026.
Ref: Detailed sec 9 (pdf p.191); Valuation Certificate sec 6; Value Summary sec 4 (pdf p.55-56)</t>
      </text>
    </comment>
    <comment ref="A7" authorId="0" shapeId="0">
      <text>
        <t>Source: KRT detailed valuation report, 31 Mar 2026.
Ref: Detailed sec 10 (pdf p.206); Valuation Certificate sec 6; Value Summary sec 4 (pdf p.55-56)</t>
      </text>
    </comment>
    <comment ref="B7" authorId="0" shapeId="0">
      <text>
        <t>Source: KRT detailed valuation report, 31 Mar 2026.
Ref: Detailed sec 10 (pdf p.206); Valuation Certificate sec 6; Value Summary sec 4 (pdf p.55-56)</t>
      </text>
    </comment>
    <comment ref="C7" authorId="0" shapeId="0">
      <text>
        <t>Source: KRT detailed valuation report, 31 Mar 2026.
Ref: Detailed sec 10 (pdf p.206); Valuation Certificate sec 6; Value Summary sec 4 (pdf p.55-56)</t>
      </text>
    </comment>
    <comment ref="D7" authorId="0" shapeId="0">
      <text>
        <t>Source: KRT detailed valuation report, 31 Mar 2026.
Ref: Detailed sec 10 (pdf p.206); Valuation Certificate sec 6; Value Summary sec 4 (pdf p.55-56)</t>
      </text>
    </comment>
    <comment ref="E7" authorId="0" shapeId="0">
      <text>
        <t>Source: KRT detailed valuation report, 31 Mar 2026.
Ref: Detailed sec 10 (pdf p.206); Valuation Certificate sec 6; Value Summary sec 4 (pdf p.55-56)</t>
      </text>
    </comment>
    <comment ref="F7" authorId="0" shapeId="0">
      <text>
        <t>Source: KRT detailed valuation report, 31 Mar 2026.
Ref: Detailed sec 10 (pdf p.206); Valuation Certificate sec 6; Value Summary sec 4 (pdf p.55-56)</t>
      </text>
    </comment>
    <comment ref="G7" authorId="0" shapeId="0">
      <text>
        <t>Source: KRT detailed valuation report, 31 Mar 2026.
Ref: Detailed sec 10 (pdf p.206); Valuation Certificate sec 6; Value Summary sec 4 (pdf p.55-56)</t>
      </text>
    </comment>
    <comment ref="H7" authorId="0" shapeId="0">
      <text>
        <t>Source: KRT detailed valuation report, 31 Mar 2026.
Ref: Detailed sec 10 (pdf p.206); Valuation Certificate sec 6; Value Summary sec 4 (pdf p.55-56)</t>
      </text>
    </comment>
    <comment ref="I7" authorId="0" shapeId="0">
      <text>
        <t>Source: KRT detailed valuation report, 31 Mar 2026.
Ref: Detailed sec 10 (pdf p.206); Valuation Certificate sec 6; Value Summary sec 4 (pdf p.55-56)</t>
      </text>
    </comment>
    <comment ref="K7" authorId="0" shapeId="0">
      <text>
        <t>Source: KRT detailed valuation report, 31 Mar 2026.
Ref: Detailed sec 10 (pdf p.206); Valuation Certificate sec 6; Value Summary sec 4 (pdf p.55-56)</t>
      </text>
    </comment>
    <comment ref="M7" authorId="0" shapeId="0">
      <text>
        <t>Source: KRT detailed valuation report, 31 Mar 2026.
Ref: Detailed sec 10 (pdf p.206); Valuation Certificate sec 6; Value Summary sec 4 (pdf p.55-56)</t>
      </text>
    </comment>
    <comment ref="N7" authorId="0" shapeId="0">
      <text>
        <t>Source: KRT detailed valuation report, 31 Mar 2026.
Ref: Detailed sec 10 (pdf p.206); Valuation Certificate sec 6; Value Summary sec 4 (pdf p.55-56)</t>
      </text>
    </comment>
    <comment ref="O7" authorId="0" shapeId="0">
      <text>
        <t>Computed = Market rent / In-place rent - 1</t>
      </text>
    </comment>
    <comment ref="P7" authorId="0" shapeId="0">
      <text>
        <t>Source: KRT detailed valuation report, 31 Mar 2026.
Ref: Detailed sec 10 (pdf p.206); Valuation Certificate sec 6; Value Summary sec 4 (pdf p.55-56)</t>
      </text>
    </comment>
    <comment ref="R7" authorId="0" shapeId="0">
      <text>
        <t>Source: KRT detailed valuation report, 31 Mar 2026.
Ref: Detailed sec 10 (pdf p.206); Valuation Certificate sec 6; Value Summary sec 4 (pdf p.55-56)</t>
      </text>
    </comment>
    <comment ref="S7" authorId="0" shapeId="0">
      <text>
        <t>Source: KRT detailed valuation report, 31 Mar 2026.
Ref: Detailed sec 10 (pdf p.206); Valuation Certificate sec 6; Value Summary sec 4 (pdf p.55-56)</t>
      </text>
    </comment>
    <comment ref="T7" authorId="0" shapeId="0">
      <text>
        <t>Source: KRT detailed valuation report, 31 Mar 2026.
Ref: Detailed sec 10 (pdf p.206); Valuation Certificate sec 6; Value Summary sec 4 (pdf p.55-56)</t>
      </text>
    </comment>
    <comment ref="U7" authorId="0" shapeId="0">
      <text>
        <t>Computed = Market value / leasable sq ft</t>
      </text>
    </comment>
    <comment ref="V7" authorId="0" shapeId="0">
      <text>
        <t>Source: KRT detailed valuation report, 31 Mar 2026.
Ref: Detailed sec 10 (pdf p.206); Valuation Certificate sec 6; Value Summary sec 4 (pdf p.55-56)</t>
      </text>
    </comment>
    <comment ref="W7" authorId="0" shapeId="0">
      <text>
        <t>Source: KRT detailed valuation report, 31 Mar 2026.
Ref: Detailed sec 10 (pdf p.206); Valuation Certificate sec 6; Value Summary sec 4 (pdf p.55-56)</t>
      </text>
    </comment>
    <comment ref="X7" authorId="0" shapeId="0">
      <text>
        <t>Source: KRT detailed valuation report, 31 Mar 2026.
Ref: Detailed sec 10 (pdf p.206); Valuation Certificate sec 6; Value Summary sec 4 (pdf p.55-56)</t>
      </text>
    </comment>
    <comment ref="A8" authorId="0" shapeId="0">
      <text>
        <t>Source: KRT detailed valuation report, 31 Mar 2026.
Ref: Detailed sec 11 (pdf p.222); Valuation Certificate sec 6; Value Summary sec 4 (pdf p.55-56)</t>
      </text>
    </comment>
    <comment ref="B8" authorId="0" shapeId="0">
      <text>
        <t>Source: KRT detailed valuation report, 31 Mar 2026.
Ref: Detailed sec 11 (pdf p.222); Valuation Certificate sec 6; Value Summary sec 4 (pdf p.55-56)</t>
      </text>
    </comment>
    <comment ref="C8" authorId="0" shapeId="0">
      <text>
        <t>Source: KRT detailed valuation report, 31 Mar 2026.
Ref: Detailed sec 11 (pdf p.222); Valuation Certificate sec 6; Value Summary sec 4 (pdf p.55-56)</t>
      </text>
    </comment>
    <comment ref="D8" authorId="0" shapeId="0">
      <text>
        <t>Source: KRT detailed valuation report, 31 Mar 2026.
Ref: Detailed sec 11 (pdf p.222); Valuation Certificate sec 6; Value Summary sec 4 (pdf p.55-56)</t>
      </text>
    </comment>
    <comment ref="E8" authorId="0" shapeId="0">
      <text>
        <t>Source: KRT detailed valuation report, 31 Mar 2026.
Ref: Detailed sec 11 (pdf p.222); Valuation Certificate sec 6; Value Summary sec 4 (pdf p.55-56)</t>
      </text>
    </comment>
    <comment ref="F8" authorId="0" shapeId="0">
      <text>
        <t>Source: KRT detailed valuation report, 31 Mar 2026.
Ref: Detailed sec 11 (pdf p.222); Valuation Certificate sec 6; Value Summary sec 4 (pdf p.55-56)</t>
      </text>
    </comment>
    <comment ref="G8" authorId="0" shapeId="0">
      <text>
        <t>Source: KRT detailed valuation report, 31 Mar 2026.
Ref: Detailed sec 11 (pdf p.222); Valuation Certificate sec 6; Value Summary sec 4 (pdf p.55-56)</t>
      </text>
    </comment>
    <comment ref="H8" authorId="0" shapeId="0">
      <text>
        <t>Source: KRT detailed valuation report, 31 Mar 2026.
Ref: Detailed sec 11 (pdf p.222); Valuation Certificate sec 6; Value Summary sec 4 (pdf p.55-56)</t>
      </text>
    </comment>
    <comment ref="I8" authorId="0" shapeId="0">
      <text>
        <t>Source: KRT detailed valuation report, 31 Mar 2026.
Ref: Detailed sec 11 (pdf p.222); Valuation Certificate sec 6; Value Summary sec 4 (pdf p.55-56)</t>
      </text>
    </comment>
    <comment ref="K8" authorId="0" shapeId="0">
      <text>
        <t>Source: KRT detailed valuation report, 31 Mar 2026.
Ref: Detailed sec 11 (pdf p.222); Valuation Certificate sec 6; Value Summary sec 4 (pdf p.55-56)</t>
      </text>
    </comment>
    <comment ref="M8" authorId="0" shapeId="0">
      <text>
        <t>Source: KRT detailed valuation report, 31 Mar 2026.
Ref: Detailed sec 11 (pdf p.222); Valuation Certificate sec 6; Value Summary sec 4 (pdf p.55-56)</t>
      </text>
    </comment>
    <comment ref="N8" authorId="0" shapeId="0">
      <text>
        <t>Source: KRT detailed valuation report, 31 Mar 2026.
Ref: Detailed sec 11 (pdf p.222); Valuation Certificate sec 6; Value Summary sec 4 (pdf p.55-56)</t>
      </text>
    </comment>
    <comment ref="O8" authorId="0" shapeId="0">
      <text>
        <t>Computed = Market rent / In-place rent - 1</t>
      </text>
    </comment>
    <comment ref="P8" authorId="0" shapeId="0">
      <text>
        <t>Source: KRT detailed valuation report, 31 Mar 2026.
Ref: Detailed sec 11 (pdf p.222); Valuation Certificate sec 6; Value Summary sec 4 (pdf p.55-56)</t>
      </text>
    </comment>
    <comment ref="R8" authorId="0" shapeId="0">
      <text>
        <t>Source: KRT detailed valuation report, 31 Mar 2026.
Ref: Detailed sec 11 (pdf p.222); Valuation Certificate sec 6; Value Summary sec 4 (pdf p.55-56)</t>
      </text>
    </comment>
    <comment ref="S8" authorId="0" shapeId="0">
      <text>
        <t>Source: KRT detailed valuation report, 31 Mar 2026.
Ref: Detailed sec 11 (pdf p.222); Valuation Certificate sec 6; Value Summary sec 4 (pdf p.55-56)</t>
      </text>
    </comment>
    <comment ref="T8" authorId="0" shapeId="0">
      <text>
        <t>Source: KRT detailed valuation report, 31 Mar 2026.
Ref: Detailed sec 11 (pdf p.222); Valuation Certificate sec 6; Value Summary sec 4 (pdf p.55-56)</t>
      </text>
    </comment>
    <comment ref="U8" authorId="0" shapeId="0">
      <text>
        <t>Computed = Market value / leasable sq ft</t>
      </text>
    </comment>
    <comment ref="V8" authorId="0" shapeId="0">
      <text>
        <t>Source: KRT detailed valuation report, 31 Mar 2026.
Ref: Detailed sec 11 (pdf p.222); Valuation Certificate sec 6; Value Summary sec 4 (pdf p.55-56)</t>
      </text>
    </comment>
    <comment ref="W8" authorId="0" shapeId="0">
      <text>
        <t>Source: KRT detailed valuation report, 31 Mar 2026.
Ref: Detailed sec 11 (pdf p.222); Valuation Certificate sec 6; Value Summary sec 4 (pdf p.55-56)</t>
      </text>
    </comment>
    <comment ref="X8" authorId="0" shapeId="0">
      <text>
        <t>Source: KRT detailed valuation report, 31 Mar 2026.
Ref: Detailed sec 11 (pdf p.222); Valuation Certificate sec 6; Value Summary sec 4 (pdf p.55-56)</t>
      </text>
    </comment>
    <comment ref="A9" authorId="0" shapeId="0">
      <text>
        <t>Source: KRT detailed valuation report, 31 Mar 2026.
Ref: Detailed sec 12 (pdf p.238); Valuation Certificate sec 6; Value Summary sec 4 (pdf p.55-56)</t>
      </text>
    </comment>
    <comment ref="B9" authorId="0" shapeId="0">
      <text>
        <t>Source: KRT detailed valuation report, 31 Mar 2026.
Ref: Detailed sec 12 (pdf p.238); Valuation Certificate sec 6; Value Summary sec 4 (pdf p.55-56)</t>
      </text>
    </comment>
    <comment ref="C9" authorId="0" shapeId="0">
      <text>
        <t>Source: KRT detailed valuation report, 31 Mar 2026.
Ref: Detailed sec 12 (pdf p.238); Valuation Certificate sec 6; Value Summary sec 4 (pdf p.55-56)</t>
      </text>
    </comment>
    <comment ref="D9" authorId="0" shapeId="0">
      <text>
        <t>Source: KRT detailed valuation report, 31 Mar 2026.
Ref: Detailed sec 12 (pdf p.238); Valuation Certificate sec 6; Value Summary sec 4 (pdf p.55-56)</t>
      </text>
    </comment>
    <comment ref="E9" authorId="0" shapeId="0">
      <text>
        <t>Source: KRT detailed valuation report, 31 Mar 2026.
Ref: Detailed sec 12 (pdf p.238); Valuation Certificate sec 6; Value Summary sec 4 (pdf p.55-56)</t>
      </text>
    </comment>
    <comment ref="F9" authorId="0" shapeId="0">
      <text>
        <t>Source: KRT detailed valuation report, 31 Mar 2026.
Ref: Detailed sec 12 (pdf p.238); Valuation Certificate sec 6; Value Summary sec 4 (pdf p.55-56)</t>
      </text>
    </comment>
    <comment ref="G9" authorId="0" shapeId="0">
      <text>
        <t>Source: KRT detailed valuation report, 31 Mar 2026.
Ref: Detailed sec 12 (pdf p.238); Valuation Certificate sec 6; Value Summary sec 4 (pdf p.55-56)</t>
      </text>
    </comment>
    <comment ref="H9" authorId="0" shapeId="0">
      <text>
        <t>Source: KRT detailed valuation report, 31 Mar 2026.
Ref: Detailed sec 12 (pdf p.238); Valuation Certificate sec 6; Value Summary sec 4 (pdf p.55-56)</t>
      </text>
    </comment>
    <comment ref="I9" authorId="0" shapeId="0">
      <text>
        <t>Source: KRT detailed valuation report, 31 Mar 2026.
Ref: Detailed sec 12 (pdf p.238); Valuation Certificate sec 6; Value Summary sec 4 (pdf p.55-56)</t>
      </text>
    </comment>
    <comment ref="K9" authorId="0" shapeId="0">
      <text>
        <t>Source: KRT detailed valuation report, 31 Mar 2026.
Ref: Detailed sec 12 (pdf p.238); Valuation Certificate sec 6; Value Summary sec 4 (pdf p.55-56)</t>
      </text>
    </comment>
    <comment ref="M9" authorId="0" shapeId="0">
      <text>
        <t>Source: KRT detailed valuation report, 31 Mar 2026.
Ref: Detailed sec 12 (pdf p.238); Valuation Certificate sec 6; Value Summary sec 4 (pdf p.55-56)</t>
      </text>
    </comment>
    <comment ref="N9" authorId="0" shapeId="0">
      <text>
        <t>Source: KRT detailed valuation report, 31 Mar 2026.
Ref: Detailed sec 12 (pdf p.238); Valuation Certificate sec 6; Value Summary sec 4 (pdf p.55-56)</t>
      </text>
    </comment>
    <comment ref="O9" authorId="0" shapeId="0">
      <text>
        <t>Computed = Market rent / In-place rent - 1</t>
      </text>
    </comment>
    <comment ref="P9" authorId="0" shapeId="0">
      <text>
        <t>Source: KRT detailed valuation report, 31 Mar 2026.
Ref: Detailed sec 12 (pdf p.238); Valuation Certificate sec 6; Value Summary sec 4 (pdf p.55-56)</t>
      </text>
    </comment>
    <comment ref="R9" authorId="0" shapeId="0">
      <text>
        <t>Source: KRT detailed valuation report, 31 Mar 2026.
Ref: Detailed sec 12 (pdf p.238); Valuation Certificate sec 6; Value Summary sec 4 (pdf p.55-56)</t>
      </text>
    </comment>
    <comment ref="S9" authorId="0" shapeId="0">
      <text>
        <t>Source: KRT detailed valuation report, 31 Mar 2026.
Ref: Detailed sec 12 (pdf p.238); Valuation Certificate sec 6; Value Summary sec 4 (pdf p.55-56)</t>
      </text>
    </comment>
    <comment ref="T9" authorId="0" shapeId="0">
      <text>
        <t>Source: KRT detailed valuation report, 31 Mar 2026.
Ref: Detailed sec 12 (pdf p.238); Valuation Certificate sec 6; Value Summary sec 4 (pdf p.55-56)</t>
      </text>
    </comment>
    <comment ref="U9" authorId="0" shapeId="0">
      <text>
        <t>Computed = Market value / leasable sq ft</t>
      </text>
    </comment>
    <comment ref="V9" authorId="0" shapeId="0">
      <text>
        <t>Source: KRT detailed valuation report, 31 Mar 2026.
Ref: Detailed sec 12 (pdf p.238); Valuation Certificate sec 6; Value Summary sec 4 (pdf p.55-56)</t>
      </text>
    </comment>
    <comment ref="W9" authorId="0" shapeId="0">
      <text>
        <t>Source: KRT detailed valuation report, 31 Mar 2026.
Ref: Detailed sec 12 (pdf p.238); Valuation Certificate sec 6; Value Summary sec 4 (pdf p.55-56)</t>
      </text>
    </comment>
    <comment ref="X9" authorId="0" shapeId="0">
      <text>
        <t>Source: KRT detailed valuation report, 31 Mar 2026.
Ref: Detailed sec 12 (pdf p.238); Valuation Certificate sec 6; Value Summary sec 4 (pdf p.55-56)</t>
      </text>
    </comment>
    <comment ref="A10" authorId="0" shapeId="0">
      <text>
        <t>Source: KRT detailed valuation report, 31 Mar 2026.
Ref: Detailed sec 13 (pdf p.254); Valuation Certificate sec 6; Value Summary sec 4 (pdf p.55-56)</t>
      </text>
    </comment>
    <comment ref="B10" authorId="0" shapeId="0">
      <text>
        <t>Source: KRT detailed valuation report, 31 Mar 2026.
Ref: Detailed sec 13 (pdf p.254); Valuation Certificate sec 6; Value Summary sec 4 (pdf p.55-56)</t>
      </text>
    </comment>
    <comment ref="C10" authorId="0" shapeId="0">
      <text>
        <t>Source: KRT detailed valuation report, 31 Mar 2026.
Ref: Detailed sec 13 (pdf p.254); Valuation Certificate sec 6; Value Summary sec 4 (pdf p.55-56)</t>
      </text>
    </comment>
    <comment ref="D10" authorId="0" shapeId="0">
      <text>
        <t>Source: KRT detailed valuation report, 31 Mar 2026.
Ref: Detailed sec 13 (pdf p.254); Valuation Certificate sec 6; Value Summary sec 4 (pdf p.55-56)</t>
      </text>
    </comment>
    <comment ref="E10" authorId="0" shapeId="0">
      <text>
        <t>Source: KRT detailed valuation report, 31 Mar 2026.
Ref: Detailed sec 13 (pdf p.254); Valuation Certificate sec 6; Value Summary sec 4 (pdf p.55-56)</t>
      </text>
    </comment>
    <comment ref="F10" authorId="0" shapeId="0">
      <text>
        <t>Source: KRT detailed valuation report, 31 Mar 2026.
Ref: Detailed sec 13 (pdf p.254); Valuation Certificate sec 6; Value Summary sec 4 (pdf p.55-56)</t>
      </text>
    </comment>
    <comment ref="G10" authorId="0" shapeId="0">
      <text>
        <t>Source: KRT detailed valuation report, 31 Mar 2026.
Ref: Detailed sec 13 (pdf p.254); Valuation Certificate sec 6; Value Summary sec 4 (pdf p.55-56)</t>
      </text>
    </comment>
    <comment ref="H10" authorId="0" shapeId="0">
      <text>
        <t>Source: KRT detailed valuation report, 31 Mar 2026.
Ref: Detailed sec 13 (pdf p.254); Valuation Certificate sec 6; Value Summary sec 4 (pdf p.55-56)</t>
      </text>
    </comment>
    <comment ref="I10" authorId="0" shapeId="0">
      <text>
        <t>Source: KRT detailed valuation report, 31 Mar 2026.
Ref: Detailed sec 13 (pdf p.254); Valuation Certificate sec 6; Value Summary sec 4 (pdf p.55-56)</t>
      </text>
    </comment>
    <comment ref="K10" authorId="0" shapeId="0">
      <text>
        <t>Source: KRT detailed valuation report, 31 Mar 2026.
Ref: Detailed sec 13 (pdf p.254); Valuation Certificate sec 6; Value Summary sec 4 (pdf p.55-56)</t>
      </text>
    </comment>
    <comment ref="M10" authorId="0" shapeId="0">
      <text>
        <t>Source: KRT detailed valuation report, 31 Mar 2026.
Ref: Detailed sec 13 (pdf p.254); Valuation Certificate sec 6; Value Summary sec 4 (pdf p.55-56)</t>
      </text>
    </comment>
    <comment ref="N10" authorId="0" shapeId="0">
      <text>
        <t>Source: KRT detailed valuation report, 31 Mar 2026.
Ref: Detailed sec 13 (pdf p.254); Valuation Certificate sec 6; Value Summary sec 4 (pdf p.55-56)</t>
      </text>
    </comment>
    <comment ref="O10" authorId="0" shapeId="0">
      <text>
        <t>Computed = Market rent / In-place rent - 1</t>
      </text>
    </comment>
    <comment ref="P10" authorId="0" shapeId="0">
      <text>
        <t>Source: KRT detailed valuation report, 31 Mar 2026.
Ref: Detailed sec 13 (pdf p.254); Valuation Certificate sec 6; Value Summary sec 4 (pdf p.55-56)</t>
      </text>
    </comment>
    <comment ref="R10" authorId="0" shapeId="0">
      <text>
        <t>Source: KRT detailed valuation report, 31 Mar 2026.
Ref: Detailed sec 13 (pdf p.254); Valuation Certificate sec 6; Value Summary sec 4 (pdf p.55-56)</t>
      </text>
    </comment>
    <comment ref="S10" authorId="0" shapeId="0">
      <text>
        <t>Source: KRT detailed valuation report, 31 Mar 2026.
Ref: Detailed sec 13 (pdf p.254); Valuation Certificate sec 6; Value Summary sec 4 (pdf p.55-56)</t>
      </text>
    </comment>
    <comment ref="T10" authorId="0" shapeId="0">
      <text>
        <t>Source: KRT detailed valuation report, 31 Mar 2026.
Ref: Detailed sec 13 (pdf p.254); Valuation Certificate sec 6; Value Summary sec 4 (pdf p.55-56)</t>
      </text>
    </comment>
    <comment ref="U10" authorId="0" shapeId="0">
      <text>
        <t>Computed = Market value / leasable sq ft</t>
      </text>
    </comment>
    <comment ref="V10" authorId="0" shapeId="0">
      <text>
        <t>Source: KRT detailed valuation report, 31 Mar 2026.
Ref: Detailed sec 13 (pdf p.254); Valuation Certificate sec 6; Value Summary sec 4 (pdf p.55-56)</t>
      </text>
    </comment>
    <comment ref="W10" authorId="0" shapeId="0">
      <text>
        <t>Source: KRT detailed valuation report, 31 Mar 2026.
Ref: Detailed sec 13 (pdf p.254); Valuation Certificate sec 6; Value Summary sec 4 (pdf p.55-56)</t>
      </text>
    </comment>
    <comment ref="X10" authorId="0" shapeId="0">
      <text>
        <t>Source: KRT detailed valuation report, 31 Mar 2026.
Ref: Detailed sec 13 (pdf p.254); Valuation Certificate sec 6; Value Summary sec 4 (pdf p.55-56)</t>
      </text>
    </comment>
    <comment ref="A11" authorId="0" shapeId="0">
      <text>
        <t>Source: KRT detailed valuation report, 31 Mar 2026.
Ref: Detailed sec 14 (pdf p.270); Valuation Certificate sec 6; Value Summary sec 4 (pdf p.55-56)</t>
      </text>
    </comment>
    <comment ref="B11" authorId="0" shapeId="0">
      <text>
        <t>Source: KRT detailed valuation report, 31 Mar 2026.
Ref: Detailed sec 14 (pdf p.270); Valuation Certificate sec 6; Value Summary sec 4 (pdf p.55-56)</t>
      </text>
    </comment>
    <comment ref="C11" authorId="0" shapeId="0">
      <text>
        <t>Source: KRT detailed valuation report, 31 Mar 2026.
Ref: Detailed sec 14 (pdf p.270); Valuation Certificate sec 6; Value Summary sec 4 (pdf p.55-56)</t>
      </text>
    </comment>
    <comment ref="D11" authorId="0" shapeId="0">
      <text>
        <t>Source: KRT detailed valuation report, 31 Mar 2026.
Ref: Detailed sec 14 (pdf p.270); Valuation Certificate sec 6; Value Summary sec 4 (pdf p.55-56)</t>
      </text>
    </comment>
    <comment ref="E11" authorId="0" shapeId="0">
      <text>
        <t>Source: KRT detailed valuation report, 31 Mar 2026.
Ref: Detailed sec 14 (pdf p.270); Valuation Certificate sec 6; Value Summary sec 4 (pdf p.55-56)</t>
      </text>
    </comment>
    <comment ref="F11" authorId="0" shapeId="0">
      <text>
        <t>Source: KRT detailed valuation report, 31 Mar 2026.
Ref: Detailed sec 14 (pdf p.270); Valuation Certificate sec 6; Value Summary sec 4 (pdf p.55-56)</t>
      </text>
    </comment>
    <comment ref="G11" authorId="0" shapeId="0">
      <text>
        <t>Source: KRT detailed valuation report, 31 Mar 2026.
Ref: Detailed sec 14 (pdf p.270); Valuation Certificate sec 6; Value Summary sec 4 (pdf p.55-56)</t>
      </text>
    </comment>
    <comment ref="H11" authorId="0" shapeId="0">
      <text>
        <t>Source: KRT detailed valuation report, 31 Mar 2026.
Ref: Detailed sec 14 (pdf p.270); Valuation Certificate sec 6; Value Summary sec 4 (pdf p.55-56)</t>
      </text>
    </comment>
    <comment ref="I11" authorId="0" shapeId="0">
      <text>
        <t>Source: KRT detailed valuation report, 31 Mar 2026.
Ref: Detailed sec 14 (pdf p.270); Valuation Certificate sec 6; Value Summary sec 4 (pdf p.55-56)</t>
      </text>
    </comment>
    <comment ref="K11" authorId="0" shapeId="0">
      <text>
        <t>Source: KRT detailed valuation report, 31 Mar 2026.
Ref: Detailed sec 14 (pdf p.270); Valuation Certificate sec 6; Value Summary sec 4 (pdf p.55-56)</t>
      </text>
    </comment>
    <comment ref="M11" authorId="0" shapeId="0">
      <text>
        <t>Source: KRT detailed valuation report, 31 Mar 2026.
Ref: Detailed sec 14 (pdf p.270); Valuation Certificate sec 6; Value Summary sec 4 (pdf p.55-56)</t>
      </text>
    </comment>
    <comment ref="N11" authorId="0" shapeId="0">
      <text>
        <t>Source: KRT detailed valuation report, 31 Mar 2026.
Ref: Detailed sec 14 (pdf p.270); Valuation Certificate sec 6; Value Summary sec 4 (pdf p.55-56)</t>
      </text>
    </comment>
    <comment ref="O11" authorId="0" shapeId="0">
      <text>
        <t>Computed = Market rent / In-place rent - 1</t>
      </text>
    </comment>
    <comment ref="P11" authorId="0" shapeId="0">
      <text>
        <t>Source: KRT detailed valuation report, 31 Mar 2026.
Ref: Detailed sec 14 (pdf p.270); Valuation Certificate sec 6; Value Summary sec 4 (pdf p.55-56)</t>
      </text>
    </comment>
    <comment ref="R11" authorId="0" shapeId="0">
      <text>
        <t>Source: KRT detailed valuation report, 31 Mar 2026.
Ref: Detailed sec 14 (pdf p.270); Valuation Certificate sec 6; Value Summary sec 4 (pdf p.55-56)</t>
      </text>
    </comment>
    <comment ref="S11" authorId="0" shapeId="0">
      <text>
        <t>Source: KRT detailed valuation report, 31 Mar 2026.
Ref: Detailed sec 14 (pdf p.270); Valuation Certificate sec 6; Value Summary sec 4 (pdf p.55-56)</t>
      </text>
    </comment>
    <comment ref="T11" authorId="0" shapeId="0">
      <text>
        <t>Source: KRT detailed valuation report, 31 Mar 2026.
Ref: Detailed sec 14 (pdf p.270); Valuation Certificate sec 6; Value Summary sec 4 (pdf p.55-56)</t>
      </text>
    </comment>
    <comment ref="U11" authorId="0" shapeId="0">
      <text>
        <t>Computed = Market value / leasable sq ft</t>
      </text>
    </comment>
    <comment ref="V11" authorId="0" shapeId="0">
      <text>
        <t>Source: KRT detailed valuation report, 31 Mar 2026.
Ref: Detailed sec 14 (pdf p.270); Valuation Certificate sec 6; Value Summary sec 4 (pdf p.55-56)</t>
      </text>
    </comment>
    <comment ref="W11" authorId="0" shapeId="0">
      <text>
        <t>Source: KRT detailed valuation report, 31 Mar 2026.
Ref: Detailed sec 14 (pdf p.270); Valuation Certificate sec 6; Value Summary sec 4 (pdf p.55-56)</t>
      </text>
    </comment>
    <comment ref="X11" authorId="0" shapeId="0">
      <text>
        <t>Source: KRT detailed valuation report, 31 Mar 2026.
Ref: Detailed sec 14 (pdf p.270); Valuation Certificate sec 6; Value Summary sec 4 (pdf p.55-56)</t>
      </text>
    </comment>
    <comment ref="A12" authorId="0" shapeId="0">
      <text>
        <t>Source: KRT detailed valuation report, 31 Mar 2026.
Ref: Detailed sec 15 (pdf p.286); Valuation Certificate sec 6; Value Summary sec 4 (pdf p.55-56)</t>
      </text>
    </comment>
    <comment ref="B12" authorId="0" shapeId="0">
      <text>
        <t>Source: KRT detailed valuation report, 31 Mar 2026.
Ref: Detailed sec 15 (pdf p.286); Valuation Certificate sec 6; Value Summary sec 4 (pdf p.55-56)</t>
      </text>
    </comment>
    <comment ref="C12" authorId="0" shapeId="0">
      <text>
        <t>Source: KRT detailed valuation report, 31 Mar 2026.
Ref: Detailed sec 15 (pdf p.286); Valuation Certificate sec 6; Value Summary sec 4 (pdf p.55-56)</t>
      </text>
    </comment>
    <comment ref="D12" authorId="0" shapeId="0">
      <text>
        <t>Source: KRT detailed valuation report, 31 Mar 2026.
Ref: Detailed sec 15 (pdf p.286); Valuation Certificate sec 6; Value Summary sec 4 (pdf p.55-56)</t>
      </text>
    </comment>
    <comment ref="E12" authorId="0" shapeId="0">
      <text>
        <t>Source: KRT detailed valuation report, 31 Mar 2026.
Ref: Detailed sec 15 (pdf p.286); Valuation Certificate sec 6; Value Summary sec 4 (pdf p.55-56)</t>
      </text>
    </comment>
    <comment ref="F12" authorId="0" shapeId="0">
      <text>
        <t>Source: KRT detailed valuation report, 31 Mar 2026.
Ref: Detailed sec 15 (pdf p.286); Valuation Certificate sec 6; Value Summary sec 4 (pdf p.55-56)</t>
      </text>
    </comment>
    <comment ref="G12" authorId="0" shapeId="0">
      <text>
        <t>Source: KRT detailed valuation report, 31 Mar 2026.
Ref: Detailed sec 15 (pdf p.286); Valuation Certificate sec 6; Value Summary sec 4 (pdf p.55-56)</t>
      </text>
    </comment>
    <comment ref="H12" authorId="0" shapeId="0">
      <text>
        <t>Source: KRT detailed valuation report, 31 Mar 2026.
Ref: Detailed sec 15 (pdf p.286); Valuation Certificate sec 6; Value Summary sec 4 (pdf p.55-56)</t>
      </text>
    </comment>
    <comment ref="I12" authorId="0" shapeId="0">
      <text>
        <t>Source: KRT detailed valuation report, 31 Mar 2026.
Ref: Detailed sec 15 (pdf p.286); Valuation Certificate sec 6; Value Summary sec 4 (pdf p.55-56)</t>
      </text>
    </comment>
    <comment ref="K12" authorId="0" shapeId="0">
      <text>
        <t>Source: KRT detailed valuation report, 31 Mar 2026.
Ref: Detailed sec 15 (pdf p.286); Valuation Certificate sec 6; Value Summary sec 4 (pdf p.55-56)</t>
      </text>
    </comment>
    <comment ref="M12" authorId="0" shapeId="0">
      <text>
        <t>Source: KRT detailed valuation report, 31 Mar 2026.
Ref: Detailed sec 15 (pdf p.286); Valuation Certificate sec 6; Value Summary sec 4 (pdf p.55-56)</t>
      </text>
    </comment>
    <comment ref="N12" authorId="0" shapeId="0">
      <text>
        <t>Source: KRT detailed valuation report, 31 Mar 2026.
Ref: Detailed sec 15 (pdf p.286); Valuation Certificate sec 6; Value Summary sec 4 (pdf p.55-56)</t>
      </text>
    </comment>
    <comment ref="O12" authorId="0" shapeId="0">
      <text>
        <t>Computed = Market rent / In-place rent - 1</t>
      </text>
    </comment>
    <comment ref="P12" authorId="0" shapeId="0">
      <text>
        <t>Source: KRT detailed valuation report, 31 Mar 2026.
Ref: Detailed sec 15 (pdf p.286); Valuation Certificate sec 6; Value Summary sec 4 (pdf p.55-56)</t>
      </text>
    </comment>
    <comment ref="R12" authorId="0" shapeId="0">
      <text>
        <t>Source: KRT detailed valuation report, 31 Mar 2026.
Ref: Detailed sec 15 (pdf p.286); Valuation Certificate sec 6; Value Summary sec 4 (pdf p.55-56)</t>
      </text>
    </comment>
    <comment ref="S12" authorId="0" shapeId="0">
      <text>
        <t>Source: KRT detailed valuation report, 31 Mar 2026.
Ref: Detailed sec 15 (pdf p.286); Valuation Certificate sec 6; Value Summary sec 4 (pdf p.55-56)</t>
      </text>
    </comment>
    <comment ref="T12" authorId="0" shapeId="0">
      <text>
        <t>Source: KRT detailed valuation report, 31 Mar 2026.
Ref: Detailed sec 15 (pdf p.286); Valuation Certificate sec 6; Value Summary sec 4 (pdf p.55-56)</t>
      </text>
    </comment>
    <comment ref="U12" authorId="0" shapeId="0">
      <text>
        <t>Computed = Market value / leasable sq ft</t>
      </text>
    </comment>
    <comment ref="V12" authorId="0" shapeId="0">
      <text>
        <t>Source: KRT detailed valuation report, 31 Mar 2026.
Ref: Detailed sec 15 (pdf p.286); Valuation Certificate sec 6; Value Summary sec 4 (pdf p.55-56)</t>
      </text>
    </comment>
    <comment ref="W12" authorId="0" shapeId="0">
      <text>
        <t>Source: KRT detailed valuation report, 31 Mar 2026.
Ref: Detailed sec 15 (pdf p.286); Valuation Certificate sec 6; Value Summary sec 4 (pdf p.55-56)</t>
      </text>
    </comment>
    <comment ref="X12" authorId="0" shapeId="0">
      <text>
        <t>Source: KRT detailed valuation report, 31 Mar 2026.
Ref: Detailed sec 15 (pdf p.286); Valuation Certificate sec 6; Value Summary sec 4 (pdf p.55-56)</t>
      </text>
    </comment>
    <comment ref="A13" authorId="0" shapeId="0">
      <text>
        <t>Source: KRT detailed valuation report, 31 Mar 2026.
Ref: Detailed sec 16 (pdf p.305); Valuation Certificate sec 6; Value Summary sec 4 (pdf p.55-56)</t>
      </text>
    </comment>
    <comment ref="B13" authorId="0" shapeId="0">
      <text>
        <t>Source: KRT detailed valuation report, 31 Mar 2026.
Ref: Detailed sec 16 (pdf p.305); Valuation Certificate sec 6; Value Summary sec 4 (pdf p.55-56)</t>
      </text>
    </comment>
    <comment ref="C13" authorId="0" shapeId="0">
      <text>
        <t>Source: KRT detailed valuation report, 31 Mar 2026.
Ref: Detailed sec 16 (pdf p.305); Valuation Certificate sec 6; Value Summary sec 4 (pdf p.55-56)</t>
      </text>
    </comment>
    <comment ref="D13" authorId="0" shapeId="0">
      <text>
        <t>Source: KRT detailed valuation report, 31 Mar 2026.
Ref: Detailed sec 16 (pdf p.305); Valuation Certificate sec 6; Value Summary sec 4 (pdf p.55-56)</t>
      </text>
    </comment>
    <comment ref="E13" authorId="0" shapeId="0">
      <text>
        <t>Source: KRT detailed valuation report, 31 Mar 2026.
Ref: Detailed sec 16 (pdf p.305); Valuation Certificate sec 6; Value Summary sec 4 (pdf p.55-56)</t>
      </text>
    </comment>
    <comment ref="F13" authorId="0" shapeId="0">
      <text>
        <t>Source: KRT detailed valuation report, 31 Mar 2026.
Ref: Detailed sec 16 (pdf p.305); Valuation Certificate sec 6; Value Summary sec 4 (pdf p.55-56)</t>
      </text>
    </comment>
    <comment ref="G13" authorId="0" shapeId="0">
      <text>
        <t>Source: KRT detailed valuation report, 31 Mar 2026.
Ref: Detailed sec 16 (pdf p.305); Valuation Certificate sec 6; Value Summary sec 4 (pdf p.55-56)</t>
      </text>
    </comment>
    <comment ref="H13" authorId="0" shapeId="0">
      <text>
        <t>Source: KRT detailed valuation report, 31 Mar 2026.
Ref: Detailed sec 16 (pdf p.305); Valuation Certificate sec 6; Value Summary sec 4 (pdf p.55-56)</t>
      </text>
    </comment>
    <comment ref="I13" authorId="0" shapeId="0">
      <text>
        <t>Source: KRT detailed valuation report, 31 Mar 2026.
Ref: Detailed sec 16 (pdf p.305); Valuation Certificate sec 6; Value Summary sec 4 (pdf p.55-56)</t>
      </text>
    </comment>
    <comment ref="K13" authorId="0" shapeId="0">
      <text>
        <t>Source: KRT detailed valuation report, 31 Mar 2026.
Ref: Detailed sec 16 (pdf p.305); Valuation Certificate sec 6; Value Summary sec 4 (pdf p.55-56)</t>
      </text>
    </comment>
    <comment ref="M13" authorId="0" shapeId="0">
      <text>
        <t>Source: KRT detailed valuation report, 31 Mar 2026.
Ref: Detailed sec 16 (pdf p.305); Valuation Certificate sec 6; Value Summary sec 4 (pdf p.55-56)</t>
      </text>
    </comment>
    <comment ref="N13" authorId="0" shapeId="0">
      <text>
        <t>Source: KRT detailed valuation report, 31 Mar 2026.
Ref: Detailed sec 16 (pdf p.305); Valuation Certificate sec 6; Value Summary sec 4 (pdf p.55-56)</t>
      </text>
    </comment>
    <comment ref="O13" authorId="0" shapeId="0">
      <text>
        <t>Computed = Market rent / In-place rent - 1</t>
      </text>
    </comment>
    <comment ref="P13" authorId="0" shapeId="0">
      <text>
        <t>Source: KRT detailed valuation report, 31 Mar 2026.
Ref: Detailed sec 16 (pdf p.305); Valuation Certificate sec 6; Value Summary sec 4 (pdf p.55-56)</t>
      </text>
    </comment>
    <comment ref="R13" authorId="0" shapeId="0">
      <text>
        <t>Source: KRT detailed valuation report, 31 Mar 2026.
Ref: Detailed sec 16 (pdf p.305); Valuation Certificate sec 6; Value Summary sec 4 (pdf p.55-56)</t>
      </text>
    </comment>
    <comment ref="S13" authorId="0" shapeId="0">
      <text>
        <t>Source: KRT detailed valuation report, 31 Mar 2026.
Ref: Detailed sec 16 (pdf p.305); Valuation Certificate sec 6; Value Summary sec 4 (pdf p.55-56)</t>
      </text>
    </comment>
    <comment ref="T13" authorId="0" shapeId="0">
      <text>
        <t>Source: KRT detailed valuation report, 31 Mar 2026.
Ref: Detailed sec 16 (pdf p.305); Valuation Certificate sec 6; Value Summary sec 4 (pdf p.55-56)</t>
      </text>
    </comment>
    <comment ref="U13" authorId="0" shapeId="0">
      <text>
        <t>Computed = Market value / leasable sq ft</t>
      </text>
    </comment>
    <comment ref="V13" authorId="0" shapeId="0">
      <text>
        <t>Source: KRT detailed valuation report, 31 Mar 2026.
Ref: Detailed sec 16 (pdf p.305); Valuation Certificate sec 6; Value Summary sec 4 (pdf p.55-56)</t>
      </text>
    </comment>
    <comment ref="W13" authorId="0" shapeId="0">
      <text>
        <t>Source: KRT detailed valuation report, 31 Mar 2026.
Ref: Detailed sec 16 (pdf p.305); Valuation Certificate sec 6; Value Summary sec 4 (pdf p.55-56)</t>
      </text>
    </comment>
    <comment ref="X13" authorId="0" shapeId="0">
      <text>
        <t>Source: KRT detailed valuation report, 31 Mar 2026.
Ref: Detailed sec 16 (pdf p.305); Valuation Certificate sec 6; Value Summary sec 4 (pdf p.55-56)</t>
      </text>
    </comment>
    <comment ref="A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B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C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D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E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F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G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K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N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O14" authorId="0" shapeId="0">
      <text>
        <t>Computed = Market rent / In-place rent - 1</t>
      </text>
    </comment>
    <comment ref="P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R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S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T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U14" authorId="0" shapeId="0">
      <text>
        <t>Computed = Market value / leasable sq ft</t>
      </text>
    </comment>
    <comment ref="V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W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X14" authorId="0" shapeId="0">
      <text>
        <t>Source: KRT detailed valuation report, 31 Mar 2026.
Ref: Operational block MV 34223 (4.2 msf) + Future Development MV 9925 (8.0 msf) | Detailed sec 17 (pdf p.321); Valuation Certificate sec 6; Value Summary sec 4 (pdf p.55-56)</t>
      </text>
    </comment>
    <comment ref="A15" authorId="0" shapeId="0">
      <text>
        <t>Source: KRT detailed valuation report, 31 Mar 2026.
Ref: Detailed sec 18 (pdf p.340); Valuation Certificate sec 6; Value Summary sec 4 (pdf p.55-56)</t>
      </text>
    </comment>
    <comment ref="B15" authorId="0" shapeId="0">
      <text>
        <t>Source: KRT detailed valuation report, 31 Mar 2026.
Ref: Detailed sec 18 (pdf p.340); Valuation Certificate sec 6; Value Summary sec 4 (pdf p.55-56)</t>
      </text>
    </comment>
    <comment ref="C15" authorId="0" shapeId="0">
      <text>
        <t>Source: KRT detailed valuation report, 31 Mar 2026.
Ref: Detailed sec 18 (pdf p.340); Valuation Certificate sec 6; Value Summary sec 4 (pdf p.55-56)</t>
      </text>
    </comment>
    <comment ref="D15" authorId="0" shapeId="0">
      <text>
        <t>Source: KRT detailed valuation report, 31 Mar 2026.
Ref: Detailed sec 18 (pdf p.340); Valuation Certificate sec 6; Value Summary sec 4 (pdf p.55-56)</t>
      </text>
    </comment>
    <comment ref="E15" authorId="0" shapeId="0">
      <text>
        <t>Source: KRT detailed valuation report, 31 Mar 2026.
Ref: Detailed sec 18 (pdf p.340); Valuation Certificate sec 6; Value Summary sec 4 (pdf p.55-56)</t>
      </text>
    </comment>
    <comment ref="F15" authorId="0" shapeId="0">
      <text>
        <t>Source: KRT detailed valuation report, 31 Mar 2026.
Ref: Detailed sec 18 (pdf p.340); Valuation Certificate sec 6; Value Summary sec 4 (pdf p.55-56)</t>
      </text>
    </comment>
    <comment ref="G15" authorId="0" shapeId="0">
      <text>
        <t>Source: KRT detailed valuation report, 31 Mar 2026.
Ref: Detailed sec 18 (pdf p.340); Valuation Certificate sec 6; Value Summary sec 4 (pdf p.55-56)</t>
      </text>
    </comment>
    <comment ref="H15" authorId="0" shapeId="0">
      <text>
        <t>Source: KRT detailed valuation report, 31 Mar 2026.
Ref: Detailed sec 18 (pdf p.340); Valuation Certificate sec 6; Value Summary sec 4 (pdf p.55-56)</t>
      </text>
    </comment>
    <comment ref="I15" authorId="0" shapeId="0">
      <text>
        <t>Source: KRT detailed valuation report, 31 Mar 2026.
Ref: Detailed sec 18 (pdf p.340); Valuation Certificate sec 6; Value Summary sec 4 (pdf p.55-56)</t>
      </text>
    </comment>
    <comment ref="K15" authorId="0" shapeId="0">
      <text>
        <t>Source: KRT detailed valuation report, 31 Mar 2026.
Ref: Detailed sec 18 (pdf p.340); Valuation Certificate sec 6; Value Summary sec 4 (pdf p.55-56)</t>
      </text>
    </comment>
    <comment ref="M15" authorId="0" shapeId="0">
      <text>
        <t>Source: KRT detailed valuation report, 31 Mar 2026.
Ref: Detailed sec 18 (pdf p.340); Valuation Certificate sec 6; Value Summary sec 4 (pdf p.55-56)</t>
      </text>
    </comment>
    <comment ref="N15" authorId="0" shapeId="0">
      <text>
        <t>Source: KRT detailed valuation report, 31 Mar 2026.
Ref: Detailed sec 18 (pdf p.340); Valuation Certificate sec 6; Value Summary sec 4 (pdf p.55-56)</t>
      </text>
    </comment>
    <comment ref="O15" authorId="0" shapeId="0">
      <text>
        <t>Computed = Market rent / In-place rent - 1</t>
      </text>
    </comment>
    <comment ref="P15" authorId="0" shapeId="0">
      <text>
        <t>Source: KRT detailed valuation report, 31 Mar 2026.
Ref: Detailed sec 18 (pdf p.340); Valuation Certificate sec 6; Value Summary sec 4 (pdf p.55-56)</t>
      </text>
    </comment>
    <comment ref="R15" authorId="0" shapeId="0">
      <text>
        <t>Source: KRT detailed valuation report, 31 Mar 2026.
Ref: Detailed sec 18 (pdf p.340); Valuation Certificate sec 6; Value Summary sec 4 (pdf p.55-56)</t>
      </text>
    </comment>
    <comment ref="S15" authorId="0" shapeId="0">
      <text>
        <t>Source: KRT detailed valuation report, 31 Mar 2026.
Ref: Detailed sec 18 (pdf p.340); Valuation Certificate sec 6; Value Summary sec 4 (pdf p.55-56)</t>
      </text>
    </comment>
    <comment ref="T15" authorId="0" shapeId="0">
      <text>
        <t>Source: KRT detailed valuation report, 31 Mar 2026.
Ref: Detailed sec 18 (pdf p.340); Valuation Certificate sec 6; Value Summary sec 4 (pdf p.55-56)</t>
      </text>
    </comment>
    <comment ref="U15" authorId="0" shapeId="0">
      <text>
        <t>Computed = Market value / leasable sq ft</t>
      </text>
    </comment>
    <comment ref="V15" authorId="0" shapeId="0">
      <text>
        <t>Source: KRT detailed valuation report, 31 Mar 2026.
Ref: Detailed sec 18 (pdf p.340); Valuation Certificate sec 6; Value Summary sec 4 (pdf p.55-56)</t>
      </text>
    </comment>
    <comment ref="W15" authorId="0" shapeId="0">
      <text>
        <t>Source: KRT detailed valuation report, 31 Mar 2026.
Ref: Detailed sec 18 (pdf p.340); Valuation Certificate sec 6; Value Summary sec 4 (pdf p.55-56)</t>
      </text>
    </comment>
    <comment ref="X15" authorId="0" shapeId="0">
      <text>
        <t>Source: KRT detailed valuation report, 31 Mar 2026.
Ref: Detailed sec 18 (pdf p.340); Valuation Certificate sec 6; Value Summary sec 4 (pdf p.55-56)</t>
      </text>
    </comment>
    <comment ref="A16" authorId="0" shapeId="0">
      <text>
        <t>Source: KRT detailed valuation report, 31 Mar 2026.
Ref: Detailed sec 19 (pdf p.357); Valuation Certificate sec 6; Value Summary sec 4 (pdf p.55-56)</t>
      </text>
    </comment>
    <comment ref="B16" authorId="0" shapeId="0">
      <text>
        <t>Source: KRT detailed valuation report, 31 Mar 2026.
Ref: Detailed sec 19 (pdf p.357); Valuation Certificate sec 6; Value Summary sec 4 (pdf p.55-56)</t>
      </text>
    </comment>
    <comment ref="C16" authorId="0" shapeId="0">
      <text>
        <t>Source: KRT detailed valuation report, 31 Mar 2026.
Ref: Detailed sec 19 (pdf p.357); Valuation Certificate sec 6; Value Summary sec 4 (pdf p.55-56)</t>
      </text>
    </comment>
    <comment ref="D16" authorId="0" shapeId="0">
      <text>
        <t>Source: KRT detailed valuation report, 31 Mar 2026.
Ref: Detailed sec 19 (pdf p.357); Valuation Certificate sec 6; Value Summary sec 4 (pdf p.55-56)</t>
      </text>
    </comment>
    <comment ref="E16" authorId="0" shapeId="0">
      <text>
        <t>Source: KRT detailed valuation report, 31 Mar 2026.
Ref: Detailed sec 19 (pdf p.357); Valuation Certificate sec 6; Value Summary sec 4 (pdf p.55-56)</t>
      </text>
    </comment>
    <comment ref="F16" authorId="0" shapeId="0">
      <text>
        <t>Source: KRT detailed valuation report, 31 Mar 2026.
Ref: Detailed sec 19 (pdf p.357); Valuation Certificate sec 6; Value Summary sec 4 (pdf p.55-56)</t>
      </text>
    </comment>
    <comment ref="G16" authorId="0" shapeId="0">
      <text>
        <t>Source: KRT detailed valuation report, 31 Mar 2026.
Ref: Detailed sec 19 (pdf p.357); Valuation Certificate sec 6; Value Summary sec 4 (pdf p.55-56)</t>
      </text>
    </comment>
    <comment ref="H16" authorId="0" shapeId="0">
      <text>
        <t>Source: KRT detailed valuation report, 31 Mar 2026.
Ref: Detailed sec 19 (pdf p.357); Valuation Certificate sec 6; Value Summary sec 4 (pdf p.55-56)</t>
      </text>
    </comment>
    <comment ref="I16" authorId="0" shapeId="0">
      <text>
        <t>Source: KRT detailed valuation report, 31 Mar 2026.
Ref: Detailed sec 19 (pdf p.357); Valuation Certificate sec 6; Value Summary sec 4 (pdf p.55-56)</t>
      </text>
    </comment>
    <comment ref="K16" authorId="0" shapeId="0">
      <text>
        <t>Source: KRT detailed valuation report, 31 Mar 2026.
Ref: Detailed sec 19 (pdf p.357); Valuation Certificate sec 6; Value Summary sec 4 (pdf p.55-56)</t>
      </text>
    </comment>
    <comment ref="M16" authorId="0" shapeId="0">
      <text>
        <t>Source: KRT detailed valuation report, 31 Mar 2026.
Ref: Detailed sec 19 (pdf p.357); Valuation Certificate sec 6; Value Summary sec 4 (pdf p.55-56)</t>
      </text>
    </comment>
    <comment ref="N16" authorId="0" shapeId="0">
      <text>
        <t>Source: KRT detailed valuation report, 31 Mar 2026.
Ref: Detailed sec 19 (pdf p.357); Valuation Certificate sec 6; Value Summary sec 4 (pdf p.55-56)</t>
      </text>
    </comment>
    <comment ref="O16" authorId="0" shapeId="0">
      <text>
        <t>Computed = Market rent / In-place rent - 1</t>
      </text>
    </comment>
    <comment ref="P16" authorId="0" shapeId="0">
      <text>
        <t>Source: KRT detailed valuation report, 31 Mar 2026.
Ref: Detailed sec 19 (pdf p.357); Valuation Certificate sec 6; Value Summary sec 4 (pdf p.55-56)</t>
      </text>
    </comment>
    <comment ref="R16" authorId="0" shapeId="0">
      <text>
        <t>Source: KRT detailed valuation report, 31 Mar 2026.
Ref: Detailed sec 19 (pdf p.357); Valuation Certificate sec 6; Value Summary sec 4 (pdf p.55-56)</t>
      </text>
    </comment>
    <comment ref="S16" authorId="0" shapeId="0">
      <text>
        <t>Source: KRT detailed valuation report, 31 Mar 2026.
Ref: Detailed sec 19 (pdf p.357); Valuation Certificate sec 6; Value Summary sec 4 (pdf p.55-56)</t>
      </text>
    </comment>
    <comment ref="T16" authorId="0" shapeId="0">
      <text>
        <t>Source: KRT detailed valuation report, 31 Mar 2026.
Ref: Detailed sec 19 (pdf p.357); Valuation Certificate sec 6; Value Summary sec 4 (pdf p.55-56)</t>
      </text>
    </comment>
    <comment ref="U16" authorId="0" shapeId="0">
      <text>
        <t>Computed = Market value / leasable sq ft</t>
      </text>
    </comment>
    <comment ref="V16" authorId="0" shapeId="0">
      <text>
        <t>Source: KRT detailed valuation report, 31 Mar 2026.
Ref: Detailed sec 19 (pdf p.357); Valuation Certificate sec 6; Value Summary sec 4 (pdf p.55-56)</t>
      </text>
    </comment>
    <comment ref="W16" authorId="0" shapeId="0">
      <text>
        <t>Source: KRT detailed valuation report, 31 Mar 2026.
Ref: Detailed sec 19 (pdf p.357); Valuation Certificate sec 6; Value Summary sec 4 (pdf p.55-56)</t>
      </text>
    </comment>
    <comment ref="X16" authorId="0" shapeId="0">
      <text>
        <t>Source: KRT detailed valuation report, 31 Mar 2026.
Ref: Detailed sec 19 (pdf p.357); Valuation Certificate sec 6; Value Summary sec 4 (pdf p.55-56)</t>
      </text>
    </comment>
    <comment ref="A17" authorId="0" shapeId="0">
      <text>
        <t>Source: KRT detailed valuation report, 31 Mar 2026.
Ref: Detailed sec 20 (pdf p.373); Valuation Certificate sec 6; Value Summary sec 4 (pdf p.55-56)</t>
      </text>
    </comment>
    <comment ref="B17" authorId="0" shapeId="0">
      <text>
        <t>Source: KRT detailed valuation report, 31 Mar 2026.
Ref: Detailed sec 20 (pdf p.373); Valuation Certificate sec 6; Value Summary sec 4 (pdf p.55-56)</t>
      </text>
    </comment>
    <comment ref="C17" authorId="0" shapeId="0">
      <text>
        <t>Source: KRT detailed valuation report, 31 Mar 2026.
Ref: Detailed sec 20 (pdf p.373); Valuation Certificate sec 6; Value Summary sec 4 (pdf p.55-56)</t>
      </text>
    </comment>
    <comment ref="D17" authorId="0" shapeId="0">
      <text>
        <t>Source: KRT detailed valuation report, 31 Mar 2026.
Ref: Detailed sec 20 (pdf p.373); Valuation Certificate sec 6; Value Summary sec 4 (pdf p.55-56)</t>
      </text>
    </comment>
    <comment ref="E17" authorId="0" shapeId="0">
      <text>
        <t>Source: KRT detailed valuation report, 31 Mar 2026.
Ref: Detailed sec 20 (pdf p.373); Valuation Certificate sec 6; Value Summary sec 4 (pdf p.55-56)</t>
      </text>
    </comment>
    <comment ref="F17" authorId="0" shapeId="0">
      <text>
        <t>Source: KRT detailed valuation report, 31 Mar 2026.
Ref: Detailed sec 20 (pdf p.373); Valuation Certificate sec 6; Value Summary sec 4 (pdf p.55-56)</t>
      </text>
    </comment>
    <comment ref="G17" authorId="0" shapeId="0">
      <text>
        <t>Source: KRT detailed valuation report, 31 Mar 2026.
Ref: Detailed sec 20 (pdf p.373); Valuation Certificate sec 6; Value Summary sec 4 (pdf p.55-56)</t>
      </text>
    </comment>
    <comment ref="H17" authorId="0" shapeId="0">
      <text>
        <t>Source: KRT detailed valuation report, 31 Mar 2026.
Ref: Detailed sec 20 (pdf p.373); Valuation Certificate sec 6; Value Summary sec 4 (pdf p.55-56)</t>
      </text>
    </comment>
    <comment ref="I17" authorId="0" shapeId="0">
      <text>
        <t>Source: KRT detailed valuation report, 31 Mar 2026.
Ref: Detailed sec 20 (pdf p.373); Valuation Certificate sec 6; Value Summary sec 4 (pdf p.55-56)</t>
      </text>
    </comment>
    <comment ref="M17" authorId="0" shapeId="0">
      <text>
        <t>Source: KRT detailed valuation report, 31 Mar 2026.
Ref: Detailed sec 20 (pdf p.373); Valuation Certificate sec 6; Value Summary sec 4 (pdf p.55-56)</t>
      </text>
    </comment>
    <comment ref="N17" authorId="0" shapeId="0">
      <text>
        <t>Source: KRT detailed valuation report, 31 Mar 2026.
Ref: Detailed sec 20 (pdf p.373); Valuation Certificate sec 6; Value Summary sec 4 (pdf p.55-56)</t>
      </text>
    </comment>
    <comment ref="O17" authorId="0" shapeId="0">
      <text>
        <t>Computed = Market rent / In-place rent - 1</t>
      </text>
    </comment>
    <comment ref="P17" authorId="0" shapeId="0">
      <text>
        <t>Source: KRT detailed valuation report, 31 Mar 2026.
Ref: Detailed sec 20 (pdf p.373); Valuation Certificate sec 6; Value Summary sec 4 (pdf p.55-56)</t>
      </text>
    </comment>
    <comment ref="R17" authorId="0" shapeId="0">
      <text>
        <t>Source: KRT detailed valuation report, 31 Mar 2026.
Ref: Detailed sec 20 (pdf p.373); Valuation Certificate sec 6; Value Summary sec 4 (pdf p.55-56)</t>
      </text>
    </comment>
    <comment ref="S17" authorId="0" shapeId="0">
      <text>
        <t>Source: KRT detailed valuation report, 31 Mar 2026.
Ref: Detailed sec 20 (pdf p.373); Valuation Certificate sec 6; Value Summary sec 4 (pdf p.55-56)</t>
      </text>
    </comment>
    <comment ref="T17" authorId="0" shapeId="0">
      <text>
        <t>Source: KRT detailed valuation report, 31 Mar 2026.
Ref: Detailed sec 20 (pdf p.373); Valuation Certificate sec 6; Value Summary sec 4 (pdf p.55-56)</t>
      </text>
    </comment>
    <comment ref="U17" authorId="0" shapeId="0">
      <text>
        <t>Computed = Market value / leasable sq ft</t>
      </text>
    </comment>
    <comment ref="V17" authorId="0" shapeId="0">
      <text>
        <t>Source: KRT detailed valuation report, 31 Mar 2026.
Ref: Detailed sec 20 (pdf p.373); Valuation Certificate sec 6; Value Summary sec 4 (pdf p.55-56)</t>
      </text>
    </comment>
    <comment ref="W17" authorId="0" shapeId="0">
      <text>
        <t>Source: KRT detailed valuation report, 31 Mar 2026.
Ref: Detailed sec 20 (pdf p.373); Valuation Certificate sec 6; Value Summary sec 4 (pdf p.55-56)</t>
      </text>
    </comment>
    <comment ref="X17" authorId="0" shapeId="0">
      <text>
        <t>Source: KRT detailed valuation report, 31 Mar 2026.
Ref: Detailed sec 20 (pdf p.373); Valuation Certificate sec 6; Value Summary sec 4 (pdf p.55-56)</t>
      </text>
    </comment>
    <comment ref="A18" authorId="0" shapeId="0">
      <text>
        <t>Source: KRT detailed valuation report, 31 Mar 2026.
Ref: Detailed sec 21 (pdf p.389); Valuation Certificate sec 6; Value Summary sec 4 (pdf p.55-56)</t>
      </text>
    </comment>
    <comment ref="B18" authorId="0" shapeId="0">
      <text>
        <t>Source: KRT detailed valuation report, 31 Mar 2026.
Ref: Detailed sec 21 (pdf p.389); Valuation Certificate sec 6; Value Summary sec 4 (pdf p.55-56)</t>
      </text>
    </comment>
    <comment ref="C18" authorId="0" shapeId="0">
      <text>
        <t>Source: KRT detailed valuation report, 31 Mar 2026.
Ref: Detailed sec 21 (pdf p.389); Valuation Certificate sec 6; Value Summary sec 4 (pdf p.55-56)</t>
      </text>
    </comment>
    <comment ref="D18" authorId="0" shapeId="0">
      <text>
        <t>Source: KRT detailed valuation report, 31 Mar 2026.
Ref: Detailed sec 21 (pdf p.389); Valuation Certificate sec 6; Value Summary sec 4 (pdf p.55-56)</t>
      </text>
    </comment>
    <comment ref="E18" authorId="0" shapeId="0">
      <text>
        <t>Source: KRT detailed valuation report, 31 Mar 2026.
Ref: Detailed sec 21 (pdf p.389); Valuation Certificate sec 6; Value Summary sec 4 (pdf p.55-56)</t>
      </text>
    </comment>
    <comment ref="F18" authorId="0" shapeId="0">
      <text>
        <t>Source: KRT detailed valuation report, 31 Mar 2026.
Ref: Detailed sec 21 (pdf p.389); Valuation Certificate sec 6; Value Summary sec 4 (pdf p.55-56)</t>
      </text>
    </comment>
    <comment ref="G18" authorId="0" shapeId="0">
      <text>
        <t>Source: KRT detailed valuation report, 31 Mar 2026.
Ref: Detailed sec 21 (pdf p.389); Valuation Certificate sec 6; Value Summary sec 4 (pdf p.55-56)</t>
      </text>
    </comment>
    <comment ref="H18" authorId="0" shapeId="0">
      <text>
        <t>Source: KRT detailed valuation report, 31 Mar 2026.
Ref: Detailed sec 21 (pdf p.389); Valuation Certificate sec 6; Value Summary sec 4 (pdf p.55-56)</t>
      </text>
    </comment>
    <comment ref="I18" authorId="0" shapeId="0">
      <text>
        <t>Source: KRT detailed valuation report, 31 Mar 2026.
Ref: Detailed sec 21 (pdf p.389); Valuation Certificate sec 6; Value Summary sec 4 (pdf p.55-56)</t>
      </text>
    </comment>
    <comment ref="M18" authorId="0" shapeId="0">
      <text>
        <t>Source: KRT detailed valuation report, 31 Mar 2026.
Ref: Detailed sec 21 (pdf p.389); Valuation Certificate sec 6; Value Summary sec 4 (pdf p.55-56)</t>
      </text>
    </comment>
    <comment ref="N18" authorId="0" shapeId="0">
      <text>
        <t>Source: KRT detailed valuation report, 31 Mar 2026.
Ref: Detailed sec 21 (pdf p.389); Valuation Certificate sec 6; Value Summary sec 4 (pdf p.55-56)</t>
      </text>
    </comment>
    <comment ref="O18" authorId="0" shapeId="0">
      <text>
        <t>Computed = Market rent / In-place rent - 1</t>
      </text>
    </comment>
    <comment ref="P18" authorId="0" shapeId="0">
      <text>
        <t>Source: KRT detailed valuation report, 31 Mar 2026.
Ref: Detailed sec 21 (pdf p.389); Valuation Certificate sec 6; Value Summary sec 4 (pdf p.55-56)</t>
      </text>
    </comment>
    <comment ref="R18" authorId="0" shapeId="0">
      <text>
        <t>Source: KRT detailed valuation report, 31 Mar 2026.
Ref: Detailed sec 21 (pdf p.389); Valuation Certificate sec 6; Value Summary sec 4 (pdf p.55-56)</t>
      </text>
    </comment>
    <comment ref="S18" authorId="0" shapeId="0">
      <text>
        <t>Source: KRT detailed valuation report, 31 Mar 2026.
Ref: Detailed sec 21 (pdf p.389); Valuation Certificate sec 6; Value Summary sec 4 (pdf p.55-56)</t>
      </text>
    </comment>
    <comment ref="T18" authorId="0" shapeId="0">
      <text>
        <t>Source: KRT detailed valuation report, 31 Mar 2026.
Ref: Detailed sec 21 (pdf p.389); Valuation Certificate sec 6; Value Summary sec 4 (pdf p.55-56)</t>
      </text>
    </comment>
    <comment ref="U18" authorId="0" shapeId="0">
      <text>
        <t>Computed = Market value / leasable sq ft</t>
      </text>
    </comment>
    <comment ref="V18" authorId="0" shapeId="0">
      <text>
        <t>Source: KRT detailed valuation report, 31 Mar 2026.
Ref: Detailed sec 21 (pdf p.389); Valuation Certificate sec 6; Value Summary sec 4 (pdf p.55-56)</t>
      </text>
    </comment>
    <comment ref="W18" authorId="0" shapeId="0">
      <text>
        <t>Source: KRT detailed valuation report, 31 Mar 2026.
Ref: Detailed sec 21 (pdf p.389); Valuation Certificate sec 6; Value Summary sec 4 (pdf p.55-56)</t>
      </text>
    </comment>
    <comment ref="X18" authorId="0" shapeId="0">
      <text>
        <t>Source: KRT detailed valuation report, 31 Mar 2026.
Ref: Detailed sec 21 (pdf p.389); Valuation Certificate sec 6; Value Summary sec 4 (pdf p.55-56)</t>
      </text>
    </comment>
    <comment ref="A19" authorId="0" shapeId="0">
      <text>
        <t>Source: KRT detailed valuation report, 31 Mar 2026.
Ref: Detailed sec 22 (pdf p.403); Valuation Certificate sec 6; Value Summary sec 4 (pdf p.55-56)</t>
      </text>
    </comment>
    <comment ref="B19" authorId="0" shapeId="0">
      <text>
        <t>Source: KRT detailed valuation report, 31 Mar 2026.
Ref: Detailed sec 22 (pdf p.403); Valuation Certificate sec 6; Value Summary sec 4 (pdf p.55-56)</t>
      </text>
    </comment>
    <comment ref="C19" authorId="0" shapeId="0">
      <text>
        <t>Source: KRT detailed valuation report, 31 Mar 2026.
Ref: Detailed sec 22 (pdf p.403); Valuation Certificate sec 6; Value Summary sec 4 (pdf p.55-56)</t>
      </text>
    </comment>
    <comment ref="D19" authorId="0" shapeId="0">
      <text>
        <t>Source: KRT detailed valuation report, 31 Mar 2026.
Ref: Detailed sec 22 (pdf p.403); Valuation Certificate sec 6; Value Summary sec 4 (pdf p.55-56)</t>
      </text>
    </comment>
    <comment ref="E19" authorId="0" shapeId="0">
      <text>
        <t>Source: KRT detailed valuation report, 31 Mar 2026.
Ref: Detailed sec 22 (pdf p.403); Valuation Certificate sec 6; Value Summary sec 4 (pdf p.55-56)</t>
      </text>
    </comment>
    <comment ref="F19" authorId="0" shapeId="0">
      <text>
        <t>Source: KRT detailed valuation report, 31 Mar 2026.
Ref: Detailed sec 22 (pdf p.403); Valuation Certificate sec 6; Value Summary sec 4 (pdf p.55-56)</t>
      </text>
    </comment>
    <comment ref="G19" authorId="0" shapeId="0">
      <text>
        <t>Source: KRT detailed valuation report, 31 Mar 2026.
Ref: Detailed sec 22 (pdf p.403); Valuation Certificate sec 6; Value Summary sec 4 (pdf p.55-56)</t>
      </text>
    </comment>
    <comment ref="H19" authorId="0" shapeId="0">
      <text>
        <t>Source: KRT detailed valuation report, 31 Mar 2026.
Ref: Detailed sec 22 (pdf p.403); Valuation Certificate sec 6; Value Summary sec 4 (pdf p.55-56)</t>
      </text>
    </comment>
    <comment ref="I19" authorId="0" shapeId="0">
      <text>
        <t>Source: KRT detailed valuation report, 31 Mar 2026.
Ref: Detailed sec 22 (pdf p.403); Valuation Certificate sec 6; Value Summary sec 4 (pdf p.55-56)</t>
      </text>
    </comment>
    <comment ref="M19" authorId="0" shapeId="0">
      <text>
        <t>Source: KRT detailed valuation report, 31 Mar 2026.
Ref: Detailed sec 22 (pdf p.403); Valuation Certificate sec 6; Value Summary sec 4 (pdf p.55-56)</t>
      </text>
    </comment>
    <comment ref="N19" authorId="0" shapeId="0">
      <text>
        <t>Source: KRT detailed valuation report, 31 Mar 2026.
Ref: Detailed sec 22 (pdf p.403); Valuation Certificate sec 6; Value Summary sec 4 (pdf p.55-56)</t>
      </text>
    </comment>
    <comment ref="O19" authorId="0" shapeId="0">
      <text>
        <t>Computed = Market rent / In-place rent - 1</t>
      </text>
    </comment>
    <comment ref="P19" authorId="0" shapeId="0">
      <text>
        <t>Source: KRT detailed valuation report, 31 Mar 2026.
Ref: Detailed sec 22 (pdf p.403); Valuation Certificate sec 6; Value Summary sec 4 (pdf p.55-56)</t>
      </text>
    </comment>
    <comment ref="R19" authorId="0" shapeId="0">
      <text>
        <t>Source: KRT detailed valuation report, 31 Mar 2026.
Ref: Detailed sec 22 (pdf p.403); Valuation Certificate sec 6; Value Summary sec 4 (pdf p.55-56)</t>
      </text>
    </comment>
    <comment ref="S19" authorId="0" shapeId="0">
      <text>
        <t>Source: KRT detailed valuation report, 31 Mar 2026.
Ref: Detailed sec 22 (pdf p.403); Valuation Certificate sec 6; Value Summary sec 4 (pdf p.55-56)</t>
      </text>
    </comment>
    <comment ref="T19" authorId="0" shapeId="0">
      <text>
        <t>Source: KRT detailed valuation report, 31 Mar 2026.
Ref: Detailed sec 22 (pdf p.403); Valuation Certificate sec 6; Value Summary sec 4 (pdf p.55-56)</t>
      </text>
    </comment>
    <comment ref="U19" authorId="0" shapeId="0">
      <text>
        <t>Computed = Market value / leasable sq ft</t>
      </text>
    </comment>
    <comment ref="V19" authorId="0" shapeId="0">
      <text>
        <t>Source: KRT detailed valuation report, 31 Mar 2026.
Ref: Detailed sec 22 (pdf p.403); Valuation Certificate sec 6; Value Summary sec 4 (pdf p.55-56)</t>
      </text>
    </comment>
    <comment ref="W19" authorId="0" shapeId="0">
      <text>
        <t>Source: KRT detailed valuation report, 31 Mar 2026.
Ref: Detailed sec 22 (pdf p.403); Valuation Certificate sec 6; Value Summary sec 4 (pdf p.55-56)</t>
      </text>
    </comment>
    <comment ref="X19" authorId="0" shapeId="0">
      <text>
        <t>Source: KRT detailed valuation report, 31 Mar 2026.
Ref: Detailed sec 22 (pdf p.403); Valuation Certificate sec 6; Value Summary sec 4 (pdf p.55-56)</t>
      </text>
    </comment>
    <comment ref="A20" authorId="0" shapeId="0">
      <text>
        <t>Source: KRT detailed valuation report, 31 Mar 2026.
Ref: Detailed sec 23 (pdf p.416); Valuation Certificate sec 6; Value Summary sec 4 (pdf p.55-56)</t>
      </text>
    </comment>
    <comment ref="B20" authorId="0" shapeId="0">
      <text>
        <t>Source: KRT detailed valuation report, 31 Mar 2026.
Ref: Detailed sec 23 (pdf p.416); Valuation Certificate sec 6; Value Summary sec 4 (pdf p.55-56)</t>
      </text>
    </comment>
    <comment ref="C20" authorId="0" shapeId="0">
      <text>
        <t>Source: KRT detailed valuation report, 31 Mar 2026.
Ref: Detailed sec 23 (pdf p.416); Valuation Certificate sec 6; Value Summary sec 4 (pdf p.55-56)</t>
      </text>
    </comment>
    <comment ref="D20" authorId="0" shapeId="0">
      <text>
        <t>Source: KRT detailed valuation report, 31 Mar 2026.
Ref: Detailed sec 23 (pdf p.416); Valuation Certificate sec 6; Value Summary sec 4 (pdf p.55-56)</t>
      </text>
    </comment>
    <comment ref="E20" authorId="0" shapeId="0">
      <text>
        <t>Source: KRT detailed valuation report, 31 Mar 2026.
Ref: Detailed sec 23 (pdf p.416); Valuation Certificate sec 6; Value Summary sec 4 (pdf p.55-56)</t>
      </text>
    </comment>
    <comment ref="F20" authorId="0" shapeId="0">
      <text>
        <t>Source: KRT detailed valuation report, 31 Mar 2026.
Ref: Detailed sec 23 (pdf p.416); Valuation Certificate sec 6; Value Summary sec 4 (pdf p.55-56)</t>
      </text>
    </comment>
    <comment ref="G20" authorId="0" shapeId="0">
      <text>
        <t>Source: KRT detailed valuation report, 31 Mar 2026.
Ref: Detailed sec 23 (pdf p.416); Valuation Certificate sec 6; Value Summary sec 4 (pdf p.55-56)</t>
      </text>
    </comment>
    <comment ref="H20" authorId="0" shapeId="0">
      <text>
        <t>Source: KRT detailed valuation report, 31 Mar 2026.
Ref: Detailed sec 23 (pdf p.416); Valuation Certificate sec 6; Value Summary sec 4 (pdf p.55-56)</t>
      </text>
    </comment>
    <comment ref="I20" authorId="0" shapeId="0">
      <text>
        <t>Source: KRT detailed valuation report, 31 Mar 2026.
Ref: Detailed sec 23 (pdf p.416); Valuation Certificate sec 6; Value Summary sec 4 (pdf p.55-56)</t>
      </text>
    </comment>
    <comment ref="K20" authorId="0" shapeId="0">
      <text>
        <t>Source: KRT detailed valuation report, 31 Mar 2026.
Ref: Detailed sec 23 (pdf p.416); Valuation Certificate sec 6; Value Summary sec 4 (pdf p.55-56)</t>
      </text>
    </comment>
    <comment ref="M20" authorId="0" shapeId="0">
      <text>
        <t>Source: KRT detailed valuation report, 31 Mar 2026.
Ref: Detailed sec 23 (pdf p.416); Valuation Certificate sec 6; Value Summary sec 4 (pdf p.55-56)</t>
      </text>
    </comment>
    <comment ref="N20" authorId="0" shapeId="0">
      <text>
        <t>Source: KRT detailed valuation report, 31 Mar 2026.
Ref: Detailed sec 23 (pdf p.416); Valuation Certificate sec 6; Value Summary sec 4 (pdf p.55-56)</t>
      </text>
    </comment>
    <comment ref="O20" authorId="0" shapeId="0">
      <text>
        <t>Computed = Market rent / In-place rent - 1</t>
      </text>
    </comment>
    <comment ref="P20" authorId="0" shapeId="0">
      <text>
        <t>Source: KRT detailed valuation report, 31 Mar 2026.
Ref: Detailed sec 23 (pdf p.416); Valuation Certificate sec 6; Value Summary sec 4 (pdf p.55-56)</t>
      </text>
    </comment>
    <comment ref="R20" authorId="0" shapeId="0">
      <text>
        <t>Source: KRT detailed valuation report, 31 Mar 2026.
Ref: Detailed sec 23 (pdf p.416); Valuation Certificate sec 6; Value Summary sec 4 (pdf p.55-56)</t>
      </text>
    </comment>
    <comment ref="S20" authorId="0" shapeId="0">
      <text>
        <t>Source: KRT detailed valuation report, 31 Mar 2026.
Ref: Detailed sec 23 (pdf p.416); Valuation Certificate sec 6; Value Summary sec 4 (pdf p.55-56)</t>
      </text>
    </comment>
    <comment ref="T20" authorId="0" shapeId="0">
      <text>
        <t>Source: KRT detailed valuation report, 31 Mar 2026.
Ref: Detailed sec 23 (pdf p.416); Valuation Certificate sec 6; Value Summary sec 4 (pdf p.55-56)</t>
      </text>
    </comment>
    <comment ref="U20" authorId="0" shapeId="0">
      <text>
        <t>Computed = Market value / leasable sq ft</t>
      </text>
    </comment>
    <comment ref="V20" authorId="0" shapeId="0">
      <text>
        <t>Source: KRT detailed valuation report, 31 Mar 2026.
Ref: Detailed sec 23 (pdf p.416); Valuation Certificate sec 6; Value Summary sec 4 (pdf p.55-56)</t>
      </text>
    </comment>
    <comment ref="W20" authorId="0" shapeId="0">
      <text>
        <t>Source: KRT detailed valuation report, 31 Mar 2026.
Ref: Detailed sec 23 (pdf p.416); Valuation Certificate sec 6; Value Summary sec 4 (pdf p.55-56)</t>
      </text>
    </comment>
    <comment ref="X20" authorId="0" shapeId="0">
      <text>
        <t>Source: KRT detailed valuation report, 31 Mar 2026.
Ref: Detailed sec 23 (pdf p.416); Valuation Certificate sec 6; Value Summary sec 4 (pdf p.55-56)</t>
      </text>
    </comment>
    <comment ref="A21" authorId="0" shapeId="0">
      <text>
        <t>Source: KRT detailed valuation report, 31 Mar 2026.
Ref: Detailed sec 24 (pdf p.432); Valuation Certificate sec 6; Value Summary sec 4 (pdf p.55-56)</t>
      </text>
    </comment>
    <comment ref="B21" authorId="0" shapeId="0">
      <text>
        <t>Source: KRT detailed valuation report, 31 Mar 2026.
Ref: Detailed sec 24 (pdf p.432); Valuation Certificate sec 6; Value Summary sec 4 (pdf p.55-56)</t>
      </text>
    </comment>
    <comment ref="C21" authorId="0" shapeId="0">
      <text>
        <t>Source: KRT detailed valuation report, 31 Mar 2026.
Ref: Detailed sec 24 (pdf p.432); Valuation Certificate sec 6; Value Summary sec 4 (pdf p.55-56)</t>
      </text>
    </comment>
    <comment ref="D21" authorId="0" shapeId="0">
      <text>
        <t>Source: KRT detailed valuation report, 31 Mar 2026.
Ref: Detailed sec 24 (pdf p.432); Valuation Certificate sec 6; Value Summary sec 4 (pdf p.55-56)</t>
      </text>
    </comment>
    <comment ref="E21" authorId="0" shapeId="0">
      <text>
        <t>Source: KRT detailed valuation report, 31 Mar 2026.
Ref: Detailed sec 24 (pdf p.432); Valuation Certificate sec 6; Value Summary sec 4 (pdf p.55-56)</t>
      </text>
    </comment>
    <comment ref="F21" authorId="0" shapeId="0">
      <text>
        <t>Source: KRT detailed valuation report, 31 Mar 2026.
Ref: Detailed sec 24 (pdf p.432); Valuation Certificate sec 6; Value Summary sec 4 (pdf p.55-56)</t>
      </text>
    </comment>
    <comment ref="G21" authorId="0" shapeId="0">
      <text>
        <t>Source: KRT detailed valuation report, 31 Mar 2026.
Ref: Detailed sec 24 (pdf p.432); Valuation Certificate sec 6; Value Summary sec 4 (pdf p.55-56)</t>
      </text>
    </comment>
    <comment ref="H21" authorId="0" shapeId="0">
      <text>
        <t>Source: KRT detailed valuation report, 31 Mar 2026.
Ref: Detailed sec 24 (pdf p.432); Valuation Certificate sec 6; Value Summary sec 4 (pdf p.55-56)</t>
      </text>
    </comment>
    <comment ref="I21" authorId="0" shapeId="0">
      <text>
        <t>Source: KRT detailed valuation report, 31 Mar 2026.
Ref: Detailed sec 24 (pdf p.432); Valuation Certificate sec 6; Value Summary sec 4 (pdf p.55-56)</t>
      </text>
    </comment>
    <comment ref="K21" authorId="0" shapeId="0">
      <text>
        <t>Source: KRT detailed valuation report, 31 Mar 2026.
Ref: Detailed sec 24 (pdf p.432); Valuation Certificate sec 6; Value Summary sec 4 (pdf p.55-56)</t>
      </text>
    </comment>
    <comment ref="M21" authorId="0" shapeId="0">
      <text>
        <t>Source: KRT detailed valuation report, 31 Mar 2026.
Ref: Detailed sec 24 (pdf p.432); Valuation Certificate sec 6; Value Summary sec 4 (pdf p.55-56)</t>
      </text>
    </comment>
    <comment ref="N21" authorId="0" shapeId="0">
      <text>
        <t>Source: KRT detailed valuation report, 31 Mar 2026.
Ref: Detailed sec 24 (pdf p.432); Valuation Certificate sec 6; Value Summary sec 4 (pdf p.55-56)</t>
      </text>
    </comment>
    <comment ref="O21" authorId="0" shapeId="0">
      <text>
        <t>Computed = Market rent / In-place rent - 1</t>
      </text>
    </comment>
    <comment ref="P21" authorId="0" shapeId="0">
      <text>
        <t>Source: KRT detailed valuation report, 31 Mar 2026.
Ref: Detailed sec 24 (pdf p.432); Valuation Certificate sec 6; Value Summary sec 4 (pdf p.55-56)</t>
      </text>
    </comment>
    <comment ref="R21" authorId="0" shapeId="0">
      <text>
        <t>Source: KRT detailed valuation report, 31 Mar 2026.
Ref: Detailed sec 24 (pdf p.432); Valuation Certificate sec 6; Value Summary sec 4 (pdf p.55-56)</t>
      </text>
    </comment>
    <comment ref="S21" authorId="0" shapeId="0">
      <text>
        <t>Source: KRT detailed valuation report, 31 Mar 2026.
Ref: Detailed sec 24 (pdf p.432); Valuation Certificate sec 6; Value Summary sec 4 (pdf p.55-56)</t>
      </text>
    </comment>
    <comment ref="T21" authorId="0" shapeId="0">
      <text>
        <t>Source: KRT detailed valuation report, 31 Mar 2026.
Ref: Detailed sec 24 (pdf p.432); Valuation Certificate sec 6; Value Summary sec 4 (pdf p.55-56)</t>
      </text>
    </comment>
    <comment ref="U21" authorId="0" shapeId="0">
      <text>
        <t>Computed = Market value / leasable sq ft</t>
      </text>
    </comment>
    <comment ref="V21" authorId="0" shapeId="0">
      <text>
        <t>Source: KRT detailed valuation report, 31 Mar 2026.
Ref: Detailed sec 24 (pdf p.432); Valuation Certificate sec 6; Value Summary sec 4 (pdf p.55-56)</t>
      </text>
    </comment>
    <comment ref="W21" authorId="0" shapeId="0">
      <text>
        <t>Source: KRT detailed valuation report, 31 Mar 2026.
Ref: Detailed sec 24 (pdf p.432); Valuation Certificate sec 6; Value Summary sec 4 (pdf p.55-56)</t>
      </text>
    </comment>
    <comment ref="X21" authorId="0" shapeId="0">
      <text>
        <t>Source: KRT detailed valuation report, 31 Mar 2026.
Ref: Detailed sec 24 (pdf p.432); Valuation Certificate sec 6; Value Summary sec 4 (pdf p.55-56)</t>
      </text>
    </comment>
    <comment ref="A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B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C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D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E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F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G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H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I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M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N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O22" authorId="0" shapeId="0">
      <text>
        <t>Computed = Market rent / In-place rent - 1</t>
      </text>
    </comment>
    <comment ref="P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R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S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T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U22" authorId="0" shapeId="0">
      <text>
        <t>Computed = Market value / leasable sq ft</t>
      </text>
    </comment>
    <comment ref="V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W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X22" authorId="0" shapeId="0">
      <text>
        <t>Source: KRT detailed valuation report, 31 Mar 2026.
Ref: Magnificia I (MV 1357) + II (MV 1905) combined | Detailed sec 25 (pdf p.448); Valuation Certificate sec 6; Value Summary sec 4 (pdf p.55-56)</t>
      </text>
    </comment>
    <comment ref="A23" authorId="0" shapeId="0">
      <text>
        <t>Source: KRT detailed valuation report, 31 Mar 2026.
Ref: Detailed sec 26 (pdf p.467); Valuation Certificate sec 6; Value Summary sec 4 (pdf p.55-56)</t>
      </text>
    </comment>
    <comment ref="B23" authorId="0" shapeId="0">
      <text>
        <t>Source: KRT detailed valuation report, 31 Mar 2026.
Ref: Detailed sec 26 (pdf p.467); Valuation Certificate sec 6; Value Summary sec 4 (pdf p.55-56)</t>
      </text>
    </comment>
    <comment ref="C23" authorId="0" shapeId="0">
      <text>
        <t>Source: KRT detailed valuation report, 31 Mar 2026.
Ref: Detailed sec 26 (pdf p.467); Valuation Certificate sec 6; Value Summary sec 4 (pdf p.55-56)</t>
      </text>
    </comment>
    <comment ref="D23" authorId="0" shapeId="0">
      <text>
        <t>Source: KRT detailed valuation report, 31 Mar 2026.
Ref: Detailed sec 26 (pdf p.467); Valuation Certificate sec 6; Value Summary sec 4 (pdf p.55-56)</t>
      </text>
    </comment>
    <comment ref="E23" authorId="0" shapeId="0">
      <text>
        <t>Source: KRT detailed valuation report, 31 Mar 2026.
Ref: Detailed sec 26 (pdf p.467); Valuation Certificate sec 6; Value Summary sec 4 (pdf p.55-56)</t>
      </text>
    </comment>
    <comment ref="F23" authorId="0" shapeId="0">
      <text>
        <t>Source: KRT detailed valuation report, 31 Mar 2026.
Ref: Detailed sec 26 (pdf p.467); Valuation Certificate sec 6; Value Summary sec 4 (pdf p.55-56)</t>
      </text>
    </comment>
    <comment ref="G23" authorId="0" shapeId="0">
      <text>
        <t>Source: KRT detailed valuation report, 31 Mar 2026.
Ref: Detailed sec 26 (pdf p.467); Valuation Certificate sec 6; Value Summary sec 4 (pdf p.55-56)</t>
      </text>
    </comment>
    <comment ref="H23" authorId="0" shapeId="0">
      <text>
        <t>Source: KRT detailed valuation report, 31 Mar 2026.
Ref: Detailed sec 26 (pdf p.467); Valuation Certificate sec 6; Value Summary sec 4 (pdf p.55-56)</t>
      </text>
    </comment>
    <comment ref="I23" authorId="0" shapeId="0">
      <text>
        <t>Source: KRT detailed valuation report, 31 Mar 2026.
Ref: Detailed sec 26 (pdf p.467); Valuation Certificate sec 6; Value Summary sec 4 (pdf p.55-56)</t>
      </text>
    </comment>
    <comment ref="K23" authorId="0" shapeId="0">
      <text>
        <t>Source: KRT detailed valuation report, 31 Mar 2026.
Ref: Detailed sec 26 (pdf p.467); Valuation Certificate sec 6; Value Summary sec 4 (pdf p.55-56)</t>
      </text>
    </comment>
    <comment ref="M23" authorId="0" shapeId="0">
      <text>
        <t>Source: KRT detailed valuation report, 31 Mar 2026.
Ref: Detailed sec 26 (pdf p.467); Valuation Certificate sec 6; Value Summary sec 4 (pdf p.55-56)</t>
      </text>
    </comment>
    <comment ref="N23" authorId="0" shapeId="0">
      <text>
        <t>Source: KRT detailed valuation report, 31 Mar 2026.
Ref: Detailed sec 26 (pdf p.467); Valuation Certificate sec 6; Value Summary sec 4 (pdf p.55-56)</t>
      </text>
    </comment>
    <comment ref="O23" authorId="0" shapeId="0">
      <text>
        <t>Computed = Market rent / In-place rent - 1</t>
      </text>
    </comment>
    <comment ref="P23" authorId="0" shapeId="0">
      <text>
        <t>Source: KRT detailed valuation report, 31 Mar 2026.
Ref: Detailed sec 26 (pdf p.467); Valuation Certificate sec 6; Value Summary sec 4 (pdf p.55-56)</t>
      </text>
    </comment>
    <comment ref="R23" authorId="0" shapeId="0">
      <text>
        <t>Source: KRT detailed valuation report, 31 Mar 2026.
Ref: Detailed sec 26 (pdf p.467); Valuation Certificate sec 6; Value Summary sec 4 (pdf p.55-56)</t>
      </text>
    </comment>
    <comment ref="S23" authorId="0" shapeId="0">
      <text>
        <t>Source: KRT detailed valuation report, 31 Mar 2026.
Ref: Detailed sec 26 (pdf p.467); Valuation Certificate sec 6; Value Summary sec 4 (pdf p.55-56)</t>
      </text>
    </comment>
    <comment ref="T23" authorId="0" shapeId="0">
      <text>
        <t>Source: KRT detailed valuation report, 31 Mar 2026.
Ref: Detailed sec 26 (pdf p.467); Valuation Certificate sec 6; Value Summary sec 4 (pdf p.55-56)</t>
      </text>
    </comment>
    <comment ref="U23" authorId="0" shapeId="0">
      <text>
        <t>Computed = Market value / leasable sq ft</t>
      </text>
    </comment>
    <comment ref="V23" authorId="0" shapeId="0">
      <text>
        <t>Source: KRT detailed valuation report, 31 Mar 2026.
Ref: Detailed sec 26 (pdf p.467); Valuation Certificate sec 6; Value Summary sec 4 (pdf p.55-56)</t>
      </text>
    </comment>
    <comment ref="W23" authorId="0" shapeId="0">
      <text>
        <t>Source: KRT detailed valuation report, 31 Mar 2026.
Ref: Detailed sec 26 (pdf p.467); Valuation Certificate sec 6; Value Summary sec 4 (pdf p.55-56)</t>
      </text>
    </comment>
    <comment ref="X23" authorId="0" shapeId="0">
      <text>
        <t>Source: KRT detailed valuation report, 31 Mar 2026.
Ref: Detailed sec 26 (pdf p.467); Valuation Certificate sec 6; Value Summary sec 4 (pdf p.55-56)</t>
      </text>
    </comment>
    <comment ref="A24" authorId="0" shapeId="0">
      <text>
        <t>Source: KRT detailed valuation report, 31 Mar 2026.
Ref: Detailed sec 27 (pdf p.482); Valuation Certificate sec 6; Value Summary sec 4 (pdf p.55-56)</t>
      </text>
    </comment>
    <comment ref="B24" authorId="0" shapeId="0">
      <text>
        <t>Source: KRT detailed valuation report, 31 Mar 2026.
Ref: Detailed sec 27 (pdf p.482); Valuation Certificate sec 6; Value Summary sec 4 (pdf p.55-56)</t>
      </text>
    </comment>
    <comment ref="C24" authorId="0" shapeId="0">
      <text>
        <t>Source: KRT detailed valuation report, 31 Mar 2026.
Ref: Detailed sec 27 (pdf p.482); Valuation Certificate sec 6; Value Summary sec 4 (pdf p.55-56)</t>
      </text>
    </comment>
    <comment ref="D24" authorId="0" shapeId="0">
      <text>
        <t>Source: KRT detailed valuation report, 31 Mar 2026.
Ref: Detailed sec 27 (pdf p.482); Valuation Certificate sec 6; Value Summary sec 4 (pdf p.55-56)</t>
      </text>
    </comment>
    <comment ref="E24" authorId="0" shapeId="0">
      <text>
        <t>Source: KRT detailed valuation report, 31 Mar 2026.
Ref: Detailed sec 27 (pdf p.482); Valuation Certificate sec 6; Value Summary sec 4 (pdf p.55-56)</t>
      </text>
    </comment>
    <comment ref="F24" authorId="0" shapeId="0">
      <text>
        <t>Source: KRT detailed valuation report, 31 Mar 2026.
Ref: Detailed sec 27 (pdf p.482); Valuation Certificate sec 6; Value Summary sec 4 (pdf p.55-56)</t>
      </text>
    </comment>
    <comment ref="G24" authorId="0" shapeId="0">
      <text>
        <t>Source: KRT detailed valuation report, 31 Mar 2026.
Ref: Detailed sec 27 (pdf p.482); Valuation Certificate sec 6; Value Summary sec 4 (pdf p.55-56)</t>
      </text>
    </comment>
    <comment ref="H24" authorId="0" shapeId="0">
      <text>
        <t>Source: KRT detailed valuation report, 31 Mar 2026.
Ref: Detailed sec 27 (pdf p.482); Valuation Certificate sec 6; Value Summary sec 4 (pdf p.55-56)</t>
      </text>
    </comment>
    <comment ref="I24" authorId="0" shapeId="0">
      <text>
        <t>Source: KRT detailed valuation report, 31 Mar 2026.
Ref: Detailed sec 27 (pdf p.482); Valuation Certificate sec 6; Value Summary sec 4 (pdf p.55-56)</t>
      </text>
    </comment>
    <comment ref="K24" authorId="0" shapeId="0">
      <text>
        <t>Source: KRT detailed valuation report, 31 Mar 2026.
Ref: Detailed sec 27 (pdf p.482); Valuation Certificate sec 6; Value Summary sec 4 (pdf p.55-56)</t>
      </text>
    </comment>
    <comment ref="M24" authorId="0" shapeId="0">
      <text>
        <t>Source: KRT detailed valuation report, 31 Mar 2026.
Ref: Detailed sec 27 (pdf p.482); Valuation Certificate sec 6; Value Summary sec 4 (pdf p.55-56)</t>
      </text>
    </comment>
    <comment ref="N24" authorId="0" shapeId="0">
      <text>
        <t>Source: KRT detailed valuation report, 31 Mar 2026.
Ref: Detailed sec 27 (pdf p.482); Valuation Certificate sec 6; Value Summary sec 4 (pdf p.55-56)</t>
      </text>
    </comment>
    <comment ref="O24" authorId="0" shapeId="0">
      <text>
        <t>Computed = Market rent / In-place rent - 1</t>
      </text>
    </comment>
    <comment ref="P24" authorId="0" shapeId="0">
      <text>
        <t>Source: KRT detailed valuation report, 31 Mar 2026.
Ref: Detailed sec 27 (pdf p.482); Valuation Certificate sec 6; Value Summary sec 4 (pdf p.55-56)</t>
      </text>
    </comment>
    <comment ref="R24" authorId="0" shapeId="0">
      <text>
        <t>Source: KRT detailed valuation report, 31 Mar 2026.
Ref: Detailed sec 27 (pdf p.482); Valuation Certificate sec 6; Value Summary sec 4 (pdf p.55-56)</t>
      </text>
    </comment>
    <comment ref="S24" authorId="0" shapeId="0">
      <text>
        <t>Source: KRT detailed valuation report, 31 Mar 2026.
Ref: Detailed sec 27 (pdf p.482); Valuation Certificate sec 6; Value Summary sec 4 (pdf p.55-56)</t>
      </text>
    </comment>
    <comment ref="T24" authorId="0" shapeId="0">
      <text>
        <t>Source: KRT detailed valuation report, 31 Mar 2026.
Ref: Detailed sec 27 (pdf p.482); Valuation Certificate sec 6; Value Summary sec 4 (pdf p.55-56)</t>
      </text>
    </comment>
    <comment ref="U24" authorId="0" shapeId="0">
      <text>
        <t>Computed = Market value / leasable sq ft</t>
      </text>
    </comment>
    <comment ref="V24" authorId="0" shapeId="0">
      <text>
        <t>Source: KRT detailed valuation report, 31 Mar 2026.
Ref: Detailed sec 27 (pdf p.482); Valuation Certificate sec 6; Value Summary sec 4 (pdf p.55-56)</t>
      </text>
    </comment>
    <comment ref="W24" authorId="0" shapeId="0">
      <text>
        <t>Source: KRT detailed valuation report, 31 Mar 2026.
Ref: Detailed sec 27 (pdf p.482); Valuation Certificate sec 6; Value Summary sec 4 (pdf p.55-56)</t>
      </text>
    </comment>
    <comment ref="X24" authorId="0" shapeId="0">
      <text>
        <t>Source: KRT detailed valuation report, 31 Mar 2026.
Ref: Detailed sec 27 (pdf p.482); Valuation Certificate sec 6; Value Summary sec 4 (pdf p.55-56)</t>
      </text>
    </comment>
    <comment ref="A25" authorId="0" shapeId="0">
      <text>
        <t>Source: KRT detailed valuation report, 31 Mar 2026.
Ref: Detailed sec 28 (pdf p.497); Valuation Certificate sec 6; Value Summary sec 4 (pdf p.55-56)</t>
      </text>
    </comment>
    <comment ref="B25" authorId="0" shapeId="0">
      <text>
        <t>Source: KRT detailed valuation report, 31 Mar 2026.
Ref: Detailed sec 28 (pdf p.497); Valuation Certificate sec 6; Value Summary sec 4 (pdf p.55-56)</t>
      </text>
    </comment>
    <comment ref="C25" authorId="0" shapeId="0">
      <text>
        <t>Source: KRT detailed valuation report, 31 Mar 2026.
Ref: Detailed sec 28 (pdf p.497); Valuation Certificate sec 6; Value Summary sec 4 (pdf p.55-56)</t>
      </text>
    </comment>
    <comment ref="D25" authorId="0" shapeId="0">
      <text>
        <t>Source: KRT detailed valuation report, 31 Mar 2026.
Ref: Detailed sec 28 (pdf p.497); Valuation Certificate sec 6; Value Summary sec 4 (pdf p.55-56)</t>
      </text>
    </comment>
    <comment ref="E25" authorId="0" shapeId="0">
      <text>
        <t>Source: KRT detailed valuation report, 31 Mar 2026.
Ref: Detailed sec 28 (pdf p.497); Valuation Certificate sec 6; Value Summary sec 4 (pdf p.55-56)</t>
      </text>
    </comment>
    <comment ref="F25" authorId="0" shapeId="0">
      <text>
        <t>Source: KRT detailed valuation report, 31 Mar 2026.
Ref: Detailed sec 28 (pdf p.497); Valuation Certificate sec 6; Value Summary sec 4 (pdf p.55-56)</t>
      </text>
    </comment>
    <comment ref="G25" authorId="0" shapeId="0">
      <text>
        <t>Source: KRT detailed valuation report, 31 Mar 2026.
Ref: Detailed sec 28 (pdf p.497); Valuation Certificate sec 6; Value Summary sec 4 (pdf p.55-56)</t>
      </text>
    </comment>
    <comment ref="H25" authorId="0" shapeId="0">
      <text>
        <t>Source: KRT detailed valuation report, 31 Mar 2026.
Ref: Detailed sec 28 (pdf p.497); Valuation Certificate sec 6; Value Summary sec 4 (pdf p.55-56)</t>
      </text>
    </comment>
    <comment ref="I25" authorId="0" shapeId="0">
      <text>
        <t>Source: KRT detailed valuation report, 31 Mar 2026.
Ref: Detailed sec 28 (pdf p.497); Valuation Certificate sec 6; Value Summary sec 4 (pdf p.55-56)</t>
      </text>
    </comment>
    <comment ref="M25" authorId="0" shapeId="0">
      <text>
        <t>Source: KRT detailed valuation report, 31 Mar 2026.
Ref: Detailed sec 28 (pdf p.497); Valuation Certificate sec 6; Value Summary sec 4 (pdf p.55-56)</t>
      </text>
    </comment>
    <comment ref="N25" authorId="0" shapeId="0">
      <text>
        <t>Source: KRT detailed valuation report, 31 Mar 2026.
Ref: Detailed sec 28 (pdf p.497); Valuation Certificate sec 6; Value Summary sec 4 (pdf p.55-56)</t>
      </text>
    </comment>
    <comment ref="O25" authorId="0" shapeId="0">
      <text>
        <t>Computed = Market rent / In-place rent - 1</t>
      </text>
    </comment>
    <comment ref="P25" authorId="0" shapeId="0">
      <text>
        <t>Source: KRT detailed valuation report, 31 Mar 2026.
Ref: Detailed sec 28 (pdf p.497); Valuation Certificate sec 6; Value Summary sec 4 (pdf p.55-56)</t>
      </text>
    </comment>
    <comment ref="R25" authorId="0" shapeId="0">
      <text>
        <t>Source: KRT detailed valuation report, 31 Mar 2026.
Ref: Detailed sec 28 (pdf p.497); Valuation Certificate sec 6; Value Summary sec 4 (pdf p.55-56)</t>
      </text>
    </comment>
    <comment ref="S25" authorId="0" shapeId="0">
      <text>
        <t>Source: KRT detailed valuation report, 31 Mar 2026.
Ref: Detailed sec 28 (pdf p.497); Valuation Certificate sec 6; Value Summary sec 4 (pdf p.55-56)</t>
      </text>
    </comment>
    <comment ref="T25" authorId="0" shapeId="0">
      <text>
        <t>Source: KRT detailed valuation report, 31 Mar 2026.
Ref: Detailed sec 28 (pdf p.497); Valuation Certificate sec 6; Value Summary sec 4 (pdf p.55-56)</t>
      </text>
    </comment>
    <comment ref="U25" authorId="0" shapeId="0">
      <text>
        <t>Computed = Market value / leasable sq ft</t>
      </text>
    </comment>
    <comment ref="V25" authorId="0" shapeId="0">
      <text>
        <t>Source: KRT detailed valuation report, 31 Mar 2026.
Ref: Detailed sec 28 (pdf p.497); Valuation Certificate sec 6; Value Summary sec 4 (pdf p.55-56)</t>
      </text>
    </comment>
    <comment ref="W25" authorId="0" shapeId="0">
      <text>
        <t>Source: KRT detailed valuation report, 31 Mar 2026.
Ref: Detailed sec 28 (pdf p.497); Valuation Certificate sec 6; Value Summary sec 4 (pdf p.55-56)</t>
      </text>
    </comment>
    <comment ref="X25" authorId="0" shapeId="0">
      <text>
        <t>Source: KRT detailed valuation report, 31 Mar 2026.
Ref: Detailed sec 28 (pdf p.497); Valuation Certificate sec 6; Value Summary sec 4 (pdf p.55-56)</t>
      </text>
    </comment>
    <comment ref="A26" authorId="0" shapeId="0">
      <text>
        <t>Source: KRT detailed valuation report, 31 Mar 2026.
Ref: Detailed sec 29 (pdf p.512); Valuation Certificate sec 6; Value Summary sec 4 (pdf p.55-56)</t>
      </text>
    </comment>
    <comment ref="B26" authorId="0" shapeId="0">
      <text>
        <t>Source: KRT detailed valuation report, 31 Mar 2026.
Ref: Detailed sec 29 (pdf p.512); Valuation Certificate sec 6; Value Summary sec 4 (pdf p.55-56)</t>
      </text>
    </comment>
    <comment ref="C26" authorId="0" shapeId="0">
      <text>
        <t>Source: KRT detailed valuation report, 31 Mar 2026.
Ref: Detailed sec 29 (pdf p.512); Valuation Certificate sec 6; Value Summary sec 4 (pdf p.55-56)</t>
      </text>
    </comment>
    <comment ref="D26" authorId="0" shapeId="0">
      <text>
        <t>Source: KRT detailed valuation report, 31 Mar 2026.
Ref: Detailed sec 29 (pdf p.512); Valuation Certificate sec 6; Value Summary sec 4 (pdf p.55-56)</t>
      </text>
    </comment>
    <comment ref="E26" authorId="0" shapeId="0">
      <text>
        <t>Source: KRT detailed valuation report, 31 Mar 2026.
Ref: Detailed sec 29 (pdf p.512); Valuation Certificate sec 6; Value Summary sec 4 (pdf p.55-56)</t>
      </text>
    </comment>
    <comment ref="F26" authorId="0" shapeId="0">
      <text>
        <t>Source: KRT detailed valuation report, 31 Mar 2026.
Ref: Detailed sec 29 (pdf p.512); Valuation Certificate sec 6; Value Summary sec 4 (pdf p.55-56)</t>
      </text>
    </comment>
    <comment ref="G26" authorId="0" shapeId="0">
      <text>
        <t>Source: KRT detailed valuation report, 31 Mar 2026.
Ref: Detailed sec 29 (pdf p.512); Valuation Certificate sec 6; Value Summary sec 4 (pdf p.55-56)</t>
      </text>
    </comment>
    <comment ref="H26" authorId="0" shapeId="0">
      <text>
        <t>Source: KRT detailed valuation report, 31 Mar 2026.
Ref: Detailed sec 29 (pdf p.512); Valuation Certificate sec 6; Value Summary sec 4 (pdf p.55-56)</t>
      </text>
    </comment>
    <comment ref="I26" authorId="0" shapeId="0">
      <text>
        <t>Source: KRT detailed valuation report, 31 Mar 2026.
Ref: Detailed sec 29 (pdf p.512); Valuation Certificate sec 6; Value Summary sec 4 (pdf p.55-56)</t>
      </text>
    </comment>
    <comment ref="K26" authorId="0" shapeId="0">
      <text>
        <t>Source: KRT detailed valuation report, 31 Mar 2026.
Ref: Detailed sec 29 (pdf p.512); Valuation Certificate sec 6; Value Summary sec 4 (pdf p.55-56)</t>
      </text>
    </comment>
    <comment ref="M26" authorId="0" shapeId="0">
      <text>
        <t>Source: KRT detailed valuation report, 31 Mar 2026.
Ref: Detailed sec 29 (pdf p.512); Valuation Certificate sec 6; Value Summary sec 4 (pdf p.55-56)</t>
      </text>
    </comment>
    <comment ref="N26" authorId="0" shapeId="0">
      <text>
        <t>Source: KRT detailed valuation report, 31 Mar 2026.
Ref: Detailed sec 29 (pdf p.512); Valuation Certificate sec 6; Value Summary sec 4 (pdf p.55-56)</t>
      </text>
    </comment>
    <comment ref="O26" authorId="0" shapeId="0">
      <text>
        <t>Computed = Market rent / In-place rent - 1</t>
      </text>
    </comment>
    <comment ref="P26" authorId="0" shapeId="0">
      <text>
        <t>Source: KRT detailed valuation report, 31 Mar 2026.
Ref: Detailed sec 29 (pdf p.512); Valuation Certificate sec 6; Value Summary sec 4 (pdf p.55-56)</t>
      </text>
    </comment>
    <comment ref="R26" authorId="0" shapeId="0">
      <text>
        <t>Source: KRT detailed valuation report, 31 Mar 2026.
Ref: Detailed sec 29 (pdf p.512); Valuation Certificate sec 6; Value Summary sec 4 (pdf p.55-56)</t>
      </text>
    </comment>
    <comment ref="S26" authorId="0" shapeId="0">
      <text>
        <t>Source: KRT detailed valuation report, 31 Mar 2026.
Ref: Detailed sec 29 (pdf p.512); Valuation Certificate sec 6; Value Summary sec 4 (pdf p.55-56)</t>
      </text>
    </comment>
    <comment ref="T26" authorId="0" shapeId="0">
      <text>
        <t>Source: KRT detailed valuation report, 31 Mar 2026.
Ref: Detailed sec 29 (pdf p.512); Valuation Certificate sec 6; Value Summary sec 4 (pdf p.55-56)</t>
      </text>
    </comment>
    <comment ref="U26" authorId="0" shapeId="0">
      <text>
        <t>Computed = Market value / leasable sq ft</t>
      </text>
    </comment>
    <comment ref="V26" authorId="0" shapeId="0">
      <text>
        <t>Source: KRT detailed valuation report, 31 Mar 2026.
Ref: Detailed sec 29 (pdf p.512); Valuation Certificate sec 6; Value Summary sec 4 (pdf p.55-56)</t>
      </text>
    </comment>
    <comment ref="W26" authorId="0" shapeId="0">
      <text>
        <t>Source: KRT detailed valuation report, 31 Mar 2026.
Ref: Detailed sec 29 (pdf p.512); Valuation Certificate sec 6; Value Summary sec 4 (pdf p.55-56)</t>
      </text>
    </comment>
    <comment ref="X26" authorId="0" shapeId="0">
      <text>
        <t>Source: KRT detailed valuation report, 31 Mar 2026.
Ref: Detailed sec 29 (pdf p.512); Valuation Certificate sec 6; Value Summary sec 4 (pdf p.55-56)</t>
      </text>
    </comment>
    <comment ref="A27" authorId="0" shapeId="0">
      <text>
        <t>Source: KRT detailed valuation report, 31 Mar 2026.
Ref: Detailed sec 30 (pdf p.526); Valuation Certificate sec 6; Value Summary sec 4 (pdf p.55-56)</t>
      </text>
    </comment>
    <comment ref="B27" authorId="0" shapeId="0">
      <text>
        <t>Source: KRT detailed valuation report, 31 Mar 2026.
Ref: Detailed sec 30 (pdf p.526); Valuation Certificate sec 6; Value Summary sec 4 (pdf p.55-56)</t>
      </text>
    </comment>
    <comment ref="C27" authorId="0" shapeId="0">
      <text>
        <t>Source: KRT detailed valuation report, 31 Mar 2026.
Ref: Detailed sec 30 (pdf p.526); Valuation Certificate sec 6; Value Summary sec 4 (pdf p.55-56)</t>
      </text>
    </comment>
    <comment ref="D27" authorId="0" shapeId="0">
      <text>
        <t>Source: KRT detailed valuation report, 31 Mar 2026.
Ref: Detailed sec 30 (pdf p.526); Valuation Certificate sec 6; Value Summary sec 4 (pdf p.55-56)</t>
      </text>
    </comment>
    <comment ref="E27" authorId="0" shapeId="0">
      <text>
        <t>Source: KRT detailed valuation report, 31 Mar 2026.
Ref: Detailed sec 30 (pdf p.526); Valuation Certificate sec 6; Value Summary sec 4 (pdf p.55-56)</t>
      </text>
    </comment>
    <comment ref="F27" authorId="0" shapeId="0">
      <text>
        <t>Source: KRT detailed valuation report, 31 Mar 2026.
Ref: Detailed sec 30 (pdf p.526); Valuation Certificate sec 6; Value Summary sec 4 (pdf p.55-56)</t>
      </text>
    </comment>
    <comment ref="G27" authorId="0" shapeId="0">
      <text>
        <t>Source: KRT detailed valuation report, 31 Mar 2026.
Ref: Detailed sec 30 (pdf p.526); Valuation Certificate sec 6; Value Summary sec 4 (pdf p.55-56)</t>
      </text>
    </comment>
    <comment ref="H27" authorId="0" shapeId="0">
      <text>
        <t>Source: KRT detailed valuation report, 31 Mar 2026.
Ref: Detailed sec 30 (pdf p.526); Valuation Certificate sec 6; Value Summary sec 4 (pdf p.55-56)</t>
      </text>
    </comment>
    <comment ref="I27" authorId="0" shapeId="0">
      <text>
        <t>Source: KRT detailed valuation report, 31 Mar 2026.
Ref: Detailed sec 30 (pdf p.526); Valuation Certificate sec 6; Value Summary sec 4 (pdf p.55-56)</t>
      </text>
    </comment>
    <comment ref="K27" authorId="0" shapeId="0">
      <text>
        <t>Source: KRT detailed valuation report, 31 Mar 2026.
Ref: Detailed sec 30 (pdf p.526); Valuation Certificate sec 6; Value Summary sec 4 (pdf p.55-56)</t>
      </text>
    </comment>
    <comment ref="M27" authorId="0" shapeId="0">
      <text>
        <t>Source: KRT detailed valuation report, 31 Mar 2026.
Ref: Detailed sec 30 (pdf p.526); Valuation Certificate sec 6; Value Summary sec 4 (pdf p.55-56)</t>
      </text>
    </comment>
    <comment ref="N27" authorId="0" shapeId="0">
      <text>
        <t>Source: KRT detailed valuation report, 31 Mar 2026.
Ref: Detailed sec 30 (pdf p.526); Valuation Certificate sec 6; Value Summary sec 4 (pdf p.55-56)</t>
      </text>
    </comment>
    <comment ref="O27" authorId="0" shapeId="0">
      <text>
        <t>Computed = Market rent / In-place rent - 1</t>
      </text>
    </comment>
    <comment ref="P27" authorId="0" shapeId="0">
      <text>
        <t>Source: KRT detailed valuation report, 31 Mar 2026.
Ref: Detailed sec 30 (pdf p.526); Valuation Certificate sec 6; Value Summary sec 4 (pdf p.55-56)</t>
      </text>
    </comment>
    <comment ref="R27" authorId="0" shapeId="0">
      <text>
        <t>Source: KRT detailed valuation report, 31 Mar 2026.
Ref: Detailed sec 30 (pdf p.526); Valuation Certificate sec 6; Value Summary sec 4 (pdf p.55-56)</t>
      </text>
    </comment>
    <comment ref="S27" authorId="0" shapeId="0">
      <text>
        <t>Source: KRT detailed valuation report, 31 Mar 2026.
Ref: Detailed sec 30 (pdf p.526); Valuation Certificate sec 6; Value Summary sec 4 (pdf p.55-56)</t>
      </text>
    </comment>
    <comment ref="T27" authorId="0" shapeId="0">
      <text>
        <t>Source: KRT detailed valuation report, 31 Mar 2026.
Ref: Detailed sec 30 (pdf p.526); Valuation Certificate sec 6; Value Summary sec 4 (pdf p.55-56)</t>
      </text>
    </comment>
    <comment ref="U27" authorId="0" shapeId="0">
      <text>
        <t>Computed = Market value / leasable sq ft</t>
      </text>
    </comment>
    <comment ref="V27" authorId="0" shapeId="0">
      <text>
        <t>Source: KRT detailed valuation report, 31 Mar 2026.
Ref: Detailed sec 30 (pdf p.526); Valuation Certificate sec 6; Value Summary sec 4 (pdf p.55-56)</t>
      </text>
    </comment>
    <comment ref="W27" authorId="0" shapeId="0">
      <text>
        <t>Source: KRT detailed valuation report, 31 Mar 2026.
Ref: Detailed sec 30 (pdf p.526); Valuation Certificate sec 6; Value Summary sec 4 (pdf p.55-56)</t>
      </text>
    </comment>
    <comment ref="X27" authorId="0" shapeId="0">
      <text>
        <t>Source: KRT detailed valuation report, 31 Mar 2026.
Ref: Detailed sec 30 (pdf p.526); Valuation Certificate sec 6; Value Summary sec 4 (pdf p.55-56)</t>
      </text>
    </comment>
    <comment ref="A28" authorId="0" shapeId="0">
      <text>
        <t>Source: KRT detailed valuation report, 31 Mar 2026.
Ref: Detailed sec 31 (pdf p.541); Valuation Certificate sec 6; Value Summary sec 4 (pdf p.55-56)</t>
      </text>
    </comment>
    <comment ref="B28" authorId="0" shapeId="0">
      <text>
        <t>Source: KRT detailed valuation report, 31 Mar 2026.
Ref: Detailed sec 31 (pdf p.541); Valuation Certificate sec 6; Value Summary sec 4 (pdf p.55-56)</t>
      </text>
    </comment>
    <comment ref="C28" authorId="0" shapeId="0">
      <text>
        <t>Source: KRT detailed valuation report, 31 Mar 2026.
Ref: Detailed sec 31 (pdf p.541); Valuation Certificate sec 6; Value Summary sec 4 (pdf p.55-56)</t>
      </text>
    </comment>
    <comment ref="D28" authorId="0" shapeId="0">
      <text>
        <t>Source: KRT detailed valuation report, 31 Mar 2026.
Ref: Detailed sec 31 (pdf p.541); Valuation Certificate sec 6; Value Summary sec 4 (pdf p.55-56)</t>
      </text>
    </comment>
    <comment ref="E28" authorId="0" shapeId="0">
      <text>
        <t>Source: KRT detailed valuation report, 31 Mar 2026.
Ref: Detailed sec 31 (pdf p.541); Valuation Certificate sec 6; Value Summary sec 4 (pdf p.55-56)</t>
      </text>
    </comment>
    <comment ref="F28" authorId="0" shapeId="0">
      <text>
        <t>Source: KRT detailed valuation report, 31 Mar 2026.
Ref: Detailed sec 31 (pdf p.541); Valuation Certificate sec 6; Value Summary sec 4 (pdf p.55-56)</t>
      </text>
    </comment>
    <comment ref="G28" authorId="0" shapeId="0">
      <text>
        <t>Source: KRT detailed valuation report, 31 Mar 2026.
Ref: Detailed sec 31 (pdf p.541); Valuation Certificate sec 6; Value Summary sec 4 (pdf p.55-56)</t>
      </text>
    </comment>
    <comment ref="H28" authorId="0" shapeId="0">
      <text>
        <t>Source: KRT detailed valuation report, 31 Mar 2026.
Ref: Detailed sec 31 (pdf p.541); Valuation Certificate sec 6; Value Summary sec 4 (pdf p.55-56)</t>
      </text>
    </comment>
    <comment ref="I28" authorId="0" shapeId="0">
      <text>
        <t>Source: KRT detailed valuation report, 31 Mar 2026.
Ref: Detailed sec 31 (pdf p.541); Valuation Certificate sec 6; Value Summary sec 4 (pdf p.55-56)</t>
      </text>
    </comment>
    <comment ref="M28" authorId="0" shapeId="0">
      <text>
        <t>Source: KRT detailed valuation report, 31 Mar 2026.
Ref: Detailed sec 31 (pdf p.541); Valuation Certificate sec 6; Value Summary sec 4 (pdf p.55-56)</t>
      </text>
    </comment>
    <comment ref="O28" authorId="0" shapeId="0">
      <text>
        <t>Computed = Market rent / In-place rent - 1</t>
      </text>
    </comment>
    <comment ref="R28" authorId="0" shapeId="0">
      <text>
        <t>Source: KRT detailed valuation report, 31 Mar 2026.
Ref: Detailed sec 31 (pdf p.541); Valuation Certificate sec 6; Value Summary sec 4 (pdf p.55-56)</t>
      </text>
    </comment>
    <comment ref="S28" authorId="0" shapeId="0">
      <text>
        <t>Source: KRT detailed valuation report, 31 Mar 2026.
Ref: Detailed sec 31 (pdf p.541); Valuation Certificate sec 6; Value Summary sec 4 (pdf p.55-56)</t>
      </text>
    </comment>
    <comment ref="T28" authorId="0" shapeId="0">
      <text>
        <t>Source: KRT detailed valuation report, 31 Mar 2026.
Ref: Detailed sec 31 (pdf p.541); Valuation Certificate sec 6; Value Summary sec 4 (pdf p.55-56)</t>
      </text>
    </comment>
    <comment ref="U28" authorId="0" shapeId="0">
      <text>
        <t>Computed = Market value / leasable sq ft</t>
      </text>
    </comment>
    <comment ref="V28" authorId="0" shapeId="0">
      <text>
        <t>Source: KRT detailed valuation report, 31 Mar 2026.
Ref: Detailed sec 31 (pdf p.541); Valuation Certificate sec 6; Value Summary sec 4 (pdf p.55-56)</t>
      </text>
    </comment>
    <comment ref="W28" authorId="0" shapeId="0">
      <text>
        <t>Source: KRT detailed valuation report, 31 Mar 2026.
Ref: Detailed sec 31 (pdf p.541); Valuation Certificate sec 6; Value Summary sec 4 (pdf p.55-56)</t>
      </text>
    </comment>
    <comment ref="X28" authorId="0" shapeId="0">
      <text>
        <t>Source: KRT detailed valuation report, 31 Mar 2026.
Ref: Detailed sec 31 (pdf p.541); Valuation Certificate sec 6; Value Summary sec 4 (pdf p.55-56)</t>
      </text>
    </comment>
    <comment ref="A29" authorId="0" shapeId="0">
      <text>
        <t>Source: KRT detailed valuation report, 31 Mar 2026.
Ref: Detailed sec 32 (pdf p.554); Valuation Certificate sec 6; Value Summary sec 4 (pdf p.55-56)</t>
      </text>
    </comment>
    <comment ref="B29" authorId="0" shapeId="0">
      <text>
        <t>Source: KRT detailed valuation report, 31 Mar 2026.
Ref: Detailed sec 32 (pdf p.554); Valuation Certificate sec 6; Value Summary sec 4 (pdf p.55-56)</t>
      </text>
    </comment>
    <comment ref="C29" authorId="0" shapeId="0">
      <text>
        <t>Source: KRT detailed valuation report, 31 Mar 2026.
Ref: Detailed sec 32 (pdf p.554); Valuation Certificate sec 6; Value Summary sec 4 (pdf p.55-56)</t>
      </text>
    </comment>
    <comment ref="D29" authorId="0" shapeId="0">
      <text>
        <t>Source: KRT detailed valuation report, 31 Mar 2026.
Ref: Detailed sec 32 (pdf p.554); Valuation Certificate sec 6; Value Summary sec 4 (pdf p.55-56)</t>
      </text>
    </comment>
    <comment ref="E29" authorId="0" shapeId="0">
      <text>
        <t>Source: KRT detailed valuation report, 31 Mar 2026.
Ref: Detailed sec 32 (pdf p.554); Valuation Certificate sec 6; Value Summary sec 4 (pdf p.55-56)</t>
      </text>
    </comment>
    <comment ref="F29" authorId="0" shapeId="0">
      <text>
        <t>Source: KRT detailed valuation report, 31 Mar 2026.
Ref: Detailed sec 32 (pdf p.554); Valuation Certificate sec 6; Value Summary sec 4 (pdf p.55-56)</t>
      </text>
    </comment>
    <comment ref="G29" authorId="0" shapeId="0">
      <text>
        <t>Source: KRT detailed valuation report, 31 Mar 2026.
Ref: Detailed sec 32 (pdf p.554); Valuation Certificate sec 6; Value Summary sec 4 (pdf p.55-56)</t>
      </text>
    </comment>
    <comment ref="H29" authorId="0" shapeId="0">
      <text>
        <t>Source: KRT detailed valuation report, 31 Mar 2026.
Ref: Detailed sec 32 (pdf p.554); Valuation Certificate sec 6; Value Summary sec 4 (pdf p.55-56)</t>
      </text>
    </comment>
    <comment ref="I29" authorId="0" shapeId="0">
      <text>
        <t>Source: KRT detailed valuation report, 31 Mar 2026.
Ref: Detailed sec 32 (pdf p.554); Valuation Certificate sec 6; Value Summary sec 4 (pdf p.55-56)</t>
      </text>
    </comment>
    <comment ref="M29" authorId="0" shapeId="0">
      <text>
        <t>Source: KRT detailed valuation report, 31 Mar 2026.
Ref: Detailed sec 32 (pdf p.554); Valuation Certificate sec 6; Value Summary sec 4 (pdf p.55-56)</t>
      </text>
    </comment>
    <comment ref="O29" authorId="0" shapeId="0">
      <text>
        <t>Computed = Market rent / In-place rent - 1</t>
      </text>
    </comment>
    <comment ref="R29" authorId="0" shapeId="0">
      <text>
        <t>Source: KRT detailed valuation report, 31 Mar 2026.
Ref: Detailed sec 32 (pdf p.554); Valuation Certificate sec 6; Value Summary sec 4 (pdf p.55-56)</t>
      </text>
    </comment>
    <comment ref="S29" authorId="0" shapeId="0">
      <text>
        <t>Source: KRT detailed valuation report, 31 Mar 2026.
Ref: Detailed sec 32 (pdf p.554); Valuation Certificate sec 6; Value Summary sec 4 (pdf p.55-56)</t>
      </text>
    </comment>
    <comment ref="T29" authorId="0" shapeId="0">
      <text>
        <t>Source: KRT detailed valuation report, 31 Mar 2026.
Ref: Detailed sec 32 (pdf p.554); Valuation Certificate sec 6; Value Summary sec 4 (pdf p.55-56)</t>
      </text>
    </comment>
    <comment ref="U29" authorId="0" shapeId="0">
      <text>
        <t>Computed = Market value / leasable sq ft</t>
      </text>
    </comment>
    <comment ref="V29" authorId="0" shapeId="0">
      <text>
        <t>Source: KRT detailed valuation report, 31 Mar 2026.
Ref: Detailed sec 32 (pdf p.554); Valuation Certificate sec 6; Value Summary sec 4 (pdf p.55-56)</t>
      </text>
    </comment>
    <comment ref="W29" authorId="0" shapeId="0">
      <text>
        <t>Source: KRT detailed valuation report, 31 Mar 2026.
Ref: Detailed sec 32 (pdf p.554); Valuation Certificate sec 6; Value Summary sec 4 (pdf p.55-56)</t>
      </text>
    </comment>
    <comment ref="X29" authorId="0" shapeId="0">
      <text>
        <t>Source: KRT detailed valuation report, 31 Mar 2026.
Ref: Detailed sec 32 (pdf p.554); Valuation Certificate sec 6; Value Summary sec 4 (pdf p.55-56)</t>
      </text>
    </comment>
    <comment ref="A30" authorId="0" shapeId="0">
      <text>
        <t>Source: KRT detailed valuation report, 31 Mar 2026.
Ref: Detailed sec 33 (pdf p.567); Valuation Certificate sec 6; Value Summary sec 4 (pdf p.55-56)</t>
      </text>
    </comment>
    <comment ref="B30" authorId="0" shapeId="0">
      <text>
        <t>Source: KRT detailed valuation report, 31 Mar 2026.
Ref: Detailed sec 33 (pdf p.567); Valuation Certificate sec 6; Value Summary sec 4 (pdf p.55-56)</t>
      </text>
    </comment>
    <comment ref="C30" authorId="0" shapeId="0">
      <text>
        <t>Source: KRT detailed valuation report, 31 Mar 2026.
Ref: Detailed sec 33 (pdf p.567); Valuation Certificate sec 6; Value Summary sec 4 (pdf p.55-56)</t>
      </text>
    </comment>
    <comment ref="D30" authorId="0" shapeId="0">
      <text>
        <t>Source: KRT detailed valuation report, 31 Mar 2026.
Ref: Detailed sec 33 (pdf p.567); Valuation Certificate sec 6; Value Summary sec 4 (pdf p.55-56)</t>
      </text>
    </comment>
    <comment ref="E30" authorId="0" shapeId="0">
      <text>
        <t>Source: KRT detailed valuation report, 31 Mar 2026.
Ref: Detailed sec 33 (pdf p.567); Valuation Certificate sec 6; Value Summary sec 4 (pdf p.55-56)</t>
      </text>
    </comment>
    <comment ref="F30" authorId="0" shapeId="0">
      <text>
        <t>Source: KRT detailed valuation report, 31 Mar 2026.
Ref: Detailed sec 33 (pdf p.567); Valuation Certificate sec 6; Value Summary sec 4 (pdf p.55-56)</t>
      </text>
    </comment>
    <comment ref="G30" authorId="0" shapeId="0">
      <text>
        <t>Source: KRT detailed valuation report, 31 Mar 2026.
Ref: Detailed sec 33 (pdf p.567); Valuation Certificate sec 6; Value Summary sec 4 (pdf p.55-56)</t>
      </text>
    </comment>
    <comment ref="H30" authorId="0" shapeId="0">
      <text>
        <t>Source: KRT detailed valuation report, 31 Mar 2026.
Ref: Detailed sec 33 (pdf p.567); Valuation Certificate sec 6; Value Summary sec 4 (pdf p.55-56)</t>
      </text>
    </comment>
    <comment ref="I30" authorId="0" shapeId="0">
      <text>
        <t>Source: KRT detailed valuation report, 31 Mar 2026.
Ref: Detailed sec 33 (pdf p.567); Valuation Certificate sec 6; Value Summary sec 4 (pdf p.55-56)</t>
      </text>
    </comment>
    <comment ref="K30" authorId="0" shapeId="0">
      <text>
        <t>Source: KRT detailed valuation report, 31 Mar 2026.
Ref: Detailed sec 33 (pdf p.567); Valuation Certificate sec 6; Value Summary sec 4 (pdf p.55-56)</t>
      </text>
    </comment>
    <comment ref="M30" authorId="0" shapeId="0">
      <text>
        <t>Source: KRT detailed valuation report, 31 Mar 2026.
Ref: Detailed sec 33 (pdf p.567); Valuation Certificate sec 6; Value Summary sec 4 (pdf p.55-56)</t>
      </text>
    </comment>
    <comment ref="N30" authorId="0" shapeId="0">
      <text>
        <t>Source: KRT detailed valuation report, 31 Mar 2026.
Ref: Detailed sec 33 (pdf p.567); Valuation Certificate sec 6; Value Summary sec 4 (pdf p.55-56)</t>
      </text>
    </comment>
    <comment ref="O30" authorId="0" shapeId="0">
      <text>
        <t>Computed = Market rent / In-place rent - 1</t>
      </text>
    </comment>
    <comment ref="P30" authorId="0" shapeId="0">
      <text>
        <t>Source: KRT detailed valuation report, 31 Mar 2026.
Ref: Detailed sec 33 (pdf p.567); Valuation Certificate sec 6; Value Summary sec 4 (pdf p.55-56)</t>
      </text>
    </comment>
    <comment ref="R30" authorId="0" shapeId="0">
      <text>
        <t>Source: KRT detailed valuation report, 31 Mar 2026.
Ref: Detailed sec 33 (pdf p.567); Valuation Certificate sec 6; Value Summary sec 4 (pdf p.55-56)</t>
      </text>
    </comment>
    <comment ref="S30" authorId="0" shapeId="0">
      <text>
        <t>Source: KRT detailed valuation report, 31 Mar 2026.
Ref: Detailed sec 33 (pdf p.567); Valuation Certificate sec 6; Value Summary sec 4 (pdf p.55-56)</t>
      </text>
    </comment>
    <comment ref="T30" authorId="0" shapeId="0">
      <text>
        <t>Source: KRT detailed valuation report, 31 Mar 2026.
Ref: Detailed sec 33 (pdf p.567); Valuation Certificate sec 6; Value Summary sec 4 (pdf p.55-56)</t>
      </text>
    </comment>
    <comment ref="U30" authorId="0" shapeId="0">
      <text>
        <t>Computed = Market value / leasable sq ft</t>
      </text>
    </comment>
    <comment ref="V30" authorId="0" shapeId="0">
      <text>
        <t>Source: KRT detailed valuation report, 31 Mar 2026.
Ref: Detailed sec 33 (pdf p.567); Valuation Certificate sec 6; Value Summary sec 4 (pdf p.55-56)</t>
      </text>
    </comment>
    <comment ref="W30" authorId="0" shapeId="0">
      <text>
        <t>Source: KRT detailed valuation report, 31 Mar 2026.
Ref: Detailed sec 33 (pdf p.567); Valuation Certificate sec 6; Value Summary sec 4 (pdf p.55-56)</t>
      </text>
    </comment>
    <comment ref="X30" authorId="0" shapeId="0">
      <text>
        <t>Source: KRT detailed valuation report, 31 Mar 2026.
Ref: Detailed sec 33 (pdf p.567); Valuation Certificate sec 6; Value Summary sec 4 (pdf p.55-56)</t>
      </text>
    </comment>
    <comment ref="A31" authorId="0" shapeId="0">
      <text>
        <t>Source: KRT detailed valuation report, 31 Mar 2026.
Ref: Detailed sec 34 (pdf p.582); Valuation Certificate sec 6; Value Summary sec 4 (pdf p.55-56)</t>
      </text>
    </comment>
    <comment ref="B31" authorId="0" shapeId="0">
      <text>
        <t>Source: KRT detailed valuation report, 31 Mar 2026.
Ref: Detailed sec 34 (pdf p.582); Valuation Certificate sec 6; Value Summary sec 4 (pdf p.55-56)</t>
      </text>
    </comment>
    <comment ref="C31" authorId="0" shapeId="0">
      <text>
        <t>Source: KRT detailed valuation report, 31 Mar 2026.
Ref: Detailed sec 34 (pdf p.582); Valuation Certificate sec 6; Value Summary sec 4 (pdf p.55-56)</t>
      </text>
    </comment>
    <comment ref="D31" authorId="0" shapeId="0">
      <text>
        <t>Source: KRT detailed valuation report, 31 Mar 2026.
Ref: Detailed sec 34 (pdf p.582); Valuation Certificate sec 6; Value Summary sec 4 (pdf p.55-56)</t>
      </text>
    </comment>
    <comment ref="E31" authorId="0" shapeId="0">
      <text>
        <t>Source: KRT detailed valuation report, 31 Mar 2026.
Ref: Detailed sec 34 (pdf p.582); Valuation Certificate sec 6; Value Summary sec 4 (pdf p.55-56)</t>
      </text>
    </comment>
    <comment ref="F31" authorId="0" shapeId="0">
      <text>
        <t>Source: KRT detailed valuation report, 31 Mar 2026.
Ref: Detailed sec 34 (pdf p.582); Valuation Certificate sec 6; Value Summary sec 4 (pdf p.55-56)</t>
      </text>
    </comment>
    <comment ref="G31" authorId="0" shapeId="0">
      <text>
        <t>Source: KRT detailed valuation report, 31 Mar 2026.
Ref: Detailed sec 34 (pdf p.582); Valuation Certificate sec 6; Value Summary sec 4 (pdf p.55-56)</t>
      </text>
    </comment>
    <comment ref="H31" authorId="0" shapeId="0">
      <text>
        <t>Source: KRT detailed valuation report, 31 Mar 2026.
Ref: Detailed sec 34 (pdf p.582); Valuation Certificate sec 6; Value Summary sec 4 (pdf p.55-56)</t>
      </text>
    </comment>
    <comment ref="I31" authorId="0" shapeId="0">
      <text>
        <t>Source: KRT detailed valuation report, 31 Mar 2026.
Ref: Detailed sec 34 (pdf p.582); Valuation Certificate sec 6; Value Summary sec 4 (pdf p.55-56)</t>
      </text>
    </comment>
    <comment ref="K31" authorId="0" shapeId="0">
      <text>
        <t>Source: KRT detailed valuation report, 31 Mar 2026.
Ref: Detailed sec 34 (pdf p.582); Valuation Certificate sec 6; Value Summary sec 4 (pdf p.55-56)</t>
      </text>
    </comment>
    <comment ref="M31" authorId="0" shapeId="0">
      <text>
        <t>Source: KRT detailed valuation report, 31 Mar 2026.
Ref: Detailed sec 34 (pdf p.582); Valuation Certificate sec 6; Value Summary sec 4 (pdf p.55-56)</t>
      </text>
    </comment>
    <comment ref="N31" authorId="0" shapeId="0">
      <text>
        <t>Source: KRT detailed valuation report, 31 Mar 2026.
Ref: Detailed sec 34 (pdf p.582); Valuation Certificate sec 6; Value Summary sec 4 (pdf p.55-56)</t>
      </text>
    </comment>
    <comment ref="O31" authorId="0" shapeId="0">
      <text>
        <t>Computed = Market rent / In-place rent - 1</t>
      </text>
    </comment>
    <comment ref="P31" authorId="0" shapeId="0">
      <text>
        <t>Source: KRT detailed valuation report, 31 Mar 2026.
Ref: Detailed sec 34 (pdf p.582); Valuation Certificate sec 6; Value Summary sec 4 (pdf p.55-56)</t>
      </text>
    </comment>
    <comment ref="R31" authorId="0" shapeId="0">
      <text>
        <t>Source: KRT detailed valuation report, 31 Mar 2026.
Ref: Detailed sec 34 (pdf p.582); Valuation Certificate sec 6; Value Summary sec 4 (pdf p.55-56)</t>
      </text>
    </comment>
    <comment ref="S31" authorId="0" shapeId="0">
      <text>
        <t>Source: KRT detailed valuation report, 31 Mar 2026.
Ref: Detailed sec 34 (pdf p.582); Valuation Certificate sec 6; Value Summary sec 4 (pdf p.55-56)</t>
      </text>
    </comment>
    <comment ref="T31" authorId="0" shapeId="0">
      <text>
        <t>Source: KRT detailed valuation report, 31 Mar 2026.
Ref: Detailed sec 34 (pdf p.582); Valuation Certificate sec 6; Value Summary sec 4 (pdf p.55-56)</t>
      </text>
    </comment>
    <comment ref="U31" authorId="0" shapeId="0">
      <text>
        <t>Computed = Market value / leasable sq ft</t>
      </text>
    </comment>
    <comment ref="V31" authorId="0" shapeId="0">
      <text>
        <t>Source: KRT detailed valuation report, 31 Mar 2026.
Ref: Detailed sec 34 (pdf p.582); Valuation Certificate sec 6; Value Summary sec 4 (pdf p.55-56)</t>
      </text>
    </comment>
    <comment ref="W31" authorId="0" shapeId="0">
      <text>
        <t>Source: KRT detailed valuation report, 31 Mar 2026.
Ref: Detailed sec 34 (pdf p.582); Valuation Certificate sec 6; Value Summary sec 4 (pdf p.55-56)</t>
      </text>
    </comment>
    <comment ref="X31" authorId="0" shapeId="0">
      <text>
        <t>Source: KRT detailed valuation report, 31 Mar 2026.
Ref: Detailed sec 34 (pdf p.582); Valuation Certificate sec 6; Value Summary sec 4 (pdf p.55-56)</t>
      </text>
    </comment>
    <comment ref="A32" authorId="0" shapeId="0">
      <text>
        <t>Source: KRT detailed valuation report, 31 Mar 2026.
Ref: Detailed sec 35 (pdf p.597); Valuation Certificate sec 6; Value Summary sec 4 (pdf p.55-56)</t>
      </text>
    </comment>
    <comment ref="B32" authorId="0" shapeId="0">
      <text>
        <t>Source: KRT detailed valuation report, 31 Mar 2026.
Ref: Detailed sec 35 (pdf p.597); Valuation Certificate sec 6; Value Summary sec 4 (pdf p.55-56)</t>
      </text>
    </comment>
    <comment ref="C32" authorId="0" shapeId="0">
      <text>
        <t>Source: KRT detailed valuation report, 31 Mar 2026.
Ref: Detailed sec 35 (pdf p.597); Valuation Certificate sec 6; Value Summary sec 4 (pdf p.55-56)</t>
      </text>
    </comment>
    <comment ref="D32" authorId="0" shapeId="0">
      <text>
        <t>Source: KRT detailed valuation report, 31 Mar 2026.
Ref: Detailed sec 35 (pdf p.597); Valuation Certificate sec 6; Value Summary sec 4 (pdf p.55-56)</t>
      </text>
    </comment>
    <comment ref="E32" authorId="0" shapeId="0">
      <text>
        <t>Source: KRT detailed valuation report, 31 Mar 2026.
Ref: Detailed sec 35 (pdf p.597); Valuation Certificate sec 6; Value Summary sec 4 (pdf p.55-56)</t>
      </text>
    </comment>
    <comment ref="F32" authorId="0" shapeId="0">
      <text>
        <t>Source: KRT detailed valuation report, 31 Mar 2026.
Ref: Detailed sec 35 (pdf p.597); Valuation Certificate sec 6; Value Summary sec 4 (pdf p.55-56)</t>
      </text>
    </comment>
    <comment ref="G32" authorId="0" shapeId="0">
      <text>
        <t>Source: KRT detailed valuation report, 31 Mar 2026.
Ref: Detailed sec 35 (pdf p.597); Valuation Certificate sec 6; Value Summary sec 4 (pdf p.55-56)</t>
      </text>
    </comment>
    <comment ref="H32" authorId="0" shapeId="0">
      <text>
        <t>Source: KRT detailed valuation report, 31 Mar 2026.
Ref: Detailed sec 35 (pdf p.597); Valuation Certificate sec 6; Value Summary sec 4 (pdf p.55-56)</t>
      </text>
    </comment>
    <comment ref="I32" authorId="0" shapeId="0">
      <text>
        <t>Source: KRT detailed valuation report, 31 Mar 2026.
Ref: Detailed sec 35 (pdf p.597); Valuation Certificate sec 6; Value Summary sec 4 (pdf p.55-56)</t>
      </text>
    </comment>
    <comment ref="K32" authorId="0" shapeId="0">
      <text>
        <t>Source: KRT detailed valuation report, 31 Mar 2026.
Ref: Detailed sec 35 (pdf p.597); Valuation Certificate sec 6; Value Summary sec 4 (pdf p.55-56)</t>
      </text>
    </comment>
    <comment ref="M32" authorId="0" shapeId="0">
      <text>
        <t>Source: KRT detailed valuation report, 31 Mar 2026.
Ref: Detailed sec 35 (pdf p.597); Valuation Certificate sec 6; Value Summary sec 4 (pdf p.55-56)</t>
      </text>
    </comment>
    <comment ref="N32" authorId="0" shapeId="0">
      <text>
        <t>Source: KRT detailed valuation report, 31 Mar 2026.
Ref: Detailed sec 35 (pdf p.597); Valuation Certificate sec 6; Value Summary sec 4 (pdf p.55-56)</t>
      </text>
    </comment>
    <comment ref="O32" authorId="0" shapeId="0">
      <text>
        <t>Computed = Market rent / In-place rent - 1</t>
      </text>
    </comment>
    <comment ref="P32" authorId="0" shapeId="0">
      <text>
        <t>Source: KRT detailed valuation report, 31 Mar 2026.
Ref: Detailed sec 35 (pdf p.597); Valuation Certificate sec 6; Value Summary sec 4 (pdf p.55-56)</t>
      </text>
    </comment>
    <comment ref="R32" authorId="0" shapeId="0">
      <text>
        <t>Source: KRT detailed valuation report, 31 Mar 2026.
Ref: Detailed sec 35 (pdf p.597); Valuation Certificate sec 6; Value Summary sec 4 (pdf p.55-56)</t>
      </text>
    </comment>
    <comment ref="S32" authorId="0" shapeId="0">
      <text>
        <t>Source: KRT detailed valuation report, 31 Mar 2026.
Ref: Detailed sec 35 (pdf p.597); Valuation Certificate sec 6; Value Summary sec 4 (pdf p.55-56)</t>
      </text>
    </comment>
    <comment ref="T32" authorId="0" shapeId="0">
      <text>
        <t>Source: KRT detailed valuation report, 31 Mar 2026.
Ref: Detailed sec 35 (pdf p.597); Valuation Certificate sec 6; Value Summary sec 4 (pdf p.55-56)</t>
      </text>
    </comment>
    <comment ref="U32" authorId="0" shapeId="0">
      <text>
        <t>Computed = Market value / leasable sq ft</t>
      </text>
    </comment>
    <comment ref="V32" authorId="0" shapeId="0">
      <text>
        <t>Source: KRT detailed valuation report, 31 Mar 2026.
Ref: Detailed sec 35 (pdf p.597); Valuation Certificate sec 6; Value Summary sec 4 (pdf p.55-56)</t>
      </text>
    </comment>
    <comment ref="W32" authorId="0" shapeId="0">
      <text>
        <t>Source: KRT detailed valuation report, 31 Mar 2026.
Ref: Detailed sec 35 (pdf p.597); Valuation Certificate sec 6; Value Summary sec 4 (pdf p.55-56)</t>
      </text>
    </comment>
    <comment ref="X32" authorId="0" shapeId="0">
      <text>
        <t>Source: KRT detailed valuation report, 31 Mar 2026.
Ref: Detailed sec 35 (pdf p.597); Valuation Certificate sec 6; Value Summary sec 4 (pdf p.55-56)</t>
      </text>
    </comment>
    <comment ref="A33" authorId="0" shapeId="0">
      <text>
        <t>Source: KRT detailed valuation report, 31 Mar 2026.
Ref: Detailed sec 36 (pdf p.612); Valuation Certificate sec 6; Value Summary sec 4 (pdf p.55-56)</t>
      </text>
    </comment>
    <comment ref="B33" authorId="0" shapeId="0">
      <text>
        <t>Source: KRT detailed valuation report, 31 Mar 2026.
Ref: Detailed sec 36 (pdf p.612); Valuation Certificate sec 6; Value Summary sec 4 (pdf p.55-56)</t>
      </text>
    </comment>
    <comment ref="C33" authorId="0" shapeId="0">
      <text>
        <t>Source: KRT detailed valuation report, 31 Mar 2026.
Ref: Detailed sec 36 (pdf p.612); Valuation Certificate sec 6; Value Summary sec 4 (pdf p.55-56)</t>
      </text>
    </comment>
    <comment ref="D33" authorId="0" shapeId="0">
      <text>
        <t>Source: KRT detailed valuation report, 31 Mar 2026.
Ref: Detailed sec 36 (pdf p.612); Valuation Certificate sec 6; Value Summary sec 4 (pdf p.55-56)</t>
      </text>
    </comment>
    <comment ref="E33" authorId="0" shapeId="0">
      <text>
        <t>Source: KRT detailed valuation report, 31 Mar 2026.
Ref: Detailed sec 36 (pdf p.612); Valuation Certificate sec 6; Value Summary sec 4 (pdf p.55-56)</t>
      </text>
    </comment>
    <comment ref="G33" authorId="0" shapeId="0">
      <text>
        <t>Source: KRT detailed valuation report, 31 Mar 2026.
Ref: Detailed sec 36 (pdf p.612); Valuation Certificate sec 6; Value Summary sec 4 (pdf p.55-56)</t>
      </text>
    </comment>
    <comment ref="O33" authorId="0" shapeId="0">
      <text>
        <t>Computed = Market rent / In-place rent - 1</t>
      </text>
    </comment>
    <comment ref="S33" authorId="0" shapeId="0">
      <text>
        <t>Source: KRT detailed valuation report, 31 Mar 2026.
Ref: Detailed sec 36 (pdf p.612); Valuation Certificate sec 6; Value Summary sec 4 (pdf p.55-56)</t>
      </text>
    </comment>
    <comment ref="T33" authorId="0" shapeId="0">
      <text>
        <t>Source: KRT detailed valuation report, 31 Mar 2026.
Ref: Detailed sec 36 (pdf p.612); Valuation Certificate sec 6; Value Summary sec 4 (pdf p.55-56)</t>
      </text>
    </comment>
    <comment ref="U33" authorId="0" shapeId="0">
      <text>
        <t>Computed = Market value / leasable sq ft</t>
      </text>
    </comment>
    <comment ref="V33" authorId="0" shapeId="0">
      <text>
        <t>Source: KRT detailed valuation report, 31 Mar 2026.
Ref: Detailed sec 36 (pdf p.612); Valuation Certificate sec 6; Value Summary sec 4 (pdf p.55-56)</t>
      </text>
    </comment>
    <comment ref="X33" authorId="0" shapeId="0">
      <text>
        <t>Source: KRT detailed valuation report, 31 Mar 2026.
Ref: Detailed sec 36 (pdf p.612); Valuation Certificate sec 6; Value Summary sec 4 (pdf p.55-56)</t>
      </text>
    </comment>
    <comment ref="A34" authorId="0" shapeId="0">
      <text>
        <t>Source: KRT detailed valuation report, 31 Mar 2026.
Ref: Detailed sec 37 (pdf p.619); Valuation Certificate sec 6; Value Summary sec 4 (pdf p.55-56)</t>
      </text>
    </comment>
    <comment ref="B34" authorId="0" shapeId="0">
      <text>
        <t>Source: KRT detailed valuation report, 31 Mar 2026.
Ref: Detailed sec 37 (pdf p.619); Valuation Certificate sec 6; Value Summary sec 4 (pdf p.55-56)</t>
      </text>
    </comment>
    <comment ref="C34" authorId="0" shapeId="0">
      <text>
        <t>Source: KRT detailed valuation report, 31 Mar 2026.
Ref: Detailed sec 37 (pdf p.619); Valuation Certificate sec 6; Value Summary sec 4 (pdf p.55-56)</t>
      </text>
    </comment>
    <comment ref="D34" authorId="0" shapeId="0">
      <text>
        <t>Source: KRT detailed valuation report, 31 Mar 2026.
Ref: Detailed sec 37 (pdf p.619); Valuation Certificate sec 6; Value Summary sec 4 (pdf p.55-56)</t>
      </text>
    </comment>
    <comment ref="E34" authorId="0" shapeId="0">
      <text>
        <t>Source: KRT detailed valuation report, 31 Mar 2026.
Ref: Detailed sec 37 (pdf p.619); Valuation Certificate sec 6; Value Summary sec 4 (pdf p.55-56)</t>
      </text>
    </comment>
    <comment ref="G34" authorId="0" shapeId="0">
      <text>
        <t>Source: KRT detailed valuation report, 31 Mar 2026.
Ref: Detailed sec 37 (pdf p.619); Valuation Certificate sec 6; Value Summary sec 4 (pdf p.55-56)</t>
      </text>
    </comment>
    <comment ref="O34" authorId="0" shapeId="0">
      <text>
        <t>Computed = Market rent / In-place rent - 1</t>
      </text>
    </comment>
    <comment ref="S34" authorId="0" shapeId="0">
      <text>
        <t>Source: KRT detailed valuation report, 31 Mar 2026.
Ref: Detailed sec 37 (pdf p.619); Valuation Certificate sec 6; Value Summary sec 4 (pdf p.55-56)</t>
      </text>
    </comment>
    <comment ref="T34" authorId="0" shapeId="0">
      <text>
        <t>Source: KRT detailed valuation report, 31 Mar 2026.
Ref: Detailed sec 37 (pdf p.619); Valuation Certificate sec 6; Value Summary sec 4 (pdf p.55-56)</t>
      </text>
    </comment>
    <comment ref="U34" authorId="0" shapeId="0">
      <text>
        <t>Computed = Market value / leasable sq ft</t>
      </text>
    </comment>
    <comment ref="V34" authorId="0" shapeId="0">
      <text>
        <t>Source: KRT detailed valuation report, 31 Mar 2026.
Ref: Detailed sec 37 (pdf p.619); Valuation Certificate sec 6; Value Summary sec 4 (pdf p.55-56)</t>
      </text>
    </comment>
    <comment ref="X34" authorId="0" shapeId="0">
      <text>
        <t>Source: KRT detailed valuation report, 31 Mar 2026.
Ref: Detailed sec 37 (pdf p.619); Valuation Certificate sec 6; Value Summary sec 4 (pdf p.55-56)</t>
      </text>
    </comment>
    <comment ref="A35" authorId="0" shapeId="0">
      <text>
        <t>Source: KRT detailed valuation report, 31 Mar 2026.
Ref: Detailed sec 38 (pdf p.626); Valuation Certificate sec 6; Value Summary sec 4 (pdf p.55-56)</t>
      </text>
    </comment>
    <comment ref="B35" authorId="0" shapeId="0">
      <text>
        <t>Source: KRT detailed valuation report, 31 Mar 2026.
Ref: Detailed sec 38 (pdf p.626); Valuation Certificate sec 6; Value Summary sec 4 (pdf p.55-56)</t>
      </text>
    </comment>
    <comment ref="C35" authorId="0" shapeId="0">
      <text>
        <t>Source: KRT detailed valuation report, 31 Mar 2026.
Ref: Detailed sec 38 (pdf p.626); Valuation Certificate sec 6; Value Summary sec 4 (pdf p.55-56)</t>
      </text>
    </comment>
    <comment ref="D35" authorId="0" shapeId="0">
      <text>
        <t>Source: KRT detailed valuation report, 31 Mar 2026.
Ref: Detailed sec 38 (pdf p.626); Valuation Certificate sec 6; Value Summary sec 4 (pdf p.55-56)</t>
      </text>
    </comment>
    <comment ref="E35" authorId="0" shapeId="0">
      <text>
        <t>Source: KRT detailed valuation report, 31 Mar 2026.
Ref: Detailed sec 38 (pdf p.626); Valuation Certificate sec 6; Value Summary sec 4 (pdf p.55-56)</t>
      </text>
    </comment>
    <comment ref="G35" authorId="0" shapeId="0">
      <text>
        <t>Source: KRT detailed valuation report, 31 Mar 2026.
Ref: Detailed sec 38 (pdf p.626); Valuation Certificate sec 6; Value Summary sec 4 (pdf p.55-56)</t>
      </text>
    </comment>
    <comment ref="O35" authorId="0" shapeId="0">
      <text>
        <t>Computed = Market rent / In-place rent - 1</t>
      </text>
    </comment>
    <comment ref="S35" authorId="0" shapeId="0">
      <text>
        <t>Source: KRT detailed valuation report, 31 Mar 2026.
Ref: Detailed sec 38 (pdf p.626); Valuation Certificate sec 6; Value Summary sec 4 (pdf p.55-56)</t>
      </text>
    </comment>
    <comment ref="T35" authorId="0" shapeId="0">
      <text>
        <t>Source: KRT detailed valuation report, 31 Mar 2026.
Ref: Detailed sec 38 (pdf p.626); Valuation Certificate sec 6; Value Summary sec 4 (pdf p.55-56)</t>
      </text>
    </comment>
    <comment ref="U35" authorId="0" shapeId="0">
      <text>
        <t>Computed = Market value / leasable sq ft</t>
      </text>
    </comment>
    <comment ref="V35" authorId="0" shapeId="0">
      <text>
        <t>Source: KRT detailed valuation report, 31 Mar 2026.
Ref: Detailed sec 38 (pdf p.626); Valuation Certificate sec 6; Value Summary sec 4 (pdf p.55-56)</t>
      </text>
    </comment>
    <comment ref="X35" authorId="0" shapeId="0">
      <text>
        <t>Source: KRT detailed valuation report, 31 Mar 2026.
Ref: Detailed sec 38 (pdf p.626); Valuation Certificate sec 6; Value Summary sec 4 (pdf p.55-56)</t>
      </text>
    </comment>
    <comment ref="A36" authorId="0" shapeId="0">
      <text>
        <t>Source: KRT detailed valuation report, 31 Mar 2026.
Ref: Detailed sec 39 (pdf p.634); Valuation Certificate sec 6; Value Summary sec 4 (pdf p.55-56)</t>
      </text>
    </comment>
    <comment ref="B36" authorId="0" shapeId="0">
      <text>
        <t>Source: KRT detailed valuation report, 31 Mar 2026.
Ref: Detailed sec 39 (pdf p.634); Valuation Certificate sec 6; Value Summary sec 4 (pdf p.55-56)</t>
      </text>
    </comment>
    <comment ref="C36" authorId="0" shapeId="0">
      <text>
        <t>Source: KRT detailed valuation report, 31 Mar 2026.
Ref: Detailed sec 39 (pdf p.634); Valuation Certificate sec 6; Value Summary sec 4 (pdf p.55-56)</t>
      </text>
    </comment>
    <comment ref="D36" authorId="0" shapeId="0">
      <text>
        <t>Source: KRT detailed valuation report, 31 Mar 2026.
Ref: Detailed sec 39 (pdf p.634); Valuation Certificate sec 6; Value Summary sec 4 (pdf p.55-56)</t>
      </text>
    </comment>
    <comment ref="E36" authorId="0" shapeId="0">
      <text>
        <t>Source: KRT detailed valuation report, 31 Mar 2026.
Ref: Detailed sec 39 (pdf p.634); Valuation Certificate sec 6; Value Summary sec 4 (pdf p.55-56)</t>
      </text>
    </comment>
    <comment ref="G36" authorId="0" shapeId="0">
      <text>
        <t>Source: KRT detailed valuation report, 31 Mar 2026.
Ref: Detailed sec 39 (pdf p.634); Valuation Certificate sec 6; Value Summary sec 4 (pdf p.55-56)</t>
      </text>
    </comment>
    <comment ref="O36" authorId="0" shapeId="0">
      <text>
        <t>Computed = Market rent / In-place rent - 1</t>
      </text>
    </comment>
    <comment ref="S36" authorId="0" shapeId="0">
      <text>
        <t>Source: KRT detailed valuation report, 31 Mar 2026.
Ref: Detailed sec 39 (pdf p.634); Valuation Certificate sec 6; Value Summary sec 4 (pdf p.55-56)</t>
      </text>
    </comment>
    <comment ref="T36" authorId="0" shapeId="0">
      <text>
        <t>Source: KRT detailed valuation report, 31 Mar 2026.
Ref: Detailed sec 39 (pdf p.634); Valuation Certificate sec 6; Value Summary sec 4 (pdf p.55-56)</t>
      </text>
    </comment>
    <comment ref="U36" authorId="0" shapeId="0">
      <text>
        <t>Computed = Market value / leasable sq ft</t>
      </text>
    </comment>
    <comment ref="V36" authorId="0" shapeId="0">
      <text>
        <t>Source: KRT detailed valuation report, 31 Mar 2026.
Ref: Detailed sec 39 (pdf p.634); Valuation Certificate sec 6; Value Summary sec 4 (pdf p.55-56)</t>
      </text>
    </comment>
    <comment ref="X36" authorId="0" shapeId="0">
      <text>
        <t>Source: KRT detailed valuation report, 31 Mar 2026.
Ref: Detailed sec 39 (pdf p.634); Valuation Certificate sec 6; Value Summary sec 4 (pdf p.55-56)</t>
      </text>
    </comment>
  </commentList>
</comments>
</file>

<file path=xl/comments/comment7.xml><?xml version="1.0" encoding="utf-8"?>
<comments xmlns="http://schemas.openxmlformats.org/spreadsheetml/2006/main">
  <authors>
    <author>Source</author>
  </authors>
  <commentList>
    <comment ref="A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B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C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D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E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F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G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H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I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J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K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L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M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N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O4" authorId="0" shapeId="0">
      <text>
        <t>Computed = Market rent / In-place rent - 1</t>
      </text>
    </comment>
    <comment ref="P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Q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R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S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T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U4" authorId="0" shapeId="0">
      <text>
        <t>Computed = Market value / leasable sq ft</t>
      </text>
    </comment>
    <comment ref="X4" authorId="0" shapeId="0">
      <text>
        <t xml:space="preserve">Source: Bagmane RHP / summary valuation (proforma).
Ref: WACC (operational) 11.5%; cap rate 8.0% (terminal). Valuation report occupancy: committed 98.2%, in-place 94.9%. Includes 2 under-construction hotels (607 keys) valued separately. </t>
      </text>
    </comment>
    <comment ref="A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B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C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D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E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F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G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H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I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J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K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L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M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N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O5" authorId="0" shapeId="0">
      <text>
        <t>Computed = Market rent / In-place rent - 1</t>
      </text>
    </comment>
    <comment ref="P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Q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R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S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T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U5" authorId="0" shapeId="0">
      <text>
        <t>Computed = Market value / leasable sq ft</t>
      </text>
    </comment>
    <comment ref="X5" authorId="0" shapeId="0">
      <text>
        <t>Source: Bagmane RHP / summary valuation (proforma).
Ref: WACC 11.5%; cap rate 8.0%. Valuation report occupancy: committed 100%, in-place 99.5%. RHP master table leasable 5.0 msf (valuation 4.9 msf / 4,950,438.9 sqft). Amazon key tenant (</t>
      </text>
    </comment>
    <comment ref="A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B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C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D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E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F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G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H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I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J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K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L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M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N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O6" authorId="0" shapeId="0">
      <text>
        <t>Computed = Market rent / In-place rent - 1</t>
      </text>
    </comment>
    <comment ref="P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Q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R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S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T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U6" authorId="0" shapeId="0">
      <text>
        <t>Computed = Market value / leasable sq ft</t>
      </text>
    </comment>
    <comment ref="X6" authorId="0" shapeId="0">
      <text>
        <t xml:space="preserve">Source: Bagmane RHP / summary valuation (proforma).
Ref: REIT holds 93% interest; MV of 93% = INR 17,730.1mn, 100% = INR 19,064.7mn. Cap rate 7.75% (single-tenant premium). WACC 11.5%. Single tenant (Google - largest standalone building </t>
      </text>
    </comment>
    <comment ref="A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B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C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D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E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F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G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H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I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J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K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L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M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N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O7" authorId="0" shapeId="0">
      <text>
        <t>Computed = Market rent / In-place rent - 1</t>
      </text>
    </comment>
    <comment ref="P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Q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R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S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T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U7" authorId="0" shapeId="0">
      <text>
        <t>Computed = Market value / leasable sq ft</t>
      </text>
    </comment>
    <comment ref="X7" authorId="0" shapeId="0">
      <text>
        <t>Source: Bagmane RHP / summary valuation (proforma).
Ref: Carve-in asset, 100% owned by BCPL w.e.f. 1 Dec 2025 (previously JD 83.39% BCPL / 16.61% third parties). Cap rate 8.0%; WACC 11.5%. Valuation occupancy: committed 100%, in-place 93</t>
      </text>
    </comment>
    <comment ref="A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B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C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D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E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F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G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H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I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J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K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L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M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N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O8" authorId="0" shapeId="0">
      <text>
        <t>Computed = Market rent / In-place rent - 1</t>
      </text>
    </comment>
    <comment ref="P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Q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R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S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T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U8" authorId="0" shapeId="0">
      <text>
        <t>Computed = Market value / leasable sq ft</t>
      </text>
    </comment>
    <comment ref="X8" authorId="0" shapeId="0">
      <text>
        <t>Source: Bagmane RHP / summary valuation (proforma).
Ref: Cap rate 7.75% (SBD City premium); WACC operational 11.5%, UC/future 12.75%. Committed &amp; in-place occupancy 98.7% (completed area). Includes 0.5 msf future dev. MV split: completed</t>
      </text>
    </comment>
    <comment ref="A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B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C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D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E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F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G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I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J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K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L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M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N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O9" authorId="0" shapeId="0">
      <text>
        <t>Computed = Market rent / In-place rent - 1</t>
      </text>
    </comment>
    <comment ref="P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Q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R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S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T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U9" authorId="0" shapeId="0">
      <text>
        <t>Computed = Market value / leasable sq ft</t>
      </text>
    </comment>
    <comment ref="X9" authorId="0" shapeId="0">
      <text>
        <t>Source: Bagmane RHP / summary valuation (proforma).
Ref: Cap rate 7.75% (SBD City premium); WACC operational 11.5%, UC/future 12.75%. Occupancy on completed 1.0 msf: committed 94.2%, in-place 67.8%. 1.0 msf under-construction + 1.5 msf f</t>
      </text>
    </comment>
    <comment ref="A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B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C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D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E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F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G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O10" authorId="0" shapeId="0">
      <text>
        <t>Computed = Market rent / In-place rent - 1</t>
      </text>
    </comment>
    <comment ref="R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S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T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U10" authorId="0" shapeId="0">
      <text>
        <t>Computed = Market value / leasable sq ft</t>
      </text>
    </comment>
    <comment ref="X10" authorId="0" shapeId="0">
      <text>
        <t>Source: Bagmane RHP / summary valuation (proforma).
Ref: 207 keys, under construction within BWTC. Cap rate 7.14%; WACC (UC/future) 13.00%. Part of 607-key hotel program. Valuation report pp.659-660 (Section 4.7).</t>
      </text>
    </comment>
    <comment ref="A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B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C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D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E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F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G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O11" authorId="0" shapeId="0">
      <text>
        <t>Computed = Market rent / In-place rent - 1</t>
      </text>
    </comment>
    <comment ref="R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S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T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U11" authorId="0" shapeId="0">
      <text>
        <t>Computed = Market value / leasable sq ft</t>
      </text>
    </comment>
    <comment ref="X11" authorId="0" shapeId="0">
      <text>
        <t>Source: Bagmane RHP / summary valuation (proforma).
Ref: 400 keys, under construction within BWTC. Cap rate 7.14%; WACC (UC/future) 13.00%. Part of 607-key hotel program. Valuation report pp.660-662 (Section 4.8).</t>
      </text>
    </comment>
    <comment ref="A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B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C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D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E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G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O12" authorId="0" shapeId="0">
      <text>
        <t>Computed = Market rent / In-place rent - 1</t>
      </text>
    </comment>
    <comment ref="T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  <comment ref="U12" authorId="0" shapeId="0">
      <text>
        <t>Computed = Market value / leasable sq ft</t>
      </text>
    </comment>
    <comment ref="X12" authorId="0" shapeId="0">
      <text>
        <t xml:space="preserve">Source: Bagmane RHP / summary valuation (proforma).
Ref: Held by SPV Bagmane Green Power LLP. WACC operational 11.5%, UC/future 12.75%. Components: Chikkodi 28.0 MW DC = INR 1,613.5mn; Sedam 46.4 MW DC = INR 2,695.0mn; Yadgir 17.5 MW DC 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Embassy/eop_reit_valuation_report_march_2026.pdf" TargetMode="External" Id="rId1"/><Relationship Type="http://schemas.openxmlformats.org/officeDocument/2006/relationships/hyperlink" Target="Embassy/eop_reit_valuation_report_march_2026.pdf" TargetMode="External" Id="rId2"/><Relationship Type="http://schemas.openxmlformats.org/officeDocument/2006/relationships/hyperlink" Target="Embassy/eop_reit_valuation_report_march_2026.pdf" TargetMode="External" Id="rId3"/><Relationship Type="http://schemas.openxmlformats.org/officeDocument/2006/relationships/hyperlink" Target="Embassy/eop_reit_valuation_report_march_2026.pdf" TargetMode="External" Id="rId4"/><Relationship Type="http://schemas.openxmlformats.org/officeDocument/2006/relationships/hyperlink" Target="Embassy/eop_reit_valuation_report_march_2026.pdf" TargetMode="External" Id="rId5"/><Relationship Type="http://schemas.openxmlformats.org/officeDocument/2006/relationships/hyperlink" Target="Embassy/eop_reit_valuation_report_march_2026.pdf" TargetMode="External" Id="rId6"/><Relationship Type="http://schemas.openxmlformats.org/officeDocument/2006/relationships/hyperlink" Target="Embassy/eop_reit_valuation_report_march_2026.pdf" TargetMode="External" Id="rId7"/><Relationship Type="http://schemas.openxmlformats.org/officeDocument/2006/relationships/hyperlink" Target="Embassy/eop_reit_valuation_report_march_2026.pdf" TargetMode="External" Id="rId8"/><Relationship Type="http://schemas.openxmlformats.org/officeDocument/2006/relationships/hyperlink" Target="Embassy/eop_reit_valuation_report_march_2026.pdf" TargetMode="External" Id="rId9"/><Relationship Type="http://schemas.openxmlformats.org/officeDocument/2006/relationships/hyperlink" Target="Embassy/eop_reit_valuation_report_march_2026.pdf" TargetMode="External" Id="rId10"/><Relationship Type="http://schemas.openxmlformats.org/officeDocument/2006/relationships/hyperlink" Target="Embassy/eop_reit_valuation_report_march_2026.pdf" TargetMode="External" Id="rId11"/><Relationship Type="http://schemas.openxmlformats.org/officeDocument/2006/relationships/hyperlink" Target="Embassy/eop_reit_valuation_report_march_2026.pdf" TargetMode="External" Id="rId12"/><Relationship Type="http://schemas.openxmlformats.org/officeDocument/2006/relationships/hyperlink" Target="Embassy/eop_reit_valuation_report_march_2026.pdf" TargetMode="External" Id="rId13"/><Relationship Type="http://schemas.openxmlformats.org/officeDocument/2006/relationships/hyperlink" Target="Embassy/eop_reit_valuation_report_march_2026.pdf" TargetMode="External" Id="rId14"/><Relationship Type="http://schemas.openxmlformats.org/officeDocument/2006/relationships/hyperlink" Target="Embassy/eop_reit_valuation_report_march_2026.pdf" TargetMode="External" Id="rId15"/><Relationship Type="http://schemas.openxmlformats.org/officeDocument/2006/relationships/hyperlink" Target="Embassy/eop_reit_valuation_report_march_2026.pdf" TargetMode="External" Id="rId16"/><Relationship Type="http://schemas.openxmlformats.org/officeDocument/2006/relationships/hyperlink" Target="MindSpace/Valuation-Report-q4FY26.pdf" TargetMode="External" Id="rId17"/><Relationship Type="http://schemas.openxmlformats.org/officeDocument/2006/relationships/hyperlink" Target="MindSpace/Valuation-Report-q4FY26.pdf" TargetMode="External" Id="rId18"/><Relationship Type="http://schemas.openxmlformats.org/officeDocument/2006/relationships/hyperlink" Target="MindSpace/Valuation-Report-q4FY26.pdf" TargetMode="External" Id="rId19"/><Relationship Type="http://schemas.openxmlformats.org/officeDocument/2006/relationships/hyperlink" Target="MindSpace/Valuation-Report-q4FY26.pdf" TargetMode="External" Id="rId20"/><Relationship Type="http://schemas.openxmlformats.org/officeDocument/2006/relationships/hyperlink" Target="MindSpace/Valuation-Report-q4FY26.pdf" TargetMode="External" Id="rId21"/><Relationship Type="http://schemas.openxmlformats.org/officeDocument/2006/relationships/hyperlink" Target="MindSpace/Valuation-Report-q4FY26.pdf" TargetMode="External" Id="rId22"/><Relationship Type="http://schemas.openxmlformats.org/officeDocument/2006/relationships/hyperlink" Target="MindSpace/Valuation-Report-q4FY26.pdf" TargetMode="External" Id="rId23"/><Relationship Type="http://schemas.openxmlformats.org/officeDocument/2006/relationships/hyperlink" Target="MindSpace/Valuation-Report-q4FY26.pdf" TargetMode="External" Id="rId24"/><Relationship Type="http://schemas.openxmlformats.org/officeDocument/2006/relationships/hyperlink" Target="MindSpace/Valuation-Report-q4FY26.pdf" TargetMode="External" Id="rId25"/><Relationship Type="http://schemas.openxmlformats.org/officeDocument/2006/relationships/hyperlink" Target="MindSpace/Valuation-Report-q4FY26.pdf" TargetMode="External" Id="rId26"/><Relationship Type="http://schemas.openxmlformats.org/officeDocument/2006/relationships/hyperlink" Target="MindSpace/Valuation-Report-q4FY26.pdf" TargetMode="External" Id="rId27"/><Relationship Type="http://schemas.openxmlformats.org/officeDocument/2006/relationships/hyperlink" Target="MindSpace/Valuation-Report-q4FY26.pdf" TargetMode="External" Id="rId28"/><Relationship Type="http://schemas.openxmlformats.org/officeDocument/2006/relationships/hyperlink" Target="MindSpace/Valuation-Report-q4FY26.pdf" TargetMode="External" Id="rId29"/><Relationship Type="http://schemas.openxmlformats.org/officeDocument/2006/relationships/hyperlink" Target="MindSpace/Valuation-Report-q4FY26.pdf" TargetMode="External" Id="rId30"/><Relationship Type="http://schemas.openxmlformats.org/officeDocument/2006/relationships/hyperlink" Target="MindSpace/Valuation-Report-q4FY26.pdf" TargetMode="External" Id="rId31"/><Relationship Type="http://schemas.openxmlformats.org/officeDocument/2006/relationships/hyperlink" Target="MindSpace/Valuation-Report-q4FY26.pdf" TargetMode="External" Id="rId32"/><Relationship Type="http://schemas.openxmlformats.org/officeDocument/2006/relationships/hyperlink" Target="MindSpace/Valuation-Report-q4FY26.pdf" TargetMode="External" Id="rId33"/><Relationship Type="http://schemas.openxmlformats.org/officeDocument/2006/relationships/hyperlink" Target="Brookfield/Summary_Valuation_Report_FY_2026_8284e7236d.pdf" TargetMode="External" Id="rId34"/><Relationship Type="http://schemas.openxmlformats.org/officeDocument/2006/relationships/hyperlink" Target="Brookfield/Summary_Valuation_Report_FY_2026_8284e7236d.pdf" TargetMode="External" Id="rId35"/><Relationship Type="http://schemas.openxmlformats.org/officeDocument/2006/relationships/hyperlink" Target="Brookfield/Summary_Valuation_Report_FY_2026_8284e7236d.pdf" TargetMode="External" Id="rId36"/><Relationship Type="http://schemas.openxmlformats.org/officeDocument/2006/relationships/hyperlink" Target="Brookfield/Summary_Valuation_Report_FY_2026_8284e7236d.pdf" TargetMode="External" Id="rId37"/><Relationship Type="http://schemas.openxmlformats.org/officeDocument/2006/relationships/hyperlink" Target="Brookfield/Summary_Valuation_Report_FY_2026_8284e7236d.pdf" TargetMode="External" Id="rId38"/><Relationship Type="http://schemas.openxmlformats.org/officeDocument/2006/relationships/hyperlink" Target="Brookfield/Summary_Valuation_Report_FY_2026_8284e7236d.pdf" TargetMode="External" Id="rId39"/><Relationship Type="http://schemas.openxmlformats.org/officeDocument/2006/relationships/hyperlink" Target="Brookfield/Summary_Valuation_Report_FY_2026_8284e7236d.pdf" TargetMode="External" Id="rId40"/><Relationship Type="http://schemas.openxmlformats.org/officeDocument/2006/relationships/hyperlink" Target="Brookfield/Summary_Valuation_Report_FY_2026_8284e7236d.pdf" TargetMode="External" Id="rId41"/><Relationship Type="http://schemas.openxmlformats.org/officeDocument/2006/relationships/hyperlink" Target="Brookfield/Summary_Valuation_Report_FY_2026_8284e7236d.pdf" TargetMode="External" Id="rId42"/><Relationship Type="http://schemas.openxmlformats.org/officeDocument/2006/relationships/hyperlink" Target="Brookfield/Summary_Valuation_Report_FY_2026_8284e7236d.pdf" TargetMode="External" Id="rId43"/><Relationship Type="http://schemas.openxmlformats.org/officeDocument/2006/relationships/hyperlink" Target="Brookfield/Summary_Valuation_Report_FY_2026_8284e7236d.pdf" TargetMode="External" Id="rId44"/><Relationship Type="http://schemas.openxmlformats.org/officeDocument/2006/relationships/hyperlink" Target="Brookfield/Summary_Valuation_Report_FY_2026_8284e7236d.pdf" TargetMode="External" Id="rId45"/><Relationship Type="http://schemas.openxmlformats.org/officeDocument/2006/relationships/hyperlink" Target="Brookfield/Summary_Valuation_Report_FY_2026_8284e7236d.pdf" TargetMode="External" Id="rId46"/><Relationship Type="http://schemas.openxmlformats.org/officeDocument/2006/relationships/hyperlink" Target="Nexus/Detailed-Valuation-Report-Q4-FY26.pdf" TargetMode="External" Id="rId47"/><Relationship Type="http://schemas.openxmlformats.org/officeDocument/2006/relationships/hyperlink" Target="Nexus/Detailed-Valuation-Report-Q4-FY26.pdf" TargetMode="External" Id="rId48"/><Relationship Type="http://schemas.openxmlformats.org/officeDocument/2006/relationships/hyperlink" Target="Nexus/Detailed-Valuation-Report-Q4-FY26.pdf" TargetMode="External" Id="rId49"/><Relationship Type="http://schemas.openxmlformats.org/officeDocument/2006/relationships/hyperlink" Target="Nexus/Detailed-Valuation-Report-Q4-FY26.pdf" TargetMode="External" Id="rId50"/><Relationship Type="http://schemas.openxmlformats.org/officeDocument/2006/relationships/hyperlink" Target="Nexus/Detailed-Valuation-Report-Q4-FY26.pdf" TargetMode="External" Id="rId51"/><Relationship Type="http://schemas.openxmlformats.org/officeDocument/2006/relationships/hyperlink" Target="Nexus/Detailed-Valuation-Report-Q4-FY26.pdf" TargetMode="External" Id="rId52"/><Relationship Type="http://schemas.openxmlformats.org/officeDocument/2006/relationships/hyperlink" Target="Nexus/Detailed-Valuation-Report-Q4-FY26.pdf" TargetMode="External" Id="rId53"/><Relationship Type="http://schemas.openxmlformats.org/officeDocument/2006/relationships/hyperlink" Target="Nexus/Detailed-Valuation-Report-Q4-FY26.pdf" TargetMode="External" Id="rId54"/><Relationship Type="http://schemas.openxmlformats.org/officeDocument/2006/relationships/hyperlink" Target="Nexus/Detailed-Valuation-Report-Q4-FY26.pdf" TargetMode="External" Id="rId55"/><Relationship Type="http://schemas.openxmlformats.org/officeDocument/2006/relationships/hyperlink" Target="Nexus/Detailed-Valuation-Report-Q4-FY26.pdf" TargetMode="External" Id="rId56"/><Relationship Type="http://schemas.openxmlformats.org/officeDocument/2006/relationships/hyperlink" Target="Nexus/Detailed-Valuation-Report-Q4-FY26.pdf" TargetMode="External" Id="rId57"/><Relationship Type="http://schemas.openxmlformats.org/officeDocument/2006/relationships/hyperlink" Target="Nexus/Detailed-Valuation-Report-Q4-FY26.pdf" TargetMode="External" Id="rId58"/><Relationship Type="http://schemas.openxmlformats.org/officeDocument/2006/relationships/hyperlink" Target="Nexus/Detailed-Valuation-Report-Q4-FY26.pdf" TargetMode="External" Id="rId59"/><Relationship Type="http://schemas.openxmlformats.org/officeDocument/2006/relationships/hyperlink" Target="Nexus/Detailed-Valuation-Report-Q4-FY26.pdf" TargetMode="External" Id="rId60"/><Relationship Type="http://schemas.openxmlformats.org/officeDocument/2006/relationships/hyperlink" Target="Nexus/Detailed-Valuation-Report-Q4-FY26.pdf" TargetMode="External" Id="rId61"/><Relationship Type="http://schemas.openxmlformats.org/officeDocument/2006/relationships/hyperlink" Target="Nexus/Detailed-Valuation-Report-Q4-FY26.pdf" TargetMode="External" Id="rId62"/><Relationship Type="http://schemas.openxmlformats.org/officeDocument/2006/relationships/hyperlink" Target="Nexus/Detailed-Valuation-Report-Q4-FY26.pdf" TargetMode="External" Id="rId63"/><Relationship Type="http://schemas.openxmlformats.org/officeDocument/2006/relationships/hyperlink" Target="Nexus/Detailed-Valuation-Report-Q4-FY26.pdf" TargetMode="External" Id="rId64"/><Relationship Type="http://schemas.openxmlformats.org/officeDocument/2006/relationships/hyperlink" Target="Nexus/Detailed-Valuation-Report-Q4-FY26.pdf" TargetMode="External" Id="rId65"/><Relationship Type="http://schemas.openxmlformats.org/officeDocument/2006/relationships/hyperlink" Target="Nexus/Detailed-Valuation-Report-Q4-FY26.pdf" TargetMode="External" Id="rId66"/><Relationship Type="http://schemas.openxmlformats.org/officeDocument/2006/relationships/hyperlink" Target="KRT/Q4_March_2026_Detailed_Valuation_Report.pdf" TargetMode="External" Id="rId67"/><Relationship Type="http://schemas.openxmlformats.org/officeDocument/2006/relationships/hyperlink" Target="KRT/Q4_March_2026_Detailed_Valuation_Report.pdf" TargetMode="External" Id="rId68"/><Relationship Type="http://schemas.openxmlformats.org/officeDocument/2006/relationships/hyperlink" Target="KRT/Q4_March_2026_Detailed_Valuation_Report.pdf" TargetMode="External" Id="rId69"/><Relationship Type="http://schemas.openxmlformats.org/officeDocument/2006/relationships/hyperlink" Target="KRT/Q4_March_2026_Detailed_Valuation_Report.pdf" TargetMode="External" Id="rId70"/><Relationship Type="http://schemas.openxmlformats.org/officeDocument/2006/relationships/hyperlink" Target="KRT/Q4_March_2026_Detailed_Valuation_Report.pdf" TargetMode="External" Id="rId71"/><Relationship Type="http://schemas.openxmlformats.org/officeDocument/2006/relationships/hyperlink" Target="KRT/Q4_March_2026_Detailed_Valuation_Report.pdf" TargetMode="External" Id="rId72"/><Relationship Type="http://schemas.openxmlformats.org/officeDocument/2006/relationships/hyperlink" Target="KRT/Q4_March_2026_Detailed_Valuation_Report.pdf" TargetMode="External" Id="rId73"/><Relationship Type="http://schemas.openxmlformats.org/officeDocument/2006/relationships/hyperlink" Target="KRT/Q4_March_2026_Detailed_Valuation_Report.pdf" TargetMode="External" Id="rId74"/><Relationship Type="http://schemas.openxmlformats.org/officeDocument/2006/relationships/hyperlink" Target="KRT/Q4_March_2026_Detailed_Valuation_Report.pdf" TargetMode="External" Id="rId75"/><Relationship Type="http://schemas.openxmlformats.org/officeDocument/2006/relationships/hyperlink" Target="KRT/Q4_March_2026_Detailed_Valuation_Report.pdf" TargetMode="External" Id="rId76"/><Relationship Type="http://schemas.openxmlformats.org/officeDocument/2006/relationships/hyperlink" Target="KRT/Q4_March_2026_Detailed_Valuation_Report.pdf" TargetMode="External" Id="rId77"/><Relationship Type="http://schemas.openxmlformats.org/officeDocument/2006/relationships/hyperlink" Target="KRT/Q4_March_2026_Detailed_Valuation_Report.pdf" TargetMode="External" Id="rId78"/><Relationship Type="http://schemas.openxmlformats.org/officeDocument/2006/relationships/hyperlink" Target="KRT/Q4_March_2026_Detailed_Valuation_Report.pdf" TargetMode="External" Id="rId79"/><Relationship Type="http://schemas.openxmlformats.org/officeDocument/2006/relationships/hyperlink" Target="KRT/Q4_March_2026_Detailed_Valuation_Report.pdf" TargetMode="External" Id="rId80"/><Relationship Type="http://schemas.openxmlformats.org/officeDocument/2006/relationships/hyperlink" Target="KRT/Q4_March_2026_Detailed_Valuation_Report.pdf" TargetMode="External" Id="rId81"/><Relationship Type="http://schemas.openxmlformats.org/officeDocument/2006/relationships/hyperlink" Target="KRT/Q4_March_2026_Detailed_Valuation_Report.pdf" TargetMode="External" Id="rId82"/><Relationship Type="http://schemas.openxmlformats.org/officeDocument/2006/relationships/hyperlink" Target="KRT/Q4_March_2026_Detailed_Valuation_Report.pdf" TargetMode="External" Id="rId83"/><Relationship Type="http://schemas.openxmlformats.org/officeDocument/2006/relationships/hyperlink" Target="KRT/Q4_March_2026_Detailed_Valuation_Report.pdf" TargetMode="External" Id="rId84"/><Relationship Type="http://schemas.openxmlformats.org/officeDocument/2006/relationships/hyperlink" Target="KRT/Q4_March_2026_Detailed_Valuation_Report.pdf" TargetMode="External" Id="rId85"/><Relationship Type="http://schemas.openxmlformats.org/officeDocument/2006/relationships/hyperlink" Target="KRT/Q4_March_2026_Detailed_Valuation_Report.pdf" TargetMode="External" Id="rId86"/><Relationship Type="http://schemas.openxmlformats.org/officeDocument/2006/relationships/hyperlink" Target="KRT/Q4_March_2026_Detailed_Valuation_Report.pdf" TargetMode="External" Id="rId87"/><Relationship Type="http://schemas.openxmlformats.org/officeDocument/2006/relationships/hyperlink" Target="KRT/Q4_March_2026_Detailed_Valuation_Report.pdf" TargetMode="External" Id="rId88"/><Relationship Type="http://schemas.openxmlformats.org/officeDocument/2006/relationships/hyperlink" Target="KRT/Q4_March_2026_Detailed_Valuation_Report.pdf" TargetMode="External" Id="rId89"/><Relationship Type="http://schemas.openxmlformats.org/officeDocument/2006/relationships/hyperlink" Target="KRT/Q4_March_2026_Detailed_Valuation_Report.pdf" TargetMode="External" Id="rId90"/><Relationship Type="http://schemas.openxmlformats.org/officeDocument/2006/relationships/hyperlink" Target="KRT/Q4_March_2026_Detailed_Valuation_Report.pdf" TargetMode="External" Id="rId91"/><Relationship Type="http://schemas.openxmlformats.org/officeDocument/2006/relationships/hyperlink" Target="KRT/Q4_March_2026_Detailed_Valuation_Report.pdf" TargetMode="External" Id="rId92"/><Relationship Type="http://schemas.openxmlformats.org/officeDocument/2006/relationships/hyperlink" Target="KRT/Q4_March_2026_Detailed_Valuation_Report.pdf" TargetMode="External" Id="rId93"/><Relationship Type="http://schemas.openxmlformats.org/officeDocument/2006/relationships/hyperlink" Target="KRT/Q4_March_2026_Detailed_Valuation_Report.pdf" TargetMode="External" Id="rId94"/><Relationship Type="http://schemas.openxmlformats.org/officeDocument/2006/relationships/hyperlink" Target="KRT/Q4_March_2026_Detailed_Valuation_Report.pdf" TargetMode="External" Id="rId95"/><Relationship Type="http://schemas.openxmlformats.org/officeDocument/2006/relationships/hyperlink" Target="KRT/Q4_March_2026_Detailed_Valuation_Report.pdf" TargetMode="External" Id="rId96"/><Relationship Type="http://schemas.openxmlformats.org/officeDocument/2006/relationships/hyperlink" Target="KRT/Q4_March_2026_Detailed_Valuation_Report.pdf" TargetMode="External" Id="rId97"/><Relationship Type="http://schemas.openxmlformats.org/officeDocument/2006/relationships/hyperlink" Target="KRT/Q4_March_2026_Detailed_Valuation_Report.pdf" TargetMode="External" Id="rId98"/><Relationship Type="http://schemas.openxmlformats.org/officeDocument/2006/relationships/hyperlink" Target="KRT/Q4_March_2026_Detailed_Valuation_Report.pdf" TargetMode="External" Id="rId99"/><Relationship Type="http://schemas.openxmlformats.org/officeDocument/2006/relationships/hyperlink" Target="Bagmane/Final_Offer_Document%20%28RHP%29.pdf" TargetMode="External" Id="rId100"/><Relationship Type="http://schemas.openxmlformats.org/officeDocument/2006/relationships/hyperlink" Target="Bagmane/Final_Offer_Document%20%28RHP%29.pdf" TargetMode="External" Id="rId101"/><Relationship Type="http://schemas.openxmlformats.org/officeDocument/2006/relationships/hyperlink" Target="Bagmane/Final_Offer_Document%20%28RHP%29.pdf" TargetMode="External" Id="rId102"/><Relationship Type="http://schemas.openxmlformats.org/officeDocument/2006/relationships/hyperlink" Target="Bagmane/Final_Offer_Document%20%28RHP%29.pdf" TargetMode="External" Id="rId103"/><Relationship Type="http://schemas.openxmlformats.org/officeDocument/2006/relationships/hyperlink" Target="Bagmane/Final_Offer_Document%20%28RHP%29.pdf" TargetMode="External" Id="rId104"/><Relationship Type="http://schemas.openxmlformats.org/officeDocument/2006/relationships/hyperlink" Target="Bagmane/Final_Offer_Document%20%28RHP%29.pdf" TargetMode="External" Id="rId105"/><Relationship Type="http://schemas.openxmlformats.org/officeDocument/2006/relationships/hyperlink" Target="Bagmane/Final_Offer_Document%20%28RHP%29.pdf" TargetMode="External" Id="rId106"/><Relationship Type="http://schemas.openxmlformats.org/officeDocument/2006/relationships/hyperlink" Target="Bagmane/Final_Offer_Document%20%28RHP%29.pdf" TargetMode="External" Id="rId107"/><Relationship Type="http://schemas.openxmlformats.org/officeDocument/2006/relationships/hyperlink" Target="Bagmane/Final_Offer_Document%20%28RHP%29.pdf" TargetMode="External" Id="rId10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Embassy/eop_reit_valuation_report_march_2026.pdf" TargetMode="External" Id="rId1"/><Relationship Type="http://schemas.openxmlformats.org/officeDocument/2006/relationships/hyperlink" Target="Embassy/eop_reit_valuation_report_march_2026.pdf" TargetMode="External" Id="rId2"/><Relationship Type="http://schemas.openxmlformats.org/officeDocument/2006/relationships/hyperlink" Target="Embassy/eop_reit_valuation_report_march_2026.pdf" TargetMode="External" Id="rId3"/><Relationship Type="http://schemas.openxmlformats.org/officeDocument/2006/relationships/hyperlink" Target="Embassy/eop_reit_valuation_report_march_2026.pdf" TargetMode="External" Id="rId4"/><Relationship Type="http://schemas.openxmlformats.org/officeDocument/2006/relationships/hyperlink" Target="Embassy/eop_reit_valuation_report_march_2026.pdf" TargetMode="External" Id="rId5"/><Relationship Type="http://schemas.openxmlformats.org/officeDocument/2006/relationships/hyperlink" Target="Embassy/eop_reit_valuation_report_march_2026.pdf" TargetMode="External" Id="rId6"/><Relationship Type="http://schemas.openxmlformats.org/officeDocument/2006/relationships/hyperlink" Target="Embassy/eop_reit_valuation_report_march_2026.pdf" TargetMode="External" Id="rId7"/><Relationship Type="http://schemas.openxmlformats.org/officeDocument/2006/relationships/hyperlink" Target="Embassy/eop_reit_valuation_report_march_2026.pdf" TargetMode="External" Id="rId8"/><Relationship Type="http://schemas.openxmlformats.org/officeDocument/2006/relationships/hyperlink" Target="Embassy/eop_reit_valuation_report_march_2026.pdf" TargetMode="External" Id="rId9"/><Relationship Type="http://schemas.openxmlformats.org/officeDocument/2006/relationships/hyperlink" Target="Embassy/eop_reit_valuation_report_march_2026.pdf" TargetMode="External" Id="rId10"/><Relationship Type="http://schemas.openxmlformats.org/officeDocument/2006/relationships/hyperlink" Target="Embassy/eop_reit_valuation_report_march_2026.pdf" TargetMode="External" Id="rId11"/><Relationship Type="http://schemas.openxmlformats.org/officeDocument/2006/relationships/hyperlink" Target="Embassy/eop_reit_valuation_report_march_2026.pdf" TargetMode="External" Id="rId12"/><Relationship Type="http://schemas.openxmlformats.org/officeDocument/2006/relationships/hyperlink" Target="Embassy/eop_reit_valuation_report_march_2026.pdf" TargetMode="External" Id="rId13"/><Relationship Type="http://schemas.openxmlformats.org/officeDocument/2006/relationships/hyperlink" Target="Embassy/eop_reit_valuation_report_march_2026.pdf" TargetMode="External" Id="rId14"/><Relationship Type="http://schemas.openxmlformats.org/officeDocument/2006/relationships/hyperlink" Target="Embassy/eop_reit_valuation_report_march_2026.pdf" TargetMode="External" Id="rId15"/><Relationship Type="http://schemas.openxmlformats.org/officeDocument/2006/relationships/hyperlink" Target="Embassy/eop_reit_valuation_report_march_2026.pdf" TargetMode="External" Id="rId16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MindSpace/Valuation-Report-q4FY26.pdf" TargetMode="External" Id="rId1"/><Relationship Type="http://schemas.openxmlformats.org/officeDocument/2006/relationships/hyperlink" Target="MindSpace/Valuation-Report-q4FY26.pdf" TargetMode="External" Id="rId2"/><Relationship Type="http://schemas.openxmlformats.org/officeDocument/2006/relationships/hyperlink" Target="MindSpace/Valuation-Report-q4FY26.pdf" TargetMode="External" Id="rId3"/><Relationship Type="http://schemas.openxmlformats.org/officeDocument/2006/relationships/hyperlink" Target="MindSpace/Valuation-Report-q4FY26.pdf" TargetMode="External" Id="rId4"/><Relationship Type="http://schemas.openxmlformats.org/officeDocument/2006/relationships/hyperlink" Target="MindSpace/Valuation-Report-q4FY26.pdf" TargetMode="External" Id="rId5"/><Relationship Type="http://schemas.openxmlformats.org/officeDocument/2006/relationships/hyperlink" Target="MindSpace/Valuation-Report-q4FY26.pdf" TargetMode="External" Id="rId6"/><Relationship Type="http://schemas.openxmlformats.org/officeDocument/2006/relationships/hyperlink" Target="MindSpace/Valuation-Report-q4FY26.pdf" TargetMode="External" Id="rId7"/><Relationship Type="http://schemas.openxmlformats.org/officeDocument/2006/relationships/hyperlink" Target="MindSpace/Valuation-Report-q4FY26.pdf" TargetMode="External" Id="rId8"/><Relationship Type="http://schemas.openxmlformats.org/officeDocument/2006/relationships/hyperlink" Target="MindSpace/Valuation-Report-q4FY26.pdf" TargetMode="External" Id="rId9"/><Relationship Type="http://schemas.openxmlformats.org/officeDocument/2006/relationships/hyperlink" Target="MindSpace/Valuation-Report-q4FY26.pdf" TargetMode="External" Id="rId10"/><Relationship Type="http://schemas.openxmlformats.org/officeDocument/2006/relationships/hyperlink" Target="MindSpace/Valuation-Report-q4FY26.pdf" TargetMode="External" Id="rId11"/><Relationship Type="http://schemas.openxmlformats.org/officeDocument/2006/relationships/hyperlink" Target="MindSpace/Valuation-Report-q4FY26.pdf" TargetMode="External" Id="rId12"/><Relationship Type="http://schemas.openxmlformats.org/officeDocument/2006/relationships/hyperlink" Target="MindSpace/Valuation-Report-q4FY26.pdf" TargetMode="External" Id="rId13"/><Relationship Type="http://schemas.openxmlformats.org/officeDocument/2006/relationships/hyperlink" Target="MindSpace/Valuation-Report-q4FY26.pdf" TargetMode="External" Id="rId14"/><Relationship Type="http://schemas.openxmlformats.org/officeDocument/2006/relationships/hyperlink" Target="MindSpace/Valuation-Report-q4FY26.pdf" TargetMode="External" Id="rId15"/><Relationship Type="http://schemas.openxmlformats.org/officeDocument/2006/relationships/hyperlink" Target="MindSpace/Valuation-Report-q4FY26.pdf" TargetMode="External" Id="rId16"/><Relationship Type="http://schemas.openxmlformats.org/officeDocument/2006/relationships/hyperlink" Target="MindSpace/Valuation-Report-q4FY26.pdf" TargetMode="External" Id="rId17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Brookfield/Summary_Valuation_Report_FY_2026_8284e7236d.pdf" TargetMode="External" Id="rId1"/><Relationship Type="http://schemas.openxmlformats.org/officeDocument/2006/relationships/hyperlink" Target="Brookfield/Summary_Valuation_Report_FY_2026_8284e7236d.pdf" TargetMode="External" Id="rId2"/><Relationship Type="http://schemas.openxmlformats.org/officeDocument/2006/relationships/hyperlink" Target="Brookfield/Summary_Valuation_Report_FY_2026_8284e7236d.pdf" TargetMode="External" Id="rId3"/><Relationship Type="http://schemas.openxmlformats.org/officeDocument/2006/relationships/hyperlink" Target="Brookfield/Summary_Valuation_Report_FY_2026_8284e7236d.pdf" TargetMode="External" Id="rId4"/><Relationship Type="http://schemas.openxmlformats.org/officeDocument/2006/relationships/hyperlink" Target="Brookfield/Summary_Valuation_Report_FY_2026_8284e7236d.pdf" TargetMode="External" Id="rId5"/><Relationship Type="http://schemas.openxmlformats.org/officeDocument/2006/relationships/hyperlink" Target="Brookfield/Summary_Valuation_Report_FY_2026_8284e7236d.pdf" TargetMode="External" Id="rId6"/><Relationship Type="http://schemas.openxmlformats.org/officeDocument/2006/relationships/hyperlink" Target="Brookfield/Summary_Valuation_Report_FY_2026_8284e7236d.pdf" TargetMode="External" Id="rId7"/><Relationship Type="http://schemas.openxmlformats.org/officeDocument/2006/relationships/hyperlink" Target="Brookfield/Summary_Valuation_Report_FY_2026_8284e7236d.pdf" TargetMode="External" Id="rId8"/><Relationship Type="http://schemas.openxmlformats.org/officeDocument/2006/relationships/hyperlink" Target="Brookfield/Summary_Valuation_Report_FY_2026_8284e7236d.pdf" TargetMode="External" Id="rId9"/><Relationship Type="http://schemas.openxmlformats.org/officeDocument/2006/relationships/hyperlink" Target="Brookfield/Summary_Valuation_Report_FY_2026_8284e7236d.pdf" TargetMode="External" Id="rId10"/><Relationship Type="http://schemas.openxmlformats.org/officeDocument/2006/relationships/hyperlink" Target="Brookfield/Summary_Valuation_Report_FY_2026_8284e7236d.pdf" TargetMode="External" Id="rId11"/><Relationship Type="http://schemas.openxmlformats.org/officeDocument/2006/relationships/hyperlink" Target="Brookfield/Summary_Valuation_Report_FY_2026_8284e7236d.pdf" TargetMode="External" Id="rId12"/><Relationship Type="http://schemas.openxmlformats.org/officeDocument/2006/relationships/hyperlink" Target="Brookfield/Summary_Valuation_Report_FY_2026_8284e7236d.pdf" TargetMode="External" Id="rId13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Nexus/Detailed-Valuation-Report-Q4-FY26.pdf" TargetMode="External" Id="rId1"/><Relationship Type="http://schemas.openxmlformats.org/officeDocument/2006/relationships/hyperlink" Target="Nexus/Detailed-Valuation-Report-Q4-FY26.pdf" TargetMode="External" Id="rId2"/><Relationship Type="http://schemas.openxmlformats.org/officeDocument/2006/relationships/hyperlink" Target="Nexus/Detailed-Valuation-Report-Q4-FY26.pdf" TargetMode="External" Id="rId3"/><Relationship Type="http://schemas.openxmlformats.org/officeDocument/2006/relationships/hyperlink" Target="Nexus/Detailed-Valuation-Report-Q4-FY26.pdf" TargetMode="External" Id="rId4"/><Relationship Type="http://schemas.openxmlformats.org/officeDocument/2006/relationships/hyperlink" Target="Nexus/Detailed-Valuation-Report-Q4-FY26.pdf" TargetMode="External" Id="rId5"/><Relationship Type="http://schemas.openxmlformats.org/officeDocument/2006/relationships/hyperlink" Target="Nexus/Detailed-Valuation-Report-Q4-FY26.pdf" TargetMode="External" Id="rId6"/><Relationship Type="http://schemas.openxmlformats.org/officeDocument/2006/relationships/hyperlink" Target="Nexus/Detailed-Valuation-Report-Q4-FY26.pdf" TargetMode="External" Id="rId7"/><Relationship Type="http://schemas.openxmlformats.org/officeDocument/2006/relationships/hyperlink" Target="Nexus/Detailed-Valuation-Report-Q4-FY26.pdf" TargetMode="External" Id="rId8"/><Relationship Type="http://schemas.openxmlformats.org/officeDocument/2006/relationships/hyperlink" Target="Nexus/Detailed-Valuation-Report-Q4-FY26.pdf" TargetMode="External" Id="rId9"/><Relationship Type="http://schemas.openxmlformats.org/officeDocument/2006/relationships/hyperlink" Target="Nexus/Detailed-Valuation-Report-Q4-FY26.pdf" TargetMode="External" Id="rId10"/><Relationship Type="http://schemas.openxmlformats.org/officeDocument/2006/relationships/hyperlink" Target="Nexus/Detailed-Valuation-Report-Q4-FY26.pdf" TargetMode="External" Id="rId11"/><Relationship Type="http://schemas.openxmlformats.org/officeDocument/2006/relationships/hyperlink" Target="Nexus/Detailed-Valuation-Report-Q4-FY26.pdf" TargetMode="External" Id="rId12"/><Relationship Type="http://schemas.openxmlformats.org/officeDocument/2006/relationships/hyperlink" Target="Nexus/Detailed-Valuation-Report-Q4-FY26.pdf" TargetMode="External" Id="rId13"/><Relationship Type="http://schemas.openxmlformats.org/officeDocument/2006/relationships/hyperlink" Target="Nexus/Detailed-Valuation-Report-Q4-FY26.pdf" TargetMode="External" Id="rId14"/><Relationship Type="http://schemas.openxmlformats.org/officeDocument/2006/relationships/hyperlink" Target="Nexus/Detailed-Valuation-Report-Q4-FY26.pdf" TargetMode="External" Id="rId15"/><Relationship Type="http://schemas.openxmlformats.org/officeDocument/2006/relationships/hyperlink" Target="Nexus/Detailed-Valuation-Report-Q4-FY26.pdf" TargetMode="External" Id="rId16"/><Relationship Type="http://schemas.openxmlformats.org/officeDocument/2006/relationships/hyperlink" Target="Nexus/Detailed-Valuation-Report-Q4-FY26.pdf" TargetMode="External" Id="rId17"/><Relationship Type="http://schemas.openxmlformats.org/officeDocument/2006/relationships/hyperlink" Target="Nexus/Detailed-Valuation-Report-Q4-FY26.pdf" TargetMode="External" Id="rId18"/><Relationship Type="http://schemas.openxmlformats.org/officeDocument/2006/relationships/hyperlink" Target="Nexus/Detailed-Valuation-Report-Q4-FY26.pdf" TargetMode="External" Id="rId19"/><Relationship Type="http://schemas.openxmlformats.org/officeDocument/2006/relationships/hyperlink" Target="Nexus/Detailed-Valuation-Report-Q4-FY26.pdf" TargetMode="External" Id="rId20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KRT/Q4_March_2026_Detailed_Valuation_Report.pdf" TargetMode="External" Id="rId1"/><Relationship Type="http://schemas.openxmlformats.org/officeDocument/2006/relationships/hyperlink" Target="KRT/Q4_March_2026_Detailed_Valuation_Report.pdf" TargetMode="External" Id="rId2"/><Relationship Type="http://schemas.openxmlformats.org/officeDocument/2006/relationships/hyperlink" Target="KRT/Q4_March_2026_Detailed_Valuation_Report.pdf" TargetMode="External" Id="rId3"/><Relationship Type="http://schemas.openxmlformats.org/officeDocument/2006/relationships/hyperlink" Target="KRT/Q4_March_2026_Detailed_Valuation_Report.pdf" TargetMode="External" Id="rId4"/><Relationship Type="http://schemas.openxmlformats.org/officeDocument/2006/relationships/hyperlink" Target="KRT/Q4_March_2026_Detailed_Valuation_Report.pdf" TargetMode="External" Id="rId5"/><Relationship Type="http://schemas.openxmlformats.org/officeDocument/2006/relationships/hyperlink" Target="KRT/Q4_March_2026_Detailed_Valuation_Report.pdf" TargetMode="External" Id="rId6"/><Relationship Type="http://schemas.openxmlformats.org/officeDocument/2006/relationships/hyperlink" Target="KRT/Q4_March_2026_Detailed_Valuation_Report.pdf" TargetMode="External" Id="rId7"/><Relationship Type="http://schemas.openxmlformats.org/officeDocument/2006/relationships/hyperlink" Target="KRT/Q4_March_2026_Detailed_Valuation_Report.pdf" TargetMode="External" Id="rId8"/><Relationship Type="http://schemas.openxmlformats.org/officeDocument/2006/relationships/hyperlink" Target="KRT/Q4_March_2026_Detailed_Valuation_Report.pdf" TargetMode="External" Id="rId9"/><Relationship Type="http://schemas.openxmlformats.org/officeDocument/2006/relationships/hyperlink" Target="KRT/Q4_March_2026_Detailed_Valuation_Report.pdf" TargetMode="External" Id="rId10"/><Relationship Type="http://schemas.openxmlformats.org/officeDocument/2006/relationships/hyperlink" Target="KRT/Q4_March_2026_Detailed_Valuation_Report.pdf" TargetMode="External" Id="rId11"/><Relationship Type="http://schemas.openxmlformats.org/officeDocument/2006/relationships/hyperlink" Target="KRT/Q4_March_2026_Detailed_Valuation_Report.pdf" TargetMode="External" Id="rId12"/><Relationship Type="http://schemas.openxmlformats.org/officeDocument/2006/relationships/hyperlink" Target="KRT/Q4_March_2026_Detailed_Valuation_Report.pdf" TargetMode="External" Id="rId13"/><Relationship Type="http://schemas.openxmlformats.org/officeDocument/2006/relationships/hyperlink" Target="KRT/Q4_March_2026_Detailed_Valuation_Report.pdf" TargetMode="External" Id="rId14"/><Relationship Type="http://schemas.openxmlformats.org/officeDocument/2006/relationships/hyperlink" Target="KRT/Q4_March_2026_Detailed_Valuation_Report.pdf" TargetMode="External" Id="rId15"/><Relationship Type="http://schemas.openxmlformats.org/officeDocument/2006/relationships/hyperlink" Target="KRT/Q4_March_2026_Detailed_Valuation_Report.pdf" TargetMode="External" Id="rId16"/><Relationship Type="http://schemas.openxmlformats.org/officeDocument/2006/relationships/hyperlink" Target="KRT/Q4_March_2026_Detailed_Valuation_Report.pdf" TargetMode="External" Id="rId17"/><Relationship Type="http://schemas.openxmlformats.org/officeDocument/2006/relationships/hyperlink" Target="KRT/Q4_March_2026_Detailed_Valuation_Report.pdf" TargetMode="External" Id="rId18"/><Relationship Type="http://schemas.openxmlformats.org/officeDocument/2006/relationships/hyperlink" Target="KRT/Q4_March_2026_Detailed_Valuation_Report.pdf" TargetMode="External" Id="rId19"/><Relationship Type="http://schemas.openxmlformats.org/officeDocument/2006/relationships/hyperlink" Target="KRT/Q4_March_2026_Detailed_Valuation_Report.pdf" TargetMode="External" Id="rId20"/><Relationship Type="http://schemas.openxmlformats.org/officeDocument/2006/relationships/hyperlink" Target="KRT/Q4_March_2026_Detailed_Valuation_Report.pdf" TargetMode="External" Id="rId21"/><Relationship Type="http://schemas.openxmlformats.org/officeDocument/2006/relationships/hyperlink" Target="KRT/Q4_March_2026_Detailed_Valuation_Report.pdf" TargetMode="External" Id="rId22"/><Relationship Type="http://schemas.openxmlformats.org/officeDocument/2006/relationships/hyperlink" Target="KRT/Q4_March_2026_Detailed_Valuation_Report.pdf" TargetMode="External" Id="rId23"/><Relationship Type="http://schemas.openxmlformats.org/officeDocument/2006/relationships/hyperlink" Target="KRT/Q4_March_2026_Detailed_Valuation_Report.pdf" TargetMode="External" Id="rId24"/><Relationship Type="http://schemas.openxmlformats.org/officeDocument/2006/relationships/hyperlink" Target="KRT/Q4_March_2026_Detailed_Valuation_Report.pdf" TargetMode="External" Id="rId25"/><Relationship Type="http://schemas.openxmlformats.org/officeDocument/2006/relationships/hyperlink" Target="KRT/Q4_March_2026_Detailed_Valuation_Report.pdf" TargetMode="External" Id="rId26"/><Relationship Type="http://schemas.openxmlformats.org/officeDocument/2006/relationships/hyperlink" Target="KRT/Q4_March_2026_Detailed_Valuation_Report.pdf" TargetMode="External" Id="rId27"/><Relationship Type="http://schemas.openxmlformats.org/officeDocument/2006/relationships/hyperlink" Target="KRT/Q4_March_2026_Detailed_Valuation_Report.pdf" TargetMode="External" Id="rId28"/><Relationship Type="http://schemas.openxmlformats.org/officeDocument/2006/relationships/hyperlink" Target="KRT/Q4_March_2026_Detailed_Valuation_Report.pdf" TargetMode="External" Id="rId29"/><Relationship Type="http://schemas.openxmlformats.org/officeDocument/2006/relationships/hyperlink" Target="KRT/Q4_March_2026_Detailed_Valuation_Report.pdf" TargetMode="External" Id="rId30"/><Relationship Type="http://schemas.openxmlformats.org/officeDocument/2006/relationships/hyperlink" Target="KRT/Q4_March_2026_Detailed_Valuation_Report.pdf" TargetMode="External" Id="rId31"/><Relationship Type="http://schemas.openxmlformats.org/officeDocument/2006/relationships/hyperlink" Target="KRT/Q4_March_2026_Detailed_Valuation_Report.pdf" TargetMode="External" Id="rId32"/><Relationship Type="http://schemas.openxmlformats.org/officeDocument/2006/relationships/hyperlink" Target="KRT/Q4_March_2026_Detailed_Valuation_Report.pdf" TargetMode="External" Id="rId33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Bagmane/Final_Offer_Document%20%28RHP%29.pdf" TargetMode="External" Id="rId1"/><Relationship Type="http://schemas.openxmlformats.org/officeDocument/2006/relationships/hyperlink" Target="Bagmane/Final_Offer_Document%20%28RHP%29.pdf" TargetMode="External" Id="rId2"/><Relationship Type="http://schemas.openxmlformats.org/officeDocument/2006/relationships/hyperlink" Target="Bagmane/Final_Offer_Document%20%28RHP%29.pdf" TargetMode="External" Id="rId3"/><Relationship Type="http://schemas.openxmlformats.org/officeDocument/2006/relationships/hyperlink" Target="Bagmane/Final_Offer_Document%20%28RHP%29.pdf" TargetMode="External" Id="rId4"/><Relationship Type="http://schemas.openxmlformats.org/officeDocument/2006/relationships/hyperlink" Target="Bagmane/Final_Offer_Document%20%28RHP%29.pdf" TargetMode="External" Id="rId5"/><Relationship Type="http://schemas.openxmlformats.org/officeDocument/2006/relationships/hyperlink" Target="Bagmane/Final_Offer_Document%20%28RHP%29.pdf" TargetMode="External" Id="rId6"/><Relationship Type="http://schemas.openxmlformats.org/officeDocument/2006/relationships/hyperlink" Target="Bagmane/Final_Offer_Document%20%28RHP%29.pdf" TargetMode="External" Id="rId7"/><Relationship Type="http://schemas.openxmlformats.org/officeDocument/2006/relationships/hyperlink" Target="Bagmane/Final_Offer_Document%20%28RHP%29.pdf" TargetMode="External" Id="rId8"/><Relationship Type="http://schemas.openxmlformats.org/officeDocument/2006/relationships/hyperlink" Target="Bagmane/Final_Offer_Document%20%28RHP%29.pdf" TargetMode="External" Id="rId9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1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101" activePane="bottomRight" state="frozen"/>
      <selection pane="topLeft" activeCell="A1" activeCellId="0" sqref="A1"/>
      <selection pane="topRight" activeCell="D1" activeCellId="0" sqref="D1"/>
      <selection pane="bottomLeft" activeCell="A101" activeCellId="0" sqref="A101"/>
      <selection pane="bottomRight" activeCell="H110" activeCellId="0" sqref="H110"/>
    </sheetView>
  </sheetViews>
  <sheetFormatPr baseColWidth="8" defaultColWidth="8.60546875" defaultRowHeight="15" customHeight="0" zeroHeight="0" outlineLevelRow="0"/>
  <cols>
    <col width="10" customWidth="1" style="17" min="1" max="1"/>
    <col width="30" customWidth="1" style="17" min="2" max="2"/>
    <col width="26" customWidth="1" style="17" min="3" max="3"/>
    <col width="9" customWidth="1" style="17" min="4" max="4"/>
    <col width="13" customWidth="1" style="17" min="5" max="5"/>
    <col width="22" customWidth="1" style="17" min="6" max="6"/>
    <col width="24" customWidth="1" style="17" min="7" max="7"/>
    <col width="30" customWidth="1" style="17" min="8" max="8"/>
    <col width="12" customWidth="1" style="17" min="9" max="9"/>
    <col width="11" customWidth="1" style="17" min="10" max="11"/>
    <col width="10" customWidth="1" style="17" min="12" max="13"/>
    <col width="12" customWidth="1" style="17" min="14" max="15"/>
    <col width="11" customWidth="1" style="17" min="16" max="16"/>
    <col width="9" customWidth="1" style="17" min="17" max="17"/>
    <col width="8" customWidth="1" style="17" min="18" max="19"/>
    <col width="9" customWidth="1" style="17" min="20" max="20"/>
    <col width="13" customWidth="1" style="17" min="21" max="21"/>
    <col width="12" customWidth="1" style="17" min="22" max="22"/>
    <col width="30" customWidth="1" style="17" min="23" max="23"/>
    <col width="26" customWidth="1" style="17" min="24" max="24"/>
    <col width="46" customWidth="1" style="17" min="25" max="25"/>
  </cols>
  <sheetData>
    <row r="1" ht="30" customHeight="1" s="18">
      <c r="A1" s="19" t="inlineStr">
        <is>
          <t>REIT</t>
        </is>
      </c>
      <c r="B1" s="19" t="inlineStr">
        <is>
          <t>SPV / Holding entity</t>
        </is>
      </c>
      <c r="C1" s="19" t="inlineStr">
        <is>
          <t>Property / Asset</t>
        </is>
      </c>
      <c r="D1" s="19" t="inlineStr">
        <is>
          <t>Type</t>
        </is>
      </c>
      <c r="E1" s="19" t="inlineStr">
        <is>
          <t>City</t>
        </is>
      </c>
      <c r="F1" s="19" t="inlineStr">
        <is>
          <t>Locality / Area</t>
        </is>
      </c>
      <c r="G1" s="19" t="inlineStr">
        <is>
          <t>Micro-market (valuer)</t>
        </is>
      </c>
      <c r="H1" s="19" t="inlineStr">
        <is>
          <t>Address</t>
        </is>
      </c>
      <c r="I1" s="19" t="inlineStr">
        <is>
          <t>Leasable (sq ft)</t>
        </is>
      </c>
      <c r="J1" s="19" t="inlineStr">
        <is>
          <t>Leasable (msf)</t>
        </is>
      </c>
      <c r="K1" s="19" t="inlineStr">
        <is>
          <t>Completed (msf)</t>
        </is>
      </c>
      <c r="L1" s="19" t="inlineStr">
        <is>
          <t>Committed occ.</t>
        </is>
      </c>
      <c r="M1" s="19" t="inlineStr">
        <is>
          <t>In-place occ.</t>
        </is>
      </c>
      <c r="N1" s="19" t="inlineStr">
        <is>
          <t>Market rent /sqft/mo</t>
        </is>
      </c>
      <c r="O1" s="19" t="inlineStr">
        <is>
          <t>In-place rent /sqft/mo</t>
        </is>
      </c>
      <c r="P1" s="19" t="inlineStr">
        <is>
          <t>Rent reversion</t>
        </is>
      </c>
      <c r="Q1" s="19" t="inlineStr">
        <is>
          <t>WALE (yrs)</t>
        </is>
      </c>
      <c r="R1" s="19" t="inlineStr">
        <is>
          <t>Tenants</t>
        </is>
      </c>
      <c r="S1" s="19" t="inlineStr">
        <is>
          <t>Cap rate</t>
        </is>
      </c>
      <c r="T1" s="19" t="inlineStr">
        <is>
          <t>Discount rate</t>
        </is>
      </c>
      <c r="U1" s="19" t="inlineStr">
        <is>
          <t>Market value (INR cr)</t>
        </is>
      </c>
      <c r="V1" s="19" t="inlineStr">
        <is>
          <t>Value/sqft (INR)</t>
        </is>
      </c>
      <c r="W1" s="19" t="inlineStr">
        <is>
          <t>Mgmt fee (valuation DCF)</t>
        </is>
      </c>
      <c r="X1" s="19" t="inlineStr">
        <is>
          <t>Insurance (valuation DCF)</t>
        </is>
      </c>
      <c r="Y1" s="19" t="inlineStr">
        <is>
          <t>Notes / source</t>
        </is>
      </c>
    </row>
    <row r="2" ht="97.3" customHeight="1" s="18">
      <c r="A2" s="20" t="inlineStr">
        <is>
          <t>Embassy</t>
        </is>
      </c>
      <c r="B2" s="21" t="inlineStr">
        <is>
          <t>Manyata Promoters Private Limited (MPPL)</t>
        </is>
      </c>
      <c r="C2" s="22" t="inlineStr">
        <is>
          <t>Embassy Manyata</t>
        </is>
      </c>
      <c r="D2" s="20" t="inlineStr">
        <is>
          <t>Office</t>
        </is>
      </c>
      <c r="E2" s="20" t="inlineStr">
        <is>
          <t>Bengaluru</t>
        </is>
      </c>
      <c r="F2" s="21" t="inlineStr">
        <is>
          <t>Nagawara / Hebbal</t>
        </is>
      </c>
      <c r="G2" s="21" t="inlineStr">
        <is>
          <t>Peripheral North (Outer Ring Road / Hebbal stretch)</t>
        </is>
      </c>
      <c r="H2" s="23" t="inlineStr">
        <is>
          <t>Along Outer Ring Road, Nagawara, Bengaluru, Karnataka; land approx. 119.15 acres</t>
        </is>
      </c>
      <c r="I2" s="24" t="n">
        <v>17200000</v>
      </c>
      <c r="J2" s="25" t="n">
        <v>17.2</v>
      </c>
      <c r="K2" s="25" t="n">
        <v>14.6</v>
      </c>
      <c r="L2" s="26" t="n"/>
      <c r="M2" s="26" t="n">
        <v>0.9399999999999999</v>
      </c>
      <c r="N2" s="25" t="n">
        <v>105</v>
      </c>
      <c r="O2" s="25" t="n">
        <v>95</v>
      </c>
      <c r="P2" s="26">
        <f>IF(OR(N2="",O2="",O2=0),"",N2/O2-1)</f>
        <v/>
      </c>
      <c r="Q2" s="25" t="n">
        <v>8.800000000000001</v>
      </c>
      <c r="R2" s="24" t="n"/>
      <c r="S2" s="26" t="n">
        <v>0.08</v>
      </c>
      <c r="T2" s="26" t="n">
        <v>0.12</v>
      </c>
      <c r="U2" s="27" t="n">
        <v>27868.9</v>
      </c>
      <c r="V2" s="27">
        <f>IF(OR(U2="",I2="",I2=0),"",U2*10000000/I2)</f>
        <v/>
      </c>
      <c r="W2" s="23" t="inlineStr">
        <is>
          <t>Property Management Fees = 3% of Total Income (lease rentals, parking, fitout, other operating income)</t>
        </is>
      </c>
      <c r="X2" s="23" t="inlineStr">
        <is>
          <t>INR 0.3/sqft/mo; property tax &amp; insurance escalated 3% p.a.</t>
        </is>
      </c>
      <c r="Y2" s="23" t="inlineStr">
        <is>
          <t>Mixed-use: completed office 14.6 msf + UC/proposed office 2.6 msf + Hotel (5-star 266 keys, 3-star 353 keys). Value split: completed 242,591 + UC/proposed 17,026 + hotel 19,072. Cap rate 8% office/retail, 7.14% hospitality; discount rate 11.5% operational office, 12.75% UC, 11.90% hospitality (reported field uses office cap 8% / operational discount ~11.5-12.75, rounded to 12). Retail mkt rent 105, anchor 94.5. Blocks M3A/M3B on leasehold land from EPDPL. Source lines ~9433-10476, value summary L4237.</t>
        </is>
      </c>
    </row>
    <row r="3" ht="76" customHeight="1" s="18">
      <c r="A3" s="20" t="inlineStr">
        <is>
          <t>Embassy</t>
        </is>
      </c>
      <c r="B3" s="21" t="inlineStr">
        <is>
          <t>Vikas Telecom Private Limited (VTPL) &amp; Sarla Infrastructure Private Limited (SIPL)</t>
        </is>
      </c>
      <c r="C3" s="22" t="inlineStr">
        <is>
          <t>Embassy TechVillage</t>
        </is>
      </c>
      <c r="D3" s="20" t="inlineStr">
        <is>
          <t>Office</t>
        </is>
      </c>
      <c r="E3" s="20" t="inlineStr">
        <is>
          <t>Bengaluru</t>
        </is>
      </c>
      <c r="F3" s="21" t="inlineStr">
        <is>
          <t>Bellandur</t>
        </is>
      </c>
      <c r="G3" s="21" t="inlineStr">
        <is>
          <t>Outer Ring Road (Sarjapura-Marathahalli), Bellandur-Marathahalli</t>
        </is>
      </c>
      <c r="H3" s="23" t="inlineStr">
        <is>
          <t>Devarabeesanahalli Village &amp; Kariyamanna Agrahara Village, Varthur Hobli, Bengaluru East Taluk, Karnataka; land approx. 84.05 acres under purview</t>
        </is>
      </c>
      <c r="I3" s="24" t="n">
        <v>9700000</v>
      </c>
      <c r="J3" s="25" t="n">
        <v>9.699999999999999</v>
      </c>
      <c r="K3" s="25" t="n">
        <v>9.199999999999999</v>
      </c>
      <c r="L3" s="26" t="n"/>
      <c r="M3" s="26" t="n">
        <v>0.95</v>
      </c>
      <c r="N3" s="25" t="n">
        <v>105</v>
      </c>
      <c r="O3" s="25" t="n">
        <v>90</v>
      </c>
      <c r="P3" s="26">
        <f>IF(OR(N3="",O3="",O3=0),"",N3/O3-1)</f>
        <v/>
      </c>
      <c r="Q3" s="25" t="n">
        <v>9.5</v>
      </c>
      <c r="R3" s="24" t="n"/>
      <c r="S3" s="26" t="n">
        <v>0.08</v>
      </c>
      <c r="T3" s="26" t="n">
        <v>0.12</v>
      </c>
      <c r="U3" s="27" t="n">
        <v>16624.6</v>
      </c>
      <c r="V3" s="27">
        <f>IF(OR(U3="",I3="",I3=0),"",U3*10000000/I3)</f>
        <v/>
      </c>
      <c r="W3" s="23" t="inlineStr">
        <is>
          <t>Property Management Fees = 3% of Total Income</t>
        </is>
      </c>
      <c r="X3" s="23" t="inlineStr">
        <is>
          <t>INR 0.21/sqft/mo</t>
        </is>
      </c>
      <c r="Y3" s="23" t="inlineStr">
        <is>
          <t>Mixed-use: completed office 9.2 msf + UC office 0.4 msf + 2 UC hotels (5-star 311 keys, 3-star 207 keys). Value split: completed 153,974 + UC/proposed 4,258 + hotel 8,014. Cap 8% office/retail, 7.14% hospitality; discount 11.5% operational, 12.75% UC office, 13.25% UC hotel. Retail mkt rent 90. SIPL portion (1.2 msf, Block 9) BTS to JP Morgan. Source lines ~10477-11428.</t>
        </is>
      </c>
    </row>
    <row r="4" ht="108" customHeight="1" s="18">
      <c r="A4" s="20" t="inlineStr">
        <is>
          <t>Embassy</t>
        </is>
      </c>
      <c r="B4" s="21" t="inlineStr">
        <is>
          <t>GolfLinks Software Park Private Limited (GLSP, 50% JV) + Eleanor Realty Holdings India Private Limited (ERHIPL, Pinehurst 100%)</t>
        </is>
      </c>
      <c r="C4" s="22" t="inlineStr">
        <is>
          <t>Embassy GolfLinks (incl. Pinehurst)</t>
        </is>
      </c>
      <c r="D4" s="20" t="inlineStr">
        <is>
          <t>Office</t>
        </is>
      </c>
      <c r="E4" s="20" t="inlineStr">
        <is>
          <t>Bengaluru</t>
        </is>
      </c>
      <c r="F4" s="21" t="inlineStr">
        <is>
          <t>Domlur</t>
        </is>
      </c>
      <c r="G4" s="21" t="inlineStr">
        <is>
          <t>Suburban East (Intermediate Ring Road, near CBD)</t>
        </is>
      </c>
      <c r="H4" s="23" t="inlineStr">
        <is>
          <t>Challaghatta Village, Varthur Hobli, Mahadevapura, Bengaluru East Taluk 560071; land approx. 37.1 acres</t>
        </is>
      </c>
      <c r="I4" s="24" t="n">
        <v>3400000</v>
      </c>
      <c r="J4" s="25" t="n">
        <v>3.4</v>
      </c>
      <c r="K4" s="25" t="n">
        <v>3.4</v>
      </c>
      <c r="L4" s="26" t="n"/>
      <c r="M4" s="26" t="n">
        <v>1</v>
      </c>
      <c r="N4" s="25" t="n">
        <v>170</v>
      </c>
      <c r="O4" s="25" t="n">
        <v>160</v>
      </c>
      <c r="P4" s="26">
        <f>IF(OR(N4="",O4="",O4=0),"",N4/O4-1)</f>
        <v/>
      </c>
      <c r="Q4" s="25" t="n">
        <v>10</v>
      </c>
      <c r="R4" s="24" t="n"/>
      <c r="S4" s="26" t="n">
        <v>0.08</v>
      </c>
      <c r="T4" s="26" t="n">
        <v>0.12</v>
      </c>
      <c r="U4" s="27" t="n">
        <v>5129.8</v>
      </c>
      <c r="V4" s="27">
        <f>IF(OR(U4="",I4="",I4=0),"",U4*10000000/I4)</f>
        <v/>
      </c>
      <c r="W4" s="23" t="inlineStr">
        <is>
          <t>Property Management Fees = 3% of Total Income (both GolfLinks and Pinehurst)</t>
        </is>
      </c>
      <c r="X4" s="23" t="inlineStr">
        <is>
          <t>GolfLinks INR 0.3/sqft/mo; Pinehurst INR 0.5/sqft/mo</t>
        </is>
      </c>
      <c r="Y4" s="23" t="inlineStr">
        <is>
          <t>100% property value = GolfLinks 84,937 + Pinehurst 8,829 = 93,766; REIT economic interest = 50% of GolfLinks + 100% Pinehurst = 51,298 (this is the share-of-total value shown in the portfolio summary). Cap 7.75% office/retail; discount 11.5% operational. Pinehurst (0.3 msf) acquired via 100% Eleanor Realty stake Q3 FY2026: mkt rent 180, in-place 167 (192 as of 1-Apr-2026). GolfLinks office mkt rent 170, in-place 160; retail mkt rent 55. cap_rate field records 7.75 rounded to 8. Source lines ~11429-12099; summary L4288.</t>
        </is>
      </c>
    </row>
    <row r="5" ht="86.65000000000001" customHeight="1" s="18">
      <c r="A5" s="20" t="inlineStr">
        <is>
          <t>Embassy</t>
        </is>
      </c>
      <c r="B5" s="21" t="inlineStr">
        <is>
          <t>Quadron Business Park Private Limited (QBPL)</t>
        </is>
      </c>
      <c r="C5" s="22" t="inlineStr">
        <is>
          <t>Embassy One</t>
        </is>
      </c>
      <c r="D5" s="20" t="inlineStr">
        <is>
          <t>Office</t>
        </is>
      </c>
      <c r="E5" s="20" t="inlineStr">
        <is>
          <t>Bengaluru</t>
        </is>
      </c>
      <c r="F5" s="21" t="inlineStr">
        <is>
          <t>Bellary Road (Mekhri Circle)</t>
        </is>
      </c>
      <c r="G5" s="21" t="inlineStr">
        <is>
          <t>Peripheral North (between Hebbal and off-CBD)</t>
        </is>
      </c>
      <c r="H5" s="23" t="inlineStr">
        <is>
          <t>Embassy One, Bellary Road, Ganga Nagar, Bengaluru, Karnataka; land approx. 5.6 acres (3.2 acres under valuation scope)</t>
        </is>
      </c>
      <c r="I5" s="24" t="n">
        <v>300000</v>
      </c>
      <c r="J5" s="25" t="n">
        <v>0.3</v>
      </c>
      <c r="K5" s="25" t="n">
        <v>0.3</v>
      </c>
      <c r="L5" s="26" t="n"/>
      <c r="M5" s="26" t="n">
        <v>1</v>
      </c>
      <c r="N5" s="25" t="n">
        <v>151</v>
      </c>
      <c r="O5" s="25" t="n">
        <v>151</v>
      </c>
      <c r="P5" s="26">
        <f>IF(OR(N5="",O5="",O5=0),"",N5/O5-1)</f>
        <v/>
      </c>
      <c r="Q5" s="25" t="n">
        <v>7.6</v>
      </c>
      <c r="R5" s="24" t="n"/>
      <c r="S5" s="26" t="n">
        <v>0.08</v>
      </c>
      <c r="T5" s="26" t="n">
        <v>0.12</v>
      </c>
      <c r="U5" s="27" t="n">
        <v>1572</v>
      </c>
      <c r="V5" s="27">
        <f>IF(OR(U5="",I5="",I5=0),"",U5*10000000/I5)</f>
        <v/>
      </c>
      <c r="W5" s="23" t="inlineStr">
        <is>
          <t>Property Management Fees = 3% of Total Income</t>
        </is>
      </c>
      <c r="X5" s="23" t="inlineStr">
        <is>
          <t>INR 0.4/sqft/mo</t>
        </is>
      </c>
      <c r="Y5" s="23" t="inlineStr">
        <is>
          <t>Mixed-use: completed office 0.3 msf (Pinnacle tower) + Four Seasons hotel 230 keys (5-star). Value split: office 5,902 + hotel 9,818 = 15,720. Cap 7.75% office, 7.14% hospitality (recorded 8, rounded); discount 11.5% operational, 11.90% hospitality. Office mkt rent = in-place 151 (incl. car park). Residential apartments excluded. Vacancy provision 5%. SPV Quadron Business Park Pvt Ltd (same SPV that owns Embassy Quadron Pune). Source lines ~12100-12800.</t>
        </is>
      </c>
    </row>
    <row r="6" ht="97.3" customHeight="1" s="18">
      <c r="A6" s="20" t="inlineStr">
        <is>
          <t>Embassy</t>
        </is>
      </c>
      <c r="B6" s="21" t="inlineStr">
        <is>
          <t>Embassy Construction Private Limited (ECPL)</t>
        </is>
      </c>
      <c r="C6" s="22" t="inlineStr">
        <is>
          <t>Embassy Business Hub</t>
        </is>
      </c>
      <c r="D6" s="20" t="inlineStr">
        <is>
          <t>Office</t>
        </is>
      </c>
      <c r="E6" s="20" t="inlineStr">
        <is>
          <t>Bengaluru</t>
        </is>
      </c>
      <c r="F6" s="21" t="inlineStr">
        <is>
          <t>Yelahanka</t>
        </is>
      </c>
      <c r="G6" s="21" t="inlineStr">
        <is>
          <t>Peripheral North / North Bengaluru (Yelahanka-Devanahalli)</t>
        </is>
      </c>
      <c r="H6" s="23" t="inlineStr">
        <is>
          <t>Sy. No. 25/2, 25/3 &amp; 26, Venkatala Village, Bellary Road (NH-44), Yelahanka, Bengaluru North, Karnataka; JDA land approx. 13 acres</t>
        </is>
      </c>
      <c r="I6" s="24" t="n">
        <v>1400000</v>
      </c>
      <c r="J6" s="25" t="n">
        <v>1.4</v>
      </c>
      <c r="K6" s="25" t="n">
        <v>0.4</v>
      </c>
      <c r="L6" s="26" t="n"/>
      <c r="M6" s="26" t="n"/>
      <c r="N6" s="25" t="n">
        <v>69</v>
      </c>
      <c r="O6" s="25" t="n">
        <v>58</v>
      </c>
      <c r="P6" s="26">
        <f>IF(OR(N6="",O6="",O6=0),"",N6/O6-1)</f>
        <v/>
      </c>
      <c r="Q6" s="25" t="n"/>
      <c r="R6" s="24" t="n">
        <v>1</v>
      </c>
      <c r="S6" s="26" t="n">
        <v>0.08</v>
      </c>
      <c r="T6" s="26" t="n">
        <v>0.12</v>
      </c>
      <c r="U6" s="27" t="n">
        <v>722.4</v>
      </c>
      <c r="V6" s="27">
        <f>IF(OR(U6="",I6="",I6=0),"",U6*10000000/I6)</f>
        <v/>
      </c>
      <c r="W6" s="23" t="inlineStr">
        <is>
          <t>Property Management Fees = 3% of Total Income</t>
        </is>
      </c>
      <c r="X6" s="23" t="inlineStr">
        <is>
          <t>INR 0.25/sqft/mo</t>
        </is>
      </c>
      <c r="Y6" s="23" t="inlineStr">
        <is>
          <t>REIT share (developer share under JDA) approx. 1.4 msf: Phase I completed 0.4 msf (single tenant Philips India, lease to Nov 2038) + Phase II UC 1.0 msf (completion FY2028). Value split: Phase I 4,652 + Phase II UC 2,572 = 7,224. Cap 8%; discount 11.5% Phase I operational, 12.75% Phase II UC. SPV named from consolidated AR/FS (ECPL) - valuation report showed only JDA ownership, no explicit Entity line. Phase II pending dev cost INR 6,569 Mn. Source lines ~12802-13413; AR L1275/7021.</t>
        </is>
      </c>
    </row>
    <row r="7" ht="54.65" customHeight="1" s="18">
      <c r="A7" s="20" t="inlineStr">
        <is>
          <t>Embassy</t>
        </is>
      </c>
      <c r="B7" s="21" t="inlineStr">
        <is>
          <t>Indian Express Newspapers (Mumbai) Private Limited (IENMPL)</t>
        </is>
      </c>
      <c r="C7" s="22" t="inlineStr">
        <is>
          <t>Express Towers</t>
        </is>
      </c>
      <c r="D7" s="20" t="inlineStr">
        <is>
          <t>Office</t>
        </is>
      </c>
      <c r="E7" s="20" t="inlineStr">
        <is>
          <t>Mumbai</t>
        </is>
      </c>
      <c r="F7" s="21" t="inlineStr">
        <is>
          <t>Nariman Point</t>
        </is>
      </c>
      <c r="G7" s="21" t="inlineStr">
        <is>
          <t>South Mumbai CBD (Nariman Point)</t>
        </is>
      </c>
      <c r="H7" s="23" t="inlineStr">
        <is>
          <t>Plot No. 236, Block III of Backbay Reclamation Estate, Barrister Rajni Patel Marg, Nariman Point, Mumbai; land approx. 1.5 acres (freehold)</t>
        </is>
      </c>
      <c r="I7" s="24" t="n">
        <v>500000</v>
      </c>
      <c r="J7" s="25" t="n">
        <v>0.5</v>
      </c>
      <c r="K7" s="25" t="n">
        <v>0.5</v>
      </c>
      <c r="L7" s="26" t="n"/>
      <c r="M7" s="26" t="n">
        <v>1</v>
      </c>
      <c r="N7" s="25" t="n">
        <v>350</v>
      </c>
      <c r="O7" s="25" t="n">
        <v>296</v>
      </c>
      <c r="P7" s="26">
        <f>IF(OR(N7="",O7="",O7=0),"",N7/O7-1)</f>
        <v/>
      </c>
      <c r="Q7" s="25" t="n">
        <v>4</v>
      </c>
      <c r="R7" s="24" t="n"/>
      <c r="S7" s="26" t="n">
        <v>0.08</v>
      </c>
      <c r="T7" s="26" t="n">
        <v>0.12</v>
      </c>
      <c r="U7" s="27" t="n">
        <v>2449.9</v>
      </c>
      <c r="V7" s="27">
        <f>IF(OR(U7="",I7="",I7=0),"",U7*10000000/I7)</f>
        <v/>
      </c>
      <c r="W7" s="23" t="inlineStr">
        <is>
          <t>Property Management Fees = 3% of Total Income</t>
        </is>
      </c>
      <c r="X7" s="23" t="inlineStr">
        <is>
          <t>INR 0.4/sqft/mo</t>
        </is>
      </c>
      <c r="Y7" s="23" t="inlineStr">
        <is>
          <t>Completed office 0.5 msf (= total). Cap 7.5% (recorded 8, rounded); discount 11.5% operational. Office mkt rent revised 300-&gt;350; in-place 296. Age ~56 yrs, LEED Platinum. Acquisition price INR 18,385 Mn (related party). Source lines ~13414-13934.</t>
        </is>
      </c>
    </row>
    <row r="8" ht="54.65" customHeight="1" s="18">
      <c r="A8" s="20" t="inlineStr">
        <is>
          <t>Embassy</t>
        </is>
      </c>
      <c r="B8" s="21" t="inlineStr">
        <is>
          <t>Vikhroli Corporate Park Private Limited (VCPPL)</t>
        </is>
      </c>
      <c r="C8" s="22" t="inlineStr">
        <is>
          <t>Embassy 247</t>
        </is>
      </c>
      <c r="D8" s="20" t="inlineStr">
        <is>
          <t>Office</t>
        </is>
      </c>
      <c r="E8" s="20" t="inlineStr">
        <is>
          <t>Mumbai</t>
        </is>
      </c>
      <c r="F8" s="21" t="inlineStr">
        <is>
          <t>Vikhroli West</t>
        </is>
      </c>
      <c r="G8" s="21" t="inlineStr">
        <is>
          <t>Eastern Suburbs (Vikhroli West)</t>
        </is>
      </c>
      <c r="H8" s="23" t="inlineStr">
        <is>
          <t>Hariyali Village, Kurla Taluka, Lal Bahadur Shastri (LBS) Road, Gandhi Nagar, Vikhroli West, Mumbai; land approx. 7.3 acres (freehold)</t>
        </is>
      </c>
      <c r="I8" s="24" t="n">
        <v>1200000</v>
      </c>
      <c r="J8" s="25" t="n">
        <v>1.2</v>
      </c>
      <c r="K8" s="25" t="n">
        <v>1.2</v>
      </c>
      <c r="L8" s="26" t="n"/>
      <c r="M8" s="26" t="n">
        <v>1</v>
      </c>
      <c r="N8" s="25" t="n">
        <v>135</v>
      </c>
      <c r="O8" s="25" t="n">
        <v>118</v>
      </c>
      <c r="P8" s="26">
        <f>IF(OR(N8="",O8="",O8=0),"",N8/O8-1)</f>
        <v/>
      </c>
      <c r="Q8" s="25" t="n">
        <v>3.1</v>
      </c>
      <c r="R8" s="24" t="n"/>
      <c r="S8" s="26" t="n">
        <v>0.08</v>
      </c>
      <c r="T8" s="26" t="n">
        <v>0.12</v>
      </c>
      <c r="U8" s="27" t="n">
        <v>2243.7</v>
      </c>
      <c r="V8" s="27">
        <f>IF(OR(U8="",I8="",I8=0),"",U8*10000000/I8)</f>
        <v/>
      </c>
      <c r="W8" s="23" t="inlineStr">
        <is>
          <t>Property Management Fees = 3% of Total Income</t>
        </is>
      </c>
      <c r="X8" s="23" t="inlineStr">
        <is>
          <t>INR 0.3/sqft/mo</t>
        </is>
      </c>
      <c r="Y8" s="23" t="inlineStr">
        <is>
          <t>Completed office 1.2 msf (3 towers A/B/C). Cap 8%; discount 11.5% operational. Office mkt rent revised 121-&gt;135; retail mkt rent 250; in-place 118. LEED Platinum. Acquisition price INR 16,727 Mn (related party). Source lines ~13935-14458.</t>
        </is>
      </c>
    </row>
    <row r="9" ht="76" customHeight="1" s="18">
      <c r="A9" s="20" t="inlineStr">
        <is>
          <t>Embassy</t>
        </is>
      </c>
      <c r="B9" s="21" t="inlineStr">
        <is>
          <t>Earnest Towers Private Limited (ETPL)</t>
        </is>
      </c>
      <c r="C9" s="22" t="inlineStr">
        <is>
          <t>First International Financial Centre (FIFC)</t>
        </is>
      </c>
      <c r="D9" s="20" t="inlineStr">
        <is>
          <t>Office</t>
        </is>
      </c>
      <c r="E9" s="20" t="inlineStr">
        <is>
          <t>Mumbai</t>
        </is>
      </c>
      <c r="F9" s="21" t="inlineStr">
        <is>
          <t>Bandra Kurla Complex</t>
        </is>
      </c>
      <c r="G9" s="21" t="inlineStr">
        <is>
          <t>Bandra Kurla Complex (BKC) / Secondary Business District, G Block</t>
        </is>
      </c>
      <c r="H9" s="23" t="inlineStr">
        <is>
          <t>Plot No. C-54 &amp; C-55, G Block, BKC Road, Bandra Kurla Complex, Mumbai 400 051; leasehold land from MMRDA, approx. 2.0 acres</t>
        </is>
      </c>
      <c r="I9" s="24" t="n">
        <v>400000</v>
      </c>
      <c r="J9" s="25" t="n">
        <v>0.4</v>
      </c>
      <c r="K9" s="25" t="n">
        <v>0.4</v>
      </c>
      <c r="L9" s="26" t="n"/>
      <c r="M9" s="26" t="n">
        <v>1</v>
      </c>
      <c r="N9" s="25" t="n">
        <v>350</v>
      </c>
      <c r="O9" s="25" t="n">
        <v>325</v>
      </c>
      <c r="P9" s="26">
        <f>IF(OR(N9="",O9="",O9=0),"",N9/O9-1)</f>
        <v/>
      </c>
      <c r="Q9" s="25" t="n">
        <v>3.5</v>
      </c>
      <c r="R9" s="24" t="n"/>
      <c r="S9" s="26" t="n">
        <v>0.08</v>
      </c>
      <c r="T9" s="26" t="n">
        <v>0.12</v>
      </c>
      <c r="U9" s="27" t="n">
        <v>1840.6</v>
      </c>
      <c r="V9" s="27">
        <f>IF(OR(U9="",I9="",I9=0),"",U9*10000000/I9)</f>
        <v/>
      </c>
      <c r="W9" s="23" t="inlineStr">
        <is>
          <t>Property Management Fees = 3% of Total Income</t>
        </is>
      </c>
      <c r="X9" s="23" t="inlineStr">
        <is>
          <t>INR 0.1/sqft/mo</t>
        </is>
      </c>
      <c r="Y9" s="23" t="inlineStr">
        <is>
          <t>Leasehold interest in ~226,663 sqft (2 basements, part ground+1st, entire 2nd-7th floors) with 54.2% undivided land share. Cap 7.5% (recorded 8, rounded); discount 11.5% operational. Office mkt rent revised 320-&gt;350; retail mkt rent revised 350-&gt;425; in-place 325. High property tax INR 12.0/sqft/mo. LEED Platinum. Acquisition price INR 14,614 Mn. Source lines ~14459-15003.</t>
        </is>
      </c>
    </row>
    <row r="10" ht="76" customHeight="1" s="18">
      <c r="A10" s="20" t="inlineStr">
        <is>
          <t>Embassy</t>
        </is>
      </c>
      <c r="B10" s="21" t="inlineStr">
        <is>
          <t>Embassy Pune TechZone Private Limited (EPTPL)</t>
        </is>
      </c>
      <c r="C10" s="22" t="inlineStr">
        <is>
          <t>Embassy TechZone</t>
        </is>
      </c>
      <c r="D10" s="20" t="inlineStr">
        <is>
          <t>Office</t>
        </is>
      </c>
      <c r="E10" s="20" t="inlineStr">
        <is>
          <t>Pune</t>
        </is>
      </c>
      <c r="F10" s="21" t="inlineStr">
        <is>
          <t>Hinjewadi Phase 2</t>
        </is>
      </c>
      <c r="G10" s="21" t="inlineStr">
        <is>
          <t>PBD West / Hinjewadi Phase 2</t>
        </is>
      </c>
      <c r="H10" s="23" t="inlineStr">
        <is>
          <t>Plot No. 3A, Hinjewadi Phase 2 Road, Hinjewadi Rajiv Gandhi Infotech Park, Hinjewadi, Pune, Maharashtra 411057; land approx. 67.5 acres (leasehold)</t>
        </is>
      </c>
      <c r="I10" s="24" t="n">
        <v>5500000</v>
      </c>
      <c r="J10" s="25" t="n">
        <v>5.5</v>
      </c>
      <c r="K10" s="25" t="n">
        <v>3</v>
      </c>
      <c r="L10" s="26" t="n"/>
      <c r="M10" s="26" t="n">
        <v>0.77</v>
      </c>
      <c r="N10" s="25" t="n">
        <v>50</v>
      </c>
      <c r="O10" s="25" t="n">
        <v>54</v>
      </c>
      <c r="P10" s="26">
        <f>IF(OR(N10="",O10="",O10=0),"",N10/O10-1)</f>
        <v/>
      </c>
      <c r="Q10" s="25" t="n">
        <v>5.6</v>
      </c>
      <c r="R10" s="24" t="n"/>
      <c r="S10" s="26" t="n">
        <v>0.08</v>
      </c>
      <c r="T10" s="26" t="n">
        <v>0.12</v>
      </c>
      <c r="U10" s="27" t="n">
        <v>2592.4</v>
      </c>
      <c r="V10" s="27">
        <f>IF(OR(U10="",I10="",I10=0),"",U10*10000000/I10)</f>
        <v/>
      </c>
      <c r="W10" s="23" t="inlineStr">
        <is>
          <t>Property Management Fees = 3% of Total Income; Asset Mgmt fee booked below NOI</t>
        </is>
      </c>
      <c r="X10" s="23" t="inlineStr">
        <is>
          <t>INR 0.2/sqft/mo</t>
        </is>
      </c>
      <c r="Y10" s="23" t="inlineStr">
        <is>
          <t>Mixed-use: completed office 3.0 msf + UC/proposed office 2.4 msf + 116-key hotel. Value split: completed 23,235 + UC/proposed 2,450 + hotel 239. Cap 8.25% office (recorded 8, rounded), 7.14% hospitality; discount 11.5% operational, 12.75% UC office, 13.25% UC hotel. Occupancy may fall to 73% if a domestic tech tenant exits 1-Apr-2026. Acquisition price INR 20,720 Mn. Source lines ~15004-15839.</t>
        </is>
      </c>
    </row>
    <row r="11" ht="54.65" customHeight="1" s="18">
      <c r="A11" s="20" t="inlineStr">
        <is>
          <t>Embassy</t>
        </is>
      </c>
      <c r="B11" s="21" t="inlineStr">
        <is>
          <t>Quadron Business Park Private Limited (QBPL)</t>
        </is>
      </c>
      <c r="C11" s="22" t="inlineStr">
        <is>
          <t>Embassy Quadron</t>
        </is>
      </c>
      <c r="D11" s="20" t="inlineStr">
        <is>
          <t>Office</t>
        </is>
      </c>
      <c r="E11" s="20" t="inlineStr">
        <is>
          <t>Pune</t>
        </is>
      </c>
      <c r="F11" s="21" t="inlineStr">
        <is>
          <t>Hinjewadi Phase 2</t>
        </is>
      </c>
      <c r="G11" s="21" t="inlineStr">
        <is>
          <t>PBD West / Hinjewadi Phase 2</t>
        </is>
      </c>
      <c r="H11" s="23" t="inlineStr">
        <is>
          <t>Plot No. 28, Hinjewadi Phase 2 Road, Hinjewadi Rajiv Gandhi Infotech Park, Pimpri-Chinchwad, Pune, Maharashtra 411057; land approx. 25.5 acres (leasehold)</t>
        </is>
      </c>
      <c r="I11" s="24" t="n">
        <v>1900000</v>
      </c>
      <c r="J11" s="25" t="n">
        <v>1.9</v>
      </c>
      <c r="K11" s="25" t="n">
        <v>1.9</v>
      </c>
      <c r="L11" s="26" t="n"/>
      <c r="M11" s="26" t="n">
        <v>0.24</v>
      </c>
      <c r="N11" s="25" t="n">
        <v>46</v>
      </c>
      <c r="O11" s="25" t="n">
        <v>56</v>
      </c>
      <c r="P11" s="26">
        <f>IF(OR(N11="",O11="",O11=0),"",N11/O11-1)</f>
        <v/>
      </c>
      <c r="Q11" s="25" t="n">
        <v>4.3</v>
      </c>
      <c r="R11" s="24" t="n"/>
      <c r="S11" s="26" t="n">
        <v>0.08</v>
      </c>
      <c r="T11" s="26" t="n">
        <v>0.12</v>
      </c>
      <c r="U11" s="27" t="n">
        <v>1003.9</v>
      </c>
      <c r="V11" s="27">
        <f>IF(OR(U11="",I11="",I11=0),"",U11*10000000/I11)</f>
        <v/>
      </c>
      <c r="W11" s="23" t="inlineStr">
        <is>
          <t>Property Management Fees = 3% of Total Income; Asset Mgmt fee below NOI</t>
        </is>
      </c>
      <c r="X11" s="23" t="inlineStr">
        <is>
          <t>INR 0.2/sqft/mo</t>
        </is>
      </c>
      <c r="Y11" s="23" t="inlineStr">
        <is>
          <t>Completed office 1.9 msf (all completed, no UC). Cap 8.25% (recorded 8, rounded); discount 11.5% operational. Very low occupancy 24%. Office mkt rent 46, in-place 56. Same SPV as Embassy One (Bengaluru). Acquisition price INR 13,961 Mn. Source lines ~15840-16388.</t>
        </is>
      </c>
    </row>
    <row r="12" ht="54.65" customHeight="1" s="18">
      <c r="A12" s="20" t="inlineStr">
        <is>
          <t>Embassy</t>
        </is>
      </c>
      <c r="B12" s="21" t="inlineStr">
        <is>
          <t>Qubix Business Park Private Limited (QBPPL)</t>
        </is>
      </c>
      <c r="C12" s="22" t="inlineStr">
        <is>
          <t>Embassy Qubix</t>
        </is>
      </c>
      <c r="D12" s="20" t="inlineStr">
        <is>
          <t>Office</t>
        </is>
      </c>
      <c r="E12" s="20" t="inlineStr">
        <is>
          <t>Pune</t>
        </is>
      </c>
      <c r="F12" s="21" t="inlineStr">
        <is>
          <t>Hinjewadi Phase 1</t>
        </is>
      </c>
      <c r="G12" s="21" t="inlineStr">
        <is>
          <t>PBD West / Hinjewadi Phase 1</t>
        </is>
      </c>
      <c r="H12" s="23" t="inlineStr">
        <is>
          <t>Blue Ridge Township, Phase 1, Hinjewadi Rajiv Gandhi Infotech Park, Pimpri-Chinchwad, Pune, Maharashtra 411057; land approx. 25.2 acres (freehold)</t>
        </is>
      </c>
      <c r="I12" s="24" t="n">
        <v>1500000</v>
      </c>
      <c r="J12" s="25" t="n">
        <v>1.5</v>
      </c>
      <c r="K12" s="25" t="n">
        <v>1.5</v>
      </c>
      <c r="L12" s="26" t="n"/>
      <c r="M12" s="26" t="n">
        <v>0.78</v>
      </c>
      <c r="N12" s="25" t="n">
        <v>50</v>
      </c>
      <c r="O12" s="25" t="n">
        <v>51</v>
      </c>
      <c r="P12" s="26">
        <f>IF(OR(N12="",O12="",O12=0),"",N12/O12-1)</f>
        <v/>
      </c>
      <c r="Q12" s="25" t="n">
        <v>4.2</v>
      </c>
      <c r="R12" s="24" t="n"/>
      <c r="S12" s="26" t="n">
        <v>0.08</v>
      </c>
      <c r="T12" s="26" t="n">
        <v>0.12</v>
      </c>
      <c r="U12" s="27" t="n">
        <v>1048.3</v>
      </c>
      <c r="V12" s="27">
        <f>IF(OR(U12="",I12="",I12=0),"",U12*10000000/I12)</f>
        <v/>
      </c>
      <c r="W12" s="23" t="inlineStr">
        <is>
          <t>Property Management Fees = 3% of Total Income; Asset Mgmt fee below NOI</t>
        </is>
      </c>
      <c r="X12" s="23" t="inlineStr">
        <is>
          <t>INR 0.3/sqft/mo</t>
        </is>
      </c>
      <c r="Y12" s="23" t="inlineStr">
        <is>
          <t>Completed office 1.5 msf (5 SEZ + 1 Non-SEZ block). Cap 8.25% (recorded 8, rounded); discount 11.5% operational. Only freehold Pune asset. Office mkt rent 50, in-place 51. Acquisition price INR 9,868 Mn. Source lines ~16389-16936.</t>
        </is>
      </c>
    </row>
    <row r="13" ht="54.65" customHeight="1" s="18">
      <c r="A13" s="20" t="inlineStr">
        <is>
          <t>Embassy</t>
        </is>
      </c>
      <c r="B13" s="21" t="inlineStr">
        <is>
          <t>Oxygen Business Park Private Limited (OBPPL)</t>
        </is>
      </c>
      <c r="C13" s="22" t="inlineStr">
        <is>
          <t>Embassy Oxygen</t>
        </is>
      </c>
      <c r="D13" s="20" t="inlineStr">
        <is>
          <t>Office</t>
        </is>
      </c>
      <c r="E13" s="20" t="inlineStr">
        <is>
          <t>Noida</t>
        </is>
      </c>
      <c r="F13" s="21" t="inlineStr">
        <is>
          <t>Noida-Greater Noida Expressway</t>
        </is>
      </c>
      <c r="G13" s="21" t="inlineStr">
        <is>
          <t>Noida-Greater Noida Expressway (Sector 144)</t>
        </is>
      </c>
      <c r="H13" s="23" t="inlineStr">
        <is>
          <t>Plot No. 7, Sector-144, Noida, Uttar Pradesh; land approx. 24.8 acres, leasehold from NOIDA Authority</t>
        </is>
      </c>
      <c r="I13" s="24" t="n">
        <v>3300000</v>
      </c>
      <c r="J13" s="25" t="n">
        <v>3.3</v>
      </c>
      <c r="K13" s="25" t="n">
        <v>3.3</v>
      </c>
      <c r="L13" s="26" t="n"/>
      <c r="M13" s="26" t="n">
        <v>0.9</v>
      </c>
      <c r="N13" s="25" t="n">
        <v>59</v>
      </c>
      <c r="O13" s="25" t="n">
        <v>57</v>
      </c>
      <c r="P13" s="26">
        <f>IF(OR(N13="",O13="",O13=0),"",N13/O13-1)</f>
        <v/>
      </c>
      <c r="Q13" s="25" t="n">
        <v>9.1</v>
      </c>
      <c r="R13" s="24" t="n"/>
      <c r="S13" s="26" t="n">
        <v>0.08</v>
      </c>
      <c r="T13" s="26" t="n">
        <v>0.12</v>
      </c>
      <c r="U13" s="27" t="n">
        <v>2951.8</v>
      </c>
      <c r="V13" s="27">
        <f>IF(OR(U13="",I13="",I13=0),"",U13*10000000/I13)</f>
        <v/>
      </c>
      <c r="W13" s="23" t="inlineStr">
        <is>
          <t>Property Management Fees = 3% of Total Income (booked below NOI)</t>
        </is>
      </c>
      <c r="X13" s="23" t="inlineStr">
        <is>
          <t>INR 0.22/sqft/mo; plus Land Lease Payment INR 0.38/sqft/mo (in lieu of property tax)</t>
        </is>
      </c>
      <c r="Y13" s="23" t="inlineStr">
        <is>
          <t>Completed office 3.3 msf (10 buildings incl food court). Cap 8%; discount 11.5% operational. Office mkt rent 59 (incl parking), in-place 57; retail mkt rent 85. Seismic Zone IV. Acquisition price INR 18,258 Mn. Source lines ~16937-17515.</t>
        </is>
      </c>
    </row>
    <row r="14" ht="54.65" customHeight="1" s="18">
      <c r="A14" s="20" t="inlineStr">
        <is>
          <t>Embassy</t>
        </is>
      </c>
      <c r="B14" s="21" t="inlineStr">
        <is>
          <t>Galaxy Square Private Limited (GSPL)</t>
        </is>
      </c>
      <c r="C14" s="22" t="inlineStr">
        <is>
          <t>Embassy Galaxy</t>
        </is>
      </c>
      <c r="D14" s="20" t="inlineStr">
        <is>
          <t>Office</t>
        </is>
      </c>
      <c r="E14" s="20" t="inlineStr">
        <is>
          <t>Noida</t>
        </is>
      </c>
      <c r="F14" s="21" t="inlineStr">
        <is>
          <t>Noida Sector 62</t>
        </is>
      </c>
      <c r="G14" s="21" t="inlineStr">
        <is>
          <t>Noida Sector 62</t>
        </is>
      </c>
      <c r="H14" s="23" t="inlineStr">
        <is>
          <t>A-44 &amp; 45, Sector-62, Noida, Uttar Pradesh; land approx. 9.9 acres, leasehold from NOIDA Authority</t>
        </is>
      </c>
      <c r="I14" s="24" t="n">
        <v>1400000</v>
      </c>
      <c r="J14" s="25" t="n">
        <v>1.4</v>
      </c>
      <c r="K14" s="25" t="n">
        <v>1.4</v>
      </c>
      <c r="L14" s="26" t="n"/>
      <c r="M14" s="26" t="n">
        <v>1</v>
      </c>
      <c r="N14" s="25" t="n">
        <v>51</v>
      </c>
      <c r="O14" s="25" t="n">
        <v>46</v>
      </c>
      <c r="P14" s="26">
        <f>IF(OR(N14="",O14="",O14=0),"",N14/O14-1)</f>
        <v/>
      </c>
      <c r="Q14" s="25" t="n">
        <v>9.5</v>
      </c>
      <c r="R14" s="24" t="n"/>
      <c r="S14" s="26" t="n">
        <v>0.08</v>
      </c>
      <c r="T14" s="26" t="n">
        <v>0.12</v>
      </c>
      <c r="U14" s="27" t="n">
        <v>1131.1</v>
      </c>
      <c r="V14" s="27">
        <f>IF(OR(U14="",I14="",I14=0),"",U14*10000000/I14)</f>
        <v/>
      </c>
      <c r="W14" s="23" t="inlineStr">
        <is>
          <t>Property Management Fees = 3% of Total Income (below NOI)</t>
        </is>
      </c>
      <c r="X14" s="23" t="inlineStr">
        <is>
          <t>INR 0.27/sqft/mo; Land Lease Payment INR 0.34/sqft/mo</t>
        </is>
      </c>
      <c r="Y14" s="23" t="inlineStr">
        <is>
          <t>Completed office 1.4 msf (5 Non-SEZ blocks). Rent roll ~99.6% occupied. Cap 8%; discount 11.5% operational. Office mkt rent 51 (incl parking), in-place 46; retail mkt rent 85. LEED Platinum. Acquisition price INR 8,122 Mn. Source lines ~17516-18059.</t>
        </is>
      </c>
    </row>
    <row r="15" ht="76" customHeight="1" s="18">
      <c r="A15" s="20" t="inlineStr">
        <is>
          <t>Embassy</t>
        </is>
      </c>
      <c r="B15" s="21" t="inlineStr">
        <is>
          <t>Umbel Properties Private Limited (UPPL)</t>
        </is>
      </c>
      <c r="C15" s="22" t="inlineStr">
        <is>
          <t>Hilton at Embassy GolfLinks</t>
        </is>
      </c>
      <c r="D15" s="20" t="inlineStr">
        <is>
          <t>Hotel</t>
        </is>
      </c>
      <c r="E15" s="20" t="inlineStr">
        <is>
          <t>Bengaluru</t>
        </is>
      </c>
      <c r="F15" s="21" t="inlineStr">
        <is>
          <t>Domlur</t>
        </is>
      </c>
      <c r="G15" s="21" t="inlineStr">
        <is>
          <t>Suburban East (inside Embassy GolfLinks Business Park, Intermediate Ring Road)</t>
        </is>
      </c>
      <c r="H15" s="23" t="inlineStr">
        <is>
          <t>Challaghatta Village, Varthur Hobli, Bengaluru East Taluk 560071; land approx. 3.6 acres (freehold)</t>
        </is>
      </c>
      <c r="I15" s="24" t="n">
        <v>500000</v>
      </c>
      <c r="J15" s="25" t="n">
        <v>0.5</v>
      </c>
      <c r="K15" s="25" t="n">
        <v>0.5</v>
      </c>
      <c r="L15" s="26" t="n"/>
      <c r="M15" s="26" t="n">
        <v>0.72</v>
      </c>
      <c r="N15" s="25" t="n"/>
      <c r="O15" s="25" t="n"/>
      <c r="P15" s="26">
        <f>IF(OR(N15="",O15="",O15=0),"",N15/O15-1)</f>
        <v/>
      </c>
      <c r="Q15" s="25" t="n"/>
      <c r="R15" s="24" t="n"/>
      <c r="S15" s="26" t="n">
        <v>0.07000000000000001</v>
      </c>
      <c r="T15" s="26" t="n">
        <v>0.12</v>
      </c>
      <c r="U15" s="27" t="n">
        <v>887.6</v>
      </c>
      <c r="V15" s="27">
        <f>IF(OR(U15="",I15="",I15=0),"",U15*10000000/I15)</f>
        <v/>
      </c>
      <c r="W15" s="23" t="inlineStr">
        <is>
          <t>Base Management Fee 2% of Total Revenue; Management Incentive Fee 5.5% of Gross Operating Profit; FF&amp;E reserve 2%</t>
        </is>
      </c>
      <c r="X15" s="23" t="n"/>
      <c r="Y15" s="23" t="inlineStr">
        <is>
          <t>247-key 5-star hotel (developed area ~0.5 msf). Stabilized occupancy 72% (FY2026); ADR INR 15,000/room/night +5% YoY from Oct 2026; F&amp;B revenue 40% of rooms revenue. Cap rate 7.14% derived via EV/EBITDA 14x (recorded 7, rounded); discount rate 11.90% (recorded 12, rounded). No psf rent (hotel). Acquisition price INR 4,766 Mn. Source lines ~18060-18516.</t>
        </is>
      </c>
    </row>
    <row r="16" ht="86.65000000000001" customHeight="1" s="18">
      <c r="A16" s="20" t="inlineStr">
        <is>
          <t>Embassy</t>
        </is>
      </c>
      <c r="B16" s="21" t="inlineStr">
        <is>
          <t>ESNP Property Builders and Developers Private Limited (ESNP)</t>
        </is>
      </c>
      <c r="C16" s="22" t="inlineStr">
        <is>
          <t>Embassy Splendid Techzone</t>
        </is>
      </c>
      <c r="D16" s="20" t="inlineStr">
        <is>
          <t>Office</t>
        </is>
      </c>
      <c r="E16" s="20" t="inlineStr">
        <is>
          <t>Chennai</t>
        </is>
      </c>
      <c r="F16" s="21" t="inlineStr">
        <is>
          <t>Pallavaram</t>
        </is>
      </c>
      <c r="G16" s="21" t="inlineStr">
        <is>
          <t>Suburban South (Pallavaram-Thoraipakkam Road)</t>
        </is>
      </c>
      <c r="H16" s="23" t="inlineStr">
        <is>
          <t>Pallavaram-Thoraipakkam (PTR) Road, Pallavaram, Chennai, Tamil Nadu; land approx. 25.37 acres (leasehold from SNP)</t>
        </is>
      </c>
      <c r="I16" s="24" t="n">
        <v>5100000</v>
      </c>
      <c r="J16" s="25" t="n">
        <v>5.1</v>
      </c>
      <c r="K16" s="25" t="n">
        <v>2.5</v>
      </c>
      <c r="L16" s="26" t="n"/>
      <c r="M16" s="26" t="n">
        <v>0.84</v>
      </c>
      <c r="N16" s="25" t="n">
        <v>75</v>
      </c>
      <c r="O16" s="25" t="n">
        <v>73</v>
      </c>
      <c r="P16" s="26">
        <f>IF(OR(N16="",O16="",O16=0),"",N16/O16-1)</f>
        <v/>
      </c>
      <c r="Q16" s="25" t="n">
        <v>11.5</v>
      </c>
      <c r="R16" s="24" t="n"/>
      <c r="S16" s="26" t="n">
        <v>0.08</v>
      </c>
      <c r="T16" s="26" t="n">
        <v>0.12</v>
      </c>
      <c r="U16" s="27" t="n">
        <v>2058.7</v>
      </c>
      <c r="V16" s="27">
        <f>IF(OR(U16="",I16="",I16=0),"",U16*10000000/I16)</f>
        <v/>
      </c>
      <c r="W16" s="23" t="inlineStr">
        <is>
          <t>Property Management Fees = 3% of Total Income (below NOI)</t>
        </is>
      </c>
      <c r="X16" s="23" t="inlineStr">
        <is>
          <t>INR 0.13/sqft/mo</t>
        </is>
      </c>
      <c r="Y16" s="23" t="inlineStr">
        <is>
          <t>Mixed-use (IT/ITeS SEZ/Non-SEZ): completed 2.5 msf + UC/proposed 2.6 msf. Value split: completed 15,556 + UC 5,031 = 20,587. Cap 8% office/retail; discount 11.5% operational office. Office mkt rent 75 (incl parking), in-place 73; retail mkt rent 25. Land freehold of SNP granting leasehold to ESNP (30 yrs from 9-Nov-2016, renewable). Pending dev cost ~INR 8,083 Mn. Acquisition price INR 11,853 Mn. Source lines ~18517-19186.</t>
        </is>
      </c>
    </row>
    <row r="17" ht="129.3" customHeight="1" s="18">
      <c r="A17" s="20" t="inlineStr">
        <is>
          <t>Embassy</t>
        </is>
      </c>
      <c r="B17" s="21" t="inlineStr">
        <is>
          <t>Embassy Energy Private Limited (EEPL)</t>
        </is>
      </c>
      <c r="C17" s="22" t="inlineStr">
        <is>
          <t>Embassy Energy (Solar Park)</t>
        </is>
      </c>
      <c r="D17" s="20" t="inlineStr">
        <is>
          <t>Other</t>
        </is>
      </c>
      <c r="E17" s="20" t="inlineStr">
        <is>
          <t>Bellary District, Karnataka</t>
        </is>
      </c>
      <c r="F17" s="21" t="inlineStr">
        <is>
          <t>Villages Ittigi &amp; Mooregeri  and Nellukudure</t>
        </is>
      </c>
      <c r="G17" s="21" t="inlineStr">
        <is>
          <t>Villages Ittigi &amp; Mooregeri (Huvinhadagali Taluka) and Nellukudure (Hagribommanhalli Taluka)</t>
        </is>
      </c>
      <c r="H17" s="23" t="inlineStr">
        <is>
          <t>Bellary District, Karnataka; primary access SH-45; land approx. 465.8 acres</t>
        </is>
      </c>
      <c r="I17" s="24" t="n"/>
      <c r="J17" s="25" t="n"/>
      <c r="K17" s="25" t="n"/>
      <c r="L17" s="26" t="n"/>
      <c r="M17" s="26" t="n"/>
      <c r="N17" s="25" t="n"/>
      <c r="O17" s="25" t="n"/>
      <c r="P17" s="26">
        <f>IF(OR(N17="",O17="",O17=0),"",N17/O17-1)</f>
        <v/>
      </c>
      <c r="Q17" s="25" t="n"/>
      <c r="R17" s="24" t="n"/>
      <c r="S17" s="26" t="n"/>
      <c r="T17" s="26" t="n">
        <v>0.12</v>
      </c>
      <c r="U17" s="27" t="n">
        <v>414.3</v>
      </c>
      <c r="V17" s="27">
        <f>IF(OR(U17="",I17="",I17=0),"",U17*10000000/I17)</f>
        <v/>
      </c>
      <c r="W17" s="23" t="n"/>
      <c r="X17" s="23" t="n"/>
      <c r="Y17" s="23" t="inlineStr">
        <is>
          <t>Solar Park: installed capacity 130 MW DC / 100 MW AC; commissioned Feb 2018; ~215 MU/yr; CUF 17.35%. No leasable area or psf rent. Discount rate 11.5% (recorded 12, rounded); no cap rate (25-yr DCF over CERC useful life, no terminal cap). PPA tariff FY2027 INR 6.83/unit, escalation 2.5%/yr; 25-yr PPAs with Embassy office parks/hotels (Manyata, GolfLinks, Hilton GolfLinks, TechVillage) plus C&amp;I offtakers. O&amp;M INR 18.3 Mn/qtr. No property mgmt fee (admin/O&amp;M/employee costs instead). SPV labelled 'Power Limited' in one value table (likely typo for Private Limited). Acquisition price INR 10,690 Mn. Source lines ~19187-19981.</t>
        </is>
      </c>
    </row>
    <row r="18" ht="54.65" customHeight="1" s="18">
      <c r="A18" s="20" t="inlineStr">
        <is>
          <t>Mindspace</t>
        </is>
      </c>
      <c r="B18" s="21" t="inlineStr">
        <is>
          <t>Sundew Properties Limited</t>
        </is>
      </c>
      <c r="C18" s="22" t="inlineStr">
        <is>
          <t>Mindspace Madhapur (Sundew)</t>
        </is>
      </c>
      <c r="D18" s="20" t="inlineStr">
        <is>
          <t>Office</t>
        </is>
      </c>
      <c r="E18" s="20" t="inlineStr">
        <is>
          <t>Hyderabad</t>
        </is>
      </c>
      <c r="F18" s="21" t="inlineStr">
        <is>
          <t>Madhapur</t>
        </is>
      </c>
      <c r="G18" s="21" t="inlineStr">
        <is>
          <t>Madhapur</t>
        </is>
      </c>
      <c r="H18" s="23" t="inlineStr">
        <is>
          <t>Mindspace Madhapur, Titus Towers, TSIIC software layout, Madhapur, Hyderabad, Telangana 500081</t>
        </is>
      </c>
      <c r="I18" s="24" t="n">
        <v>5870000</v>
      </c>
      <c r="J18" s="25" t="n">
        <v>5.87</v>
      </c>
      <c r="K18" s="25" t="n">
        <v>5.87</v>
      </c>
      <c r="L18" s="26" t="n">
        <v>0.99</v>
      </c>
      <c r="M18" s="26" t="n">
        <v>0.96</v>
      </c>
      <c r="N18" s="25" t="n">
        <v>105</v>
      </c>
      <c r="O18" s="25" t="n">
        <v>75.58</v>
      </c>
      <c r="P18" s="26">
        <f>IF(OR(N18="",O18="",O18=0),"",N18/O18-1)</f>
        <v/>
      </c>
      <c r="Q18" s="25" t="n">
        <v>7.84</v>
      </c>
      <c r="R18" s="24" t="n">
        <v>51</v>
      </c>
      <c r="S18" s="26" t="n">
        <v>0.08</v>
      </c>
      <c r="T18" s="26" t="n">
        <v>0.12</v>
      </c>
      <c r="U18" s="27" t="n">
        <v>7963.812</v>
      </c>
      <c r="V18" s="27">
        <f>IF(OR(U18="",I18="",I18=0),"",U18*10000000/I18)</f>
        <v/>
      </c>
      <c r="W18" s="23" t="n"/>
      <c r="X18" s="23" t="n"/>
      <c r="Y18" s="23" t="inlineStr">
        <is>
          <t>Grade A IT Park, 8 buildings (Non-SEZ 11,22; SEZ rest); Bldg 22 hotel. MREIT 89% interest (100% value INR89,481.03mn). Exit cap 7.75%, WACC 11.75%. Occ 96.3%/committed 98.7%. Land 40.25 ac freehold. p.1-52 (chunk a)</t>
        </is>
      </c>
    </row>
    <row r="19" ht="33.3" customHeight="1" s="18">
      <c r="A19" s="20" t="inlineStr">
        <is>
          <t>Mindspace</t>
        </is>
      </c>
      <c r="B19" s="21" t="inlineStr">
        <is>
          <t>K Raheja IT Park (Hyderabad) Limited</t>
        </is>
      </c>
      <c r="C19" s="22" t="inlineStr">
        <is>
          <t>Mindspace Madhapur (KRIT)</t>
        </is>
      </c>
      <c r="D19" s="20" t="inlineStr">
        <is>
          <t>Office</t>
        </is>
      </c>
      <c r="E19" s="20" t="inlineStr">
        <is>
          <t>Hyderabad</t>
        </is>
      </c>
      <c r="F19" s="21" t="inlineStr">
        <is>
          <t>Madhapur</t>
        </is>
      </c>
      <c r="G19" s="21" t="inlineStr">
        <is>
          <t>Madhapur</t>
        </is>
      </c>
      <c r="H19" s="23" t="inlineStr">
        <is>
          <t>Mindspace Madhapur (KRIT), Madhapur, Hyderabad, Telangana 500081</t>
        </is>
      </c>
      <c r="I19" s="24" t="n">
        <v>5940000</v>
      </c>
      <c r="J19" s="25" t="n">
        <v>5.94</v>
      </c>
      <c r="K19" s="25" t="n">
        <v>2.18</v>
      </c>
      <c r="L19" s="26" t="n">
        <v>0.99</v>
      </c>
      <c r="M19" s="26" t="n">
        <v>0.97</v>
      </c>
      <c r="N19" s="25" t="n">
        <v>105</v>
      </c>
      <c r="O19" s="25" t="n">
        <v>79.95999999999999</v>
      </c>
      <c r="P19" s="26">
        <f>IF(OR(N19="",O19="",O19=0),"",N19/O19-1)</f>
        <v/>
      </c>
      <c r="Q19" s="25" t="n">
        <v>7.24</v>
      </c>
      <c r="R19" s="24" t="n">
        <v>29</v>
      </c>
      <c r="S19" s="26" t="n">
        <v>0.08</v>
      </c>
      <c r="T19" s="26" t="n">
        <v>0.12</v>
      </c>
      <c r="U19" s="27" t="n">
        <v>5982.4</v>
      </c>
      <c r="V19" s="27">
        <f>IF(OR(U19="",I19="",I19=0),"",U19*10000000/I19)</f>
        <v/>
      </c>
      <c r="W19" s="23" t="n"/>
      <c r="X19" s="23" t="n"/>
      <c r="Y19" s="23" t="inlineStr">
        <is>
          <t>IT Park Non-SEZ (incl retail). Exit cap 7.75%, WACC 11.75%. Occ 96.5%/committed 99.2%. Land 48.43 ac freehold. chunk a</t>
        </is>
      </c>
    </row>
    <row r="20" ht="33.3" customHeight="1" s="18">
      <c r="A20" s="20" t="inlineStr">
        <is>
          <t>Mindspace</t>
        </is>
      </c>
      <c r="B20" s="21" t="inlineStr">
        <is>
          <t>Intime Properties Limited</t>
        </is>
      </c>
      <c r="C20" s="22" t="inlineStr">
        <is>
          <t>Mindspace Madhapur (Intime)</t>
        </is>
      </c>
      <c r="D20" s="20" t="inlineStr">
        <is>
          <t>Office</t>
        </is>
      </c>
      <c r="E20" s="20" t="inlineStr">
        <is>
          <t>Hyderabad</t>
        </is>
      </c>
      <c r="F20" s="21" t="inlineStr">
        <is>
          <t>Madhapur</t>
        </is>
      </c>
      <c r="G20" s="21" t="inlineStr">
        <is>
          <t>Madhapur</t>
        </is>
      </c>
      <c r="H20" s="23" t="inlineStr">
        <is>
          <t>Mindspace Madhapur (Intime), Madhapur, Hyderabad, Telangana 500081</t>
        </is>
      </c>
      <c r="I20" s="24" t="n">
        <v>2030000</v>
      </c>
      <c r="J20" s="25" t="n">
        <v>2.03</v>
      </c>
      <c r="K20" s="25" t="n">
        <v>2.03</v>
      </c>
      <c r="L20" s="26" t="n">
        <v>1</v>
      </c>
      <c r="M20" s="26" t="n">
        <v>1</v>
      </c>
      <c r="N20" s="25" t="n">
        <v>105</v>
      </c>
      <c r="O20" s="25" t="n">
        <v>79.06</v>
      </c>
      <c r="P20" s="26">
        <f>IF(OR(N20="",O20="",O20=0),"",N20/O20-1)</f>
        <v/>
      </c>
      <c r="Q20" s="25" t="n">
        <v>7.08</v>
      </c>
      <c r="R20" s="24" t="n">
        <v>35</v>
      </c>
      <c r="S20" s="26" t="n">
        <v>0.08</v>
      </c>
      <c r="T20" s="26" t="n">
        <v>0.12</v>
      </c>
      <c r="U20" s="27" t="n">
        <v>2855.721</v>
      </c>
      <c r="V20" s="27">
        <f>IF(OR(U20="",I20="",I20=0),"",U20*10000000/I20)</f>
        <v/>
      </c>
      <c r="W20" s="23" t="n"/>
      <c r="X20" s="23" t="n"/>
      <c r="Y20" s="23" t="inlineStr">
        <is>
          <t>IT Park Non-SEZ. Exit cap 7.75%, WACC 11.75%. Occ 99.8%/committed 99.8%. Land 8.52 ac freehold. chunk a</t>
        </is>
      </c>
    </row>
    <row r="21" ht="44" customHeight="1" s="18">
      <c r="A21" s="20" t="inlineStr">
        <is>
          <t>Mindspace</t>
        </is>
      </c>
      <c r="B21" s="21" t="inlineStr">
        <is>
          <t>Mindspace Business Parks Private Limited</t>
        </is>
      </c>
      <c r="C21" s="22" t="inlineStr">
        <is>
          <t>Mindspace Pocharam</t>
        </is>
      </c>
      <c r="D21" s="20" t="inlineStr">
        <is>
          <t>Other</t>
        </is>
      </c>
      <c r="E21" s="20" t="inlineStr">
        <is>
          <t>Hyderabad</t>
        </is>
      </c>
      <c r="F21" s="21" t="inlineStr">
        <is>
          <t>Pocharam</t>
        </is>
      </c>
      <c r="G21" s="21" t="inlineStr">
        <is>
          <t>Pocharam (PBD East / Suburbs Other)</t>
        </is>
      </c>
      <c r="H21" s="23" t="inlineStr">
        <is>
          <t>Mindspace Pocharam, Hyderabad – Non-SEZ IT Park</t>
        </is>
      </c>
      <c r="I21" s="24" t="n">
        <v>570000</v>
      </c>
      <c r="J21" s="25" t="n">
        <v>0.57</v>
      </c>
      <c r="K21" s="25" t="n">
        <v>0.57</v>
      </c>
      <c r="L21" s="26" t="n">
        <v>0</v>
      </c>
      <c r="M21" s="26" t="n">
        <v>0</v>
      </c>
      <c r="N21" s="25" t="n"/>
      <c r="O21" s="25" t="n"/>
      <c r="P21" s="26">
        <f>IF(OR(N21="",O21="",O21=0),"",N21/O21-1)</f>
        <v/>
      </c>
      <c r="Q21" s="25" t="n"/>
      <c r="R21" s="24" t="n">
        <v>0</v>
      </c>
      <c r="S21" s="26" t="n"/>
      <c r="T21" s="26" t="n"/>
      <c r="U21" s="27" t="n">
        <v>100.435</v>
      </c>
      <c r="V21" s="27">
        <f>IF(OR(U21="",I21="",I21=0),"",U21*10000000/I21)</f>
        <v/>
      </c>
      <c r="W21" s="23" t="n"/>
      <c r="X21" s="23" t="n"/>
      <c r="Y21" s="23" t="inlineStr">
        <is>
          <t>Non-SEZ IT Park; built component 0.57 msf currently VACANT (NIL occupancy/tenants) + undeveloped land held at land value. Valued via Land &amp; Building/DCF hybrid; land ~INR30.49mn/acre. Land 26.464 ac freehold. chunk a</t>
        </is>
      </c>
    </row>
    <row r="22" ht="44" customHeight="1" s="18">
      <c r="A22" s="20" t="inlineStr">
        <is>
          <t>Mindspace</t>
        </is>
      </c>
      <c r="B22" s="21" t="inlineStr">
        <is>
          <t>Sustain Properties Private Limited</t>
        </is>
      </c>
      <c r="C22" s="22" t="inlineStr">
        <is>
          <t>Commerzone Raidurg (Sustain)</t>
        </is>
      </c>
      <c r="D22" s="20" t="inlineStr">
        <is>
          <t>Office</t>
        </is>
      </c>
      <c r="E22" s="20" t="inlineStr">
        <is>
          <t>Hyderabad</t>
        </is>
      </c>
      <c r="F22" s="21" t="inlineStr">
        <is>
          <t>Madhapur</t>
        </is>
      </c>
      <c r="G22" s="21" t="inlineStr">
        <is>
          <t>Madhapur (Raidurg)</t>
        </is>
      </c>
      <c r="H22" s="23" t="inlineStr">
        <is>
          <t>Commerzone Raidurg (Sustain), Madhapur, Hyderabad, Telangana 500081</t>
        </is>
      </c>
      <c r="I22" s="24" t="n">
        <v>1820000</v>
      </c>
      <c r="J22" s="25" t="n">
        <v>1.82</v>
      </c>
      <c r="K22" s="25" t="n">
        <v>1.82</v>
      </c>
      <c r="L22" s="26" t="n">
        <v>1</v>
      </c>
      <c r="M22" s="26" t="n">
        <v>1</v>
      </c>
      <c r="N22" s="25" t="n"/>
      <c r="O22" s="25" t="n">
        <v>69.09999999999999</v>
      </c>
      <c r="P22" s="26">
        <f>IF(OR(N22="",O22="",O22=0),"",N22/O22-1)</f>
        <v/>
      </c>
      <c r="Q22" s="25" t="n">
        <v>10.5</v>
      </c>
      <c r="R22" s="24" t="n">
        <v>2</v>
      </c>
      <c r="S22" s="26" t="n">
        <v>0.08</v>
      </c>
      <c r="T22" s="26" t="n">
        <v>0.12</v>
      </c>
      <c r="U22" s="27" t="n">
        <v>2585.322</v>
      </c>
      <c r="V22" s="27">
        <f>IF(OR(U22="",I22="",I22=0),"",U22*10000000/I22)</f>
        <v/>
      </c>
      <c r="W22" s="23" t="n"/>
      <c r="X22" s="23" t="n"/>
      <c r="Y22" s="23" t="inlineStr">
        <is>
          <t>SEZ IT/ITeS. Exit cap 7.75%, WACC 11.75%. Occ 100%/committed 100%. Sustain entitled 65.5% undivided share of 9.07 ac land. Market rent per JLL (not a single psf figure in exec summary). chunk a</t>
        </is>
      </c>
    </row>
    <row r="23" ht="33.3" customHeight="1" s="18">
      <c r="A23" s="20" t="inlineStr">
        <is>
          <t>Mindspace</t>
        </is>
      </c>
      <c r="B23" s="21" t="inlineStr">
        <is>
          <t>Mack Soft Tech Private Limited</t>
        </is>
      </c>
      <c r="C23" s="22" t="inlineStr">
        <is>
          <t>The Square, Financial District (Hyderabad)</t>
        </is>
      </c>
      <c r="D23" s="20" t="inlineStr">
        <is>
          <t>Office</t>
        </is>
      </c>
      <c r="E23" s="20" t="inlineStr">
        <is>
          <t>Hyderabad</t>
        </is>
      </c>
      <c r="F23" s="21" t="inlineStr">
        <is>
          <t>Gachibowli</t>
        </is>
      </c>
      <c r="G23" s="21" t="inlineStr">
        <is>
          <t>Gachibowli / Nanakramguda (Financial District)</t>
        </is>
      </c>
      <c r="H23" s="23" t="inlineStr">
        <is>
          <t>The Square, 110 Financial District, Nanakramguda, Hyderabad, Telangana 500032</t>
        </is>
      </c>
      <c r="I23" s="24" t="n">
        <v>820000</v>
      </c>
      <c r="J23" s="25" t="n">
        <v>0.82</v>
      </c>
      <c r="K23" s="25" t="n">
        <v>0.82</v>
      </c>
      <c r="L23" s="26" t="n">
        <v>0.72</v>
      </c>
      <c r="M23" s="26" t="n">
        <v>0.62</v>
      </c>
      <c r="N23" s="25" t="n">
        <v>60</v>
      </c>
      <c r="O23" s="25" t="n">
        <v>60</v>
      </c>
      <c r="P23" s="26">
        <f>IF(OR(N23="",O23="",O23=0),"",N23/O23-1)</f>
        <v/>
      </c>
      <c r="Q23" s="25" t="n">
        <v>3.4</v>
      </c>
      <c r="R23" s="24" t="n">
        <v>25</v>
      </c>
      <c r="S23" s="26" t="n">
        <v>0.08</v>
      </c>
      <c r="T23" s="26" t="n">
        <v>0.12</v>
      </c>
      <c r="U23" s="27" t="n">
        <v>707.727</v>
      </c>
      <c r="V23" s="27">
        <f>IF(OR(U23="",I23="",I23=0),"",U23*10000000/I23)</f>
        <v/>
      </c>
      <c r="W23" s="23" t="n"/>
      <c r="X23" s="23" t="n"/>
      <c r="Y23" s="23" t="inlineStr">
        <is>
          <t>Non-SEZ office. Exit cap 8.00%, WACC 11.75%. Occ 61.5%/committed 72.3%. Market/marginal office rent INR60/psf/mo. Land ~6 ac freehold. chunk b</t>
        </is>
      </c>
    </row>
    <row r="24" ht="76" customHeight="1" s="18">
      <c r="A24" s="20" t="inlineStr">
        <is>
          <t>Mindspace</t>
        </is>
      </c>
      <c r="B24" s="21" t="inlineStr">
        <is>
          <t>Mindspace Business Parks Private Limited</t>
        </is>
      </c>
      <c r="C24" s="22" t="inlineStr">
        <is>
          <t>Mindspace Airoli East</t>
        </is>
      </c>
      <c r="D24" s="20" t="inlineStr">
        <is>
          <t>Office</t>
        </is>
      </c>
      <c r="E24" s="20" t="inlineStr">
        <is>
          <t>Navi Mumbai</t>
        </is>
      </c>
      <c r="F24" s="21" t="inlineStr">
        <is>
          <t>Thane-Belapur Road</t>
        </is>
      </c>
      <c r="G24" s="21" t="inlineStr">
        <is>
          <t>Thane-Belapur Road (Airoli)</t>
        </is>
      </c>
      <c r="H24" s="23" t="inlineStr">
        <is>
          <t>Plot No.3, Kalwa Trans Thane Creek Ind. Area, Mindspace, Opp. Airoli Station, Airoli, Navi Mumbai 400708</t>
        </is>
      </c>
      <c r="I24" s="24" t="n">
        <v>7400000</v>
      </c>
      <c r="J24" s="25" t="n">
        <v>7.4</v>
      </c>
      <c r="K24" s="25" t="n">
        <v>4.98</v>
      </c>
      <c r="L24" s="26" t="n">
        <v>0.83</v>
      </c>
      <c r="M24" s="26" t="n">
        <v>0.73</v>
      </c>
      <c r="N24" s="25" t="n">
        <v>69</v>
      </c>
      <c r="O24" s="25" t="n">
        <v>68.3</v>
      </c>
      <c r="P24" s="26">
        <f>IF(OR(N24="",O24="",O24=0),"",N24/O24-1)</f>
        <v/>
      </c>
      <c r="Q24" s="25" t="n">
        <v>4.9</v>
      </c>
      <c r="R24" s="24" t="n">
        <v>48</v>
      </c>
      <c r="S24" s="26" t="n">
        <v>0.08</v>
      </c>
      <c r="T24" s="26" t="n">
        <v>0.12</v>
      </c>
      <c r="U24" s="27" t="n">
        <v>5802.395</v>
      </c>
      <c r="V24" s="27">
        <f>IF(OR(U24="",I24="",I24=0),"",U24*10000000/I24)</f>
        <v/>
      </c>
      <c r="W24" s="23" t="n"/>
      <c r="X24" s="23" t="n"/>
      <c r="Y24" s="23" t="inlineStr">
        <is>
          <t>Grade A IT SEZ. Total 7.4 msf = 4.98 completed (occ/tenants shown) + 2.41 under-constr/future (B17 hotel+office, Bldg15; NIL occupancy). Exit cap 8.00%; WACC 11.75% completed, 13% UC. Completed occ 73.2%/committed 83.1%, 48 tenants. Land ~50.1 ac leasehold (MIDC 99yr). Also power distribution (see Energispace). chunk b</t>
        </is>
      </c>
    </row>
    <row r="25" ht="65.3" customHeight="1" s="18">
      <c r="A25" s="20" t="inlineStr">
        <is>
          <t>Mindspace</t>
        </is>
      </c>
      <c r="B25" s="21" t="inlineStr">
        <is>
          <t>Gigaplex Estate Private Limited</t>
        </is>
      </c>
      <c r="C25" s="22" t="inlineStr">
        <is>
          <t>Mindspace Airoli West</t>
        </is>
      </c>
      <c r="D25" s="20" t="inlineStr">
        <is>
          <t>Office</t>
        </is>
      </c>
      <c r="E25" s="20" t="inlineStr">
        <is>
          <t>Navi Mumbai</t>
        </is>
      </c>
      <c r="F25" s="21" t="inlineStr">
        <is>
          <t>Thane-Belapur Road</t>
        </is>
      </c>
      <c r="G25" s="21" t="inlineStr">
        <is>
          <t>Thane-Belapur Road (Airoli)</t>
        </is>
      </c>
      <c r="H25" s="23" t="inlineStr">
        <is>
          <t>Mindspace Airoli West, Navi Mumbai, Maharashtra</t>
        </is>
      </c>
      <c r="I25" s="24" t="n">
        <v>6460000</v>
      </c>
      <c r="J25" s="25" t="n">
        <v>6.46</v>
      </c>
      <c r="K25" s="25" t="n">
        <v>5.41</v>
      </c>
      <c r="L25" s="26" t="n">
        <v>0.99</v>
      </c>
      <c r="M25" s="26" t="n">
        <v>0.97</v>
      </c>
      <c r="N25" s="25" t="n">
        <v>71</v>
      </c>
      <c r="O25" s="25" t="n">
        <v>67.2</v>
      </c>
      <c r="P25" s="26">
        <f>IF(OR(N25="",O25="",O25=0),"",N25/O25-1)</f>
        <v/>
      </c>
      <c r="Q25" s="25" t="n">
        <v>9</v>
      </c>
      <c r="R25" s="24" t="n">
        <v>62</v>
      </c>
      <c r="S25" s="26" t="n">
        <v>0.08</v>
      </c>
      <c r="T25" s="26" t="n">
        <v>0.12</v>
      </c>
      <c r="U25" s="27" t="n">
        <v>6577</v>
      </c>
      <c r="V25" s="27">
        <f>IF(OR(U25="",I25="",I25=0),"",U25*10000000/I25)</f>
        <v/>
      </c>
      <c r="W25" s="23" t="n"/>
      <c r="X25" s="23" t="n"/>
      <c r="Y25" s="23" t="inlineStr">
        <is>
          <t>IT SEZ w/ data-centre buildings. Total 6.46 msf incl UC data centres (B7,B9A,B11). Completed 5.41 msf occ 96.6%/committed 98.7%, 62 tenants. Exit cap 8.00% (completed; 8.25% terminal on some); WACC 11.75% completed/13% UC. Market office rent INR71/psf/mo. Land ~50 ac leasehold (MIDC 95yr). chunk b</t>
        </is>
      </c>
    </row>
    <row r="26" ht="44" customHeight="1" s="18">
      <c r="A26" s="20" t="inlineStr">
        <is>
          <t>Mindspace</t>
        </is>
      </c>
      <c r="B26" s="21" t="inlineStr">
        <is>
          <t>Avocado Properties and Trading (India) Private Limited</t>
        </is>
      </c>
      <c r="C26" s="22" t="inlineStr">
        <is>
          <t>Paradigm Mindspace Malad</t>
        </is>
      </c>
      <c r="D26" s="20" t="inlineStr">
        <is>
          <t>Office</t>
        </is>
      </c>
      <c r="E26" s="20" t="inlineStr">
        <is>
          <t>Mumbai</t>
        </is>
      </c>
      <c r="F26" s="21" t="inlineStr">
        <is>
          <t>Malad</t>
        </is>
      </c>
      <c r="G26" s="21" t="inlineStr">
        <is>
          <t>Western Suburbs (Malad)</t>
        </is>
      </c>
      <c r="H26" s="23" t="inlineStr">
        <is>
          <t>Paradigm Mindspace Malad, Mumbai, Maharashtra</t>
        </is>
      </c>
      <c r="I26" s="24" t="n">
        <v>760000</v>
      </c>
      <c r="J26" s="25" t="n">
        <v>0.76</v>
      </c>
      <c r="K26" s="25" t="n">
        <v>0.76</v>
      </c>
      <c r="L26" s="26" t="n">
        <v>0.99</v>
      </c>
      <c r="M26" s="26" t="n">
        <v>0.99</v>
      </c>
      <c r="N26" s="25" t="n">
        <v>116</v>
      </c>
      <c r="O26" s="25" t="n">
        <v>108.5</v>
      </c>
      <c r="P26" s="26">
        <f>IF(OR(N26="",O26="",O26=0),"",N26/O26-1)</f>
        <v/>
      </c>
      <c r="Q26" s="25" t="n">
        <v>3.1</v>
      </c>
      <c r="R26" s="24" t="n">
        <v>9</v>
      </c>
      <c r="S26" s="26" t="n">
        <v>0.08</v>
      </c>
      <c r="T26" s="26" t="n">
        <v>0.12</v>
      </c>
      <c r="U26" s="27" t="n">
        <v>1371.121</v>
      </c>
      <c r="V26" s="27">
        <f>IF(OR(U26="",I26="",I26=0),"",U26*10000000/I26)</f>
        <v/>
      </c>
      <c r="W26" s="23" t="n"/>
      <c r="X26" s="23" t="n"/>
      <c r="Y26" s="23" t="inlineStr">
        <is>
          <t>Office. Exit cap 8.00%, WACC 11.75%. Occ 98.6%/committed 98.6%, 9 tenants. Market/marginal rent INR116/psf/mo, in-place INR108.5. WALE 3.1 yrs. Land ~4.2 ac freehold. chunk b</t>
        </is>
      </c>
    </row>
    <row r="27" ht="54.65" customHeight="1" s="18">
      <c r="A27" s="20" t="inlineStr">
        <is>
          <t>Mindspace</t>
        </is>
      </c>
      <c r="B27" s="21" t="inlineStr">
        <is>
          <t>Avacado Properties and Trading (India) Private Limited</t>
        </is>
      </c>
      <c r="C27" s="22" t="inlineStr">
        <is>
          <t>The Square, BKC (Mumbai)</t>
        </is>
      </c>
      <c r="D27" s="20" t="inlineStr">
        <is>
          <t>Office</t>
        </is>
      </c>
      <c r="E27" s="20" t="inlineStr">
        <is>
          <t>Mumbai</t>
        </is>
      </c>
      <c r="F27" s="21" t="inlineStr">
        <is>
          <t>BKC</t>
        </is>
      </c>
      <c r="G27" s="21" t="inlineStr">
        <is>
          <t>BKC (SBD BKC)</t>
        </is>
      </c>
      <c r="H27" s="23" t="inlineStr">
        <is>
          <t>The Square, BKC, Mumbai, Maharashtra</t>
        </is>
      </c>
      <c r="I27" s="24" t="n">
        <v>150000</v>
      </c>
      <c r="J27" s="25" t="n">
        <v>0.15</v>
      </c>
      <c r="K27" s="25" t="n">
        <v>0.15</v>
      </c>
      <c r="L27" s="26" t="n">
        <v>1</v>
      </c>
      <c r="M27" s="26" t="n">
        <v>1</v>
      </c>
      <c r="N27" s="25" t="n">
        <v>318</v>
      </c>
      <c r="O27" s="25" t="n">
        <v>240</v>
      </c>
      <c r="P27" s="26">
        <f>IF(OR(N27="",O27="",O27=0),"",N27/O27-1)</f>
        <v/>
      </c>
      <c r="Q27" s="25" t="n"/>
      <c r="R27" s="24" t="n">
        <v>1</v>
      </c>
      <c r="S27" s="26" t="n">
        <v>0.08</v>
      </c>
      <c r="T27" s="26" t="n">
        <v>0.12</v>
      </c>
      <c r="U27" s="27" t="n">
        <v>533.8680000000001</v>
      </c>
      <c r="V27" s="27">
        <f>IF(OR(U27="",I27="",I27=0),"",U27*10000000/I27)</f>
        <v/>
      </c>
      <c r="W27" s="23" t="n"/>
      <c r="X27" s="23" t="n"/>
      <c r="Y27" s="23" t="inlineStr">
        <is>
          <t>BKC office, fully operational single-tenant. Exit cap ~7.5-7.75%, WACC 11.75%. Occ 100%/committed 100%, 1 office tenant. Market/marginal rent INR318, in-place INR240 psf/mo. MV INR5,338.68mn. Land ~0.9 ac. SPV Avacado Properties. chunk b</t>
        </is>
      </c>
    </row>
    <row r="28" ht="54.65" customHeight="1" s="18">
      <c r="A28" s="20" t="inlineStr">
        <is>
          <t>Mindspace</t>
        </is>
      </c>
      <c r="B28" s="21" t="inlineStr">
        <is>
          <t>KRC (Ascent SPV)</t>
        </is>
      </c>
      <c r="C28" s="22" t="inlineStr">
        <is>
          <t>The Square / Ascent, Worli</t>
        </is>
      </c>
      <c r="D28" s="20" t="inlineStr">
        <is>
          <t>Office</t>
        </is>
      </c>
      <c r="E28" s="20" t="inlineStr">
        <is>
          <t>Mumbai</t>
        </is>
      </c>
      <c r="F28" s="21" t="inlineStr">
        <is>
          <t>Worli</t>
        </is>
      </c>
      <c r="G28" s="21" t="inlineStr">
        <is>
          <t>Worli (SBD Central)</t>
        </is>
      </c>
      <c r="H28" s="23" t="inlineStr">
        <is>
          <t>Ascent, Worli, Mumbai, Maharashtra</t>
        </is>
      </c>
      <c r="I28" s="24" t="n">
        <v>450000</v>
      </c>
      <c r="J28" s="25" t="n">
        <v>0.45</v>
      </c>
      <c r="K28" s="25" t="n">
        <v>0.45</v>
      </c>
      <c r="L28" s="26" t="n">
        <v>0.97</v>
      </c>
      <c r="M28" s="26" t="n">
        <v>0.96</v>
      </c>
      <c r="N28" s="25" t="n">
        <v>340</v>
      </c>
      <c r="O28" s="25" t="n">
        <v>306.3</v>
      </c>
      <c r="P28" s="26">
        <f>IF(OR(N28="",O28="",O28=0),"",N28/O28-1)</f>
        <v/>
      </c>
      <c r="Q28" s="25" t="n">
        <v>7.9</v>
      </c>
      <c r="R28" s="24" t="n">
        <v>8</v>
      </c>
      <c r="S28" s="26" t="n">
        <v>0.08</v>
      </c>
      <c r="T28" s="26" t="n">
        <v>0.12</v>
      </c>
      <c r="U28" s="27" t="n">
        <v>2314.206</v>
      </c>
      <c r="V28" s="27">
        <f>IF(OR(U28="",I28="",I28=0),"",U28*10000000/I28)</f>
        <v/>
      </c>
      <c r="W28" s="23" t="n"/>
      <c r="X28" s="23" t="n"/>
      <c r="Y28" s="23" t="inlineStr">
        <is>
          <t>Commercial Non-SEZ + 36 residential units to rent. Exit cap 7.50%, WACC 11.75%. Occ 95.5%/committed 96.7%, 8 office tenants. Market rent INR340, in-place INR306.3 psf/mo. Leasehold (perpetual). ~4.61 ac (22.45% undivided). chunk c</t>
        </is>
      </c>
    </row>
    <row r="29" ht="44" customHeight="1" s="18">
      <c r="A29" s="20" t="inlineStr">
        <is>
          <t>Mindspace</t>
        </is>
      </c>
      <c r="B29" s="21" t="inlineStr">
        <is>
          <t>Mindspace Business Parks Private Limited</t>
        </is>
      </c>
      <c r="C29" s="22" t="inlineStr">
        <is>
          <t>Commerzone Yerwada (Pune)</t>
        </is>
      </c>
      <c r="D29" s="20" t="inlineStr">
        <is>
          <t>Office</t>
        </is>
      </c>
      <c r="E29" s="20" t="inlineStr">
        <is>
          <t>Pune</t>
        </is>
      </c>
      <c r="F29" s="21" t="inlineStr">
        <is>
          <t>Yerwada</t>
        </is>
      </c>
      <c r="G29" s="21" t="inlineStr">
        <is>
          <t>Yerwada (SBD East)</t>
        </is>
      </c>
      <c r="H29" s="23" t="inlineStr">
        <is>
          <t>Commerzone IT Park, Yerwada, Pune, Maharashtra</t>
        </is>
      </c>
      <c r="I29" s="24" t="n">
        <v>1790000</v>
      </c>
      <c r="J29" s="25" t="n">
        <v>1.79</v>
      </c>
      <c r="K29" s="25" t="n">
        <v>1.79</v>
      </c>
      <c r="L29" s="26" t="n">
        <v>0.96</v>
      </c>
      <c r="M29" s="26" t="n">
        <v>0.92</v>
      </c>
      <c r="N29" s="25" t="n">
        <v>82</v>
      </c>
      <c r="O29" s="25" t="n">
        <v>87.3</v>
      </c>
      <c r="P29" s="26">
        <f>IF(OR(N29="",O29="",O29=0),"",N29/O29-1)</f>
        <v/>
      </c>
      <c r="Q29" s="25" t="n">
        <v>5.3</v>
      </c>
      <c r="R29" s="24" t="n">
        <v>19</v>
      </c>
      <c r="S29" s="26" t="n">
        <v>0.08</v>
      </c>
      <c r="T29" s="26" t="n">
        <v>0.12</v>
      </c>
      <c r="U29" s="27" t="n">
        <v>2235.438</v>
      </c>
      <c r="V29" s="27">
        <f>IF(OR(U29="",I29="",I29=0),"",U29*10000000/I29)</f>
        <v/>
      </c>
      <c r="W29" s="23" t="n"/>
      <c r="X29" s="23" t="n"/>
      <c r="Y29" s="23" t="inlineStr">
        <is>
          <t>Office. Exit cap 8.00%, WACC 11.75%. Occ 91.8%/committed 96.3%, 19 tenants. Market/marginal office rent INR82, in-place INR87.3 psf/mo. Land ~25.7 ac freehold. chunk c</t>
        </is>
      </c>
    </row>
    <row r="30" ht="33.3" customHeight="1" s="18">
      <c r="A30" s="20" t="inlineStr">
        <is>
          <t>Mindspace</t>
        </is>
      </c>
      <c r="B30" s="21" t="inlineStr">
        <is>
          <t>KRC Infrastructure and Projects Private Limited</t>
        </is>
      </c>
      <c r="C30" s="22" t="inlineStr">
        <is>
          <t>Gera Commerzone SEZ &amp; IT Park (Kharadi, Pune)</t>
        </is>
      </c>
      <c r="D30" s="20" t="inlineStr">
        <is>
          <t>Office</t>
        </is>
      </c>
      <c r="E30" s="20" t="inlineStr">
        <is>
          <t>Pune</t>
        </is>
      </c>
      <c r="F30" s="21" t="inlineStr">
        <is>
          <t>Kharadi</t>
        </is>
      </c>
      <c r="G30" s="21" t="inlineStr">
        <is>
          <t>Kharadi (SBD East)</t>
        </is>
      </c>
      <c r="H30" s="23" t="inlineStr">
        <is>
          <t>Gera Commerzone SEZ and IT Park, Kharadi, Pune, Maharashtra</t>
        </is>
      </c>
      <c r="I30" s="24" t="n">
        <v>3000000</v>
      </c>
      <c r="J30" s="25" t="n">
        <v>3</v>
      </c>
      <c r="K30" s="25" t="n">
        <v>3</v>
      </c>
      <c r="L30" s="26" t="n">
        <v>1</v>
      </c>
      <c r="M30" s="26" t="n">
        <v>1</v>
      </c>
      <c r="N30" s="25" t="n">
        <v>90</v>
      </c>
      <c r="O30" s="25" t="n">
        <v>85.40000000000001</v>
      </c>
      <c r="P30" s="26">
        <f>IF(OR(N30="",O30="",O30=0),"",N30/O30-1)</f>
        <v/>
      </c>
      <c r="Q30" s="25" t="n">
        <v>7.2</v>
      </c>
      <c r="R30" s="24" t="n">
        <v>28</v>
      </c>
      <c r="S30" s="26" t="n">
        <v>0.08</v>
      </c>
      <c r="T30" s="26" t="n">
        <v>0.12</v>
      </c>
      <c r="U30" s="27" t="n">
        <v>5311.9</v>
      </c>
      <c r="V30" s="27">
        <f>IF(OR(U30="",I30="",I30=0),"",U30*10000000/I30)</f>
        <v/>
      </c>
      <c r="W30" s="23" t="n"/>
      <c r="X30" s="23" t="n"/>
      <c r="Y30" s="23" t="inlineStr">
        <is>
          <t>SEZ IT. Exit cap 7.75%, WACC 11.75% completed/13% UC. Occ 100%/100%, 28 tenants. Market office rent INR90, in-place INR85.4 psf/mo. Land ~26 ac freehold. chunk c</t>
        </is>
      </c>
    </row>
    <row r="31" ht="33.3" customHeight="1" s="18">
      <c r="A31" s="20" t="inlineStr">
        <is>
          <t>Mindspace</t>
        </is>
      </c>
      <c r="B31" s="21" t="inlineStr">
        <is>
          <t>Mindspace Business Parks Private Limited</t>
        </is>
      </c>
      <c r="C31" s="22" t="inlineStr">
        <is>
          <t>The Square, Nagar Road (Pune)</t>
        </is>
      </c>
      <c r="D31" s="20" t="inlineStr">
        <is>
          <t>Office</t>
        </is>
      </c>
      <c r="E31" s="20" t="inlineStr">
        <is>
          <t>Pune</t>
        </is>
      </c>
      <c r="F31" s="21" t="inlineStr">
        <is>
          <t>Nagar Road</t>
        </is>
      </c>
      <c r="G31" s="21" t="inlineStr">
        <is>
          <t>Nagar Road (SBD East)</t>
        </is>
      </c>
      <c r="H31" s="23" t="inlineStr">
        <is>
          <t>The Square, Nagar Road, Pune, Maharashtra</t>
        </is>
      </c>
      <c r="I31" s="24" t="n">
        <v>780000</v>
      </c>
      <c r="J31" s="25" t="n">
        <v>0.78</v>
      </c>
      <c r="K31" s="25" t="n">
        <v>0.78</v>
      </c>
      <c r="L31" s="26" t="n">
        <v>1</v>
      </c>
      <c r="M31" s="26" t="n">
        <v>1</v>
      </c>
      <c r="N31" s="25" t="n">
        <v>85</v>
      </c>
      <c r="O31" s="25" t="n">
        <v>85.3</v>
      </c>
      <c r="P31" s="26">
        <f>IF(OR(N31="",O31="",O31=0),"",N31/O31-1)</f>
        <v/>
      </c>
      <c r="Q31" s="25" t="n">
        <v>2.4</v>
      </c>
      <c r="R31" s="24" t="n">
        <v>4</v>
      </c>
      <c r="S31" s="26" t="n">
        <v>0.08</v>
      </c>
      <c r="T31" s="26" t="n">
        <v>0.12</v>
      </c>
      <c r="U31" s="27" t="n">
        <v>1055.141</v>
      </c>
      <c r="V31" s="27">
        <f>IF(OR(U31="",I31="",I31=0),"",U31*10000000/I31)</f>
        <v/>
      </c>
      <c r="W31" s="23" t="n"/>
      <c r="X31" s="23" t="n"/>
      <c r="Y31" s="23" t="inlineStr">
        <is>
          <t>Office. Exit cap 8.00%, WACC 11.75%. Occ 100%/100%, 4 tenants. Market office rent INR85, in-place INR85.3 psf/mo. Land ~10.1 ac freehold. chunk c</t>
        </is>
      </c>
    </row>
    <row r="32" ht="44" customHeight="1" s="18">
      <c r="A32" s="20" t="inlineStr">
        <is>
          <t>Mindspace</t>
        </is>
      </c>
      <c r="B32" s="21" t="inlineStr">
        <is>
          <t>Pramaan Properties Private Limited</t>
        </is>
      </c>
      <c r="C32" s="22" t="inlineStr">
        <is>
          <t>Pune IT Building, Kalyani Nagar</t>
        </is>
      </c>
      <c r="D32" s="20" t="inlineStr">
        <is>
          <t>Office</t>
        </is>
      </c>
      <c r="E32" s="20" t="inlineStr">
        <is>
          <t>Pune</t>
        </is>
      </c>
      <c r="F32" s="21" t="inlineStr">
        <is>
          <t>Kalyani Nagar</t>
        </is>
      </c>
      <c r="G32" s="21" t="inlineStr">
        <is>
          <t>Kalyani Nagar (SBD East)</t>
        </is>
      </c>
      <c r="H32" s="23" t="inlineStr">
        <is>
          <t>Pune IT Building (B8), Kalyani Nagar, Pune, Maharashtra</t>
        </is>
      </c>
      <c r="I32" s="24" t="n">
        <v>110000</v>
      </c>
      <c r="J32" s="25" t="n">
        <v>0.11</v>
      </c>
      <c r="K32" s="25" t="n">
        <v>0.11</v>
      </c>
      <c r="L32" s="26" t="n">
        <v>0.9399999999999999</v>
      </c>
      <c r="M32" s="26" t="n">
        <v>0.88</v>
      </c>
      <c r="N32" s="25" t="n">
        <v>84</v>
      </c>
      <c r="O32" s="25" t="n">
        <v>86.2</v>
      </c>
      <c r="P32" s="26">
        <f>IF(OR(N32="",O32="",O32=0),"",N32/O32-1)</f>
        <v/>
      </c>
      <c r="Q32" s="25" t="n">
        <v>6.34</v>
      </c>
      <c r="R32" s="24" t="n">
        <v>1</v>
      </c>
      <c r="S32" s="26" t="n">
        <v>0.08</v>
      </c>
      <c r="T32" s="26" t="n">
        <v>0.12</v>
      </c>
      <c r="U32" s="27" t="n">
        <v>148.151</v>
      </c>
      <c r="V32" s="27">
        <f>IF(OR(U32="",I32="",I32=0),"",U32*10000000/I32)</f>
        <v/>
      </c>
      <c r="W32" s="23" t="n"/>
      <c r="X32" s="23" t="n"/>
      <c r="Y32" s="23" t="inlineStr">
        <is>
          <t>Single office building B8. Exit cap office 8.00%, WACC 11.75%. Occ 88.1%/committed 94.2%, 1 tenant. Market office rent INR84 (amenity INR65), in-place INR86.2 psf/mo. Land ~0.67 ac (39.96% undivided share) freehold. chunk d</t>
        </is>
      </c>
    </row>
    <row r="33" ht="44" customHeight="1" s="18">
      <c r="A33" s="20" t="inlineStr">
        <is>
          <t>Mindspace</t>
        </is>
      </c>
      <c r="B33" s="21" t="inlineStr">
        <is>
          <t>Horizonview Properties Private Limited</t>
        </is>
      </c>
      <c r="C33" s="22" t="inlineStr">
        <is>
          <t>Commerzone Porur (Chennai)</t>
        </is>
      </c>
      <c r="D33" s="20" t="inlineStr">
        <is>
          <t>Office</t>
        </is>
      </c>
      <c r="E33" s="20" t="inlineStr">
        <is>
          <t>Chennai</t>
        </is>
      </c>
      <c r="F33" s="21" t="inlineStr">
        <is>
          <t>Porur</t>
        </is>
      </c>
      <c r="G33" s="21" t="inlineStr">
        <is>
          <t>Porur (SBD Southwest)</t>
        </is>
      </c>
      <c r="H33" s="23" t="inlineStr">
        <is>
          <t>Commerzone, Porur, Chennai, Tamil Nadu</t>
        </is>
      </c>
      <c r="I33" s="24" t="n">
        <v>1150000</v>
      </c>
      <c r="J33" s="25" t="n">
        <v>1.15</v>
      </c>
      <c r="K33" s="25" t="n">
        <v>1.15</v>
      </c>
      <c r="L33" s="26" t="n">
        <v>1</v>
      </c>
      <c r="M33" s="26" t="n">
        <v>1</v>
      </c>
      <c r="N33" s="25" t="n">
        <v>72</v>
      </c>
      <c r="O33" s="25" t="n">
        <v>65.7</v>
      </c>
      <c r="P33" s="26">
        <f>IF(OR(N33="",O33="",O33=0),"",N33/O33-1)</f>
        <v/>
      </c>
      <c r="Q33" s="25" t="n"/>
      <c r="R33" s="24" t="n">
        <v>16</v>
      </c>
      <c r="S33" s="26" t="n">
        <v>0.08</v>
      </c>
      <c r="T33" s="26" t="n">
        <v>0.12</v>
      </c>
      <c r="U33" s="27" t="n">
        <v>1333.474</v>
      </c>
      <c r="V33" s="27">
        <f>IF(OR(U33="",I33="",I33=0),"",U33*10000000/I33)</f>
        <v/>
      </c>
      <c r="W33" s="23" t="n"/>
      <c r="X33" s="23" t="n"/>
      <c r="Y33" s="23" t="inlineStr">
        <is>
          <t>Office. Exit cap 7.75%, WACC 11.75%. Occ 99.5%/committed 100%, 16 tenants. Market/marginal office rent INR72, in-place INR65.7 psf/mo. Land ~6.13 ac freehold. WALE not cleanly captured. chunk d</t>
        </is>
      </c>
    </row>
    <row r="34" ht="44" customHeight="1" s="18">
      <c r="A34" s="20" t="inlineStr">
        <is>
          <t>Mindspace</t>
        </is>
      </c>
      <c r="B34" s="21" t="inlineStr">
        <is>
          <t>Sundew Real Estate Private Limited</t>
        </is>
      </c>
      <c r="C34" s="22" t="inlineStr">
        <is>
          <t>The Square, Avenue 98 (BKC Annex)</t>
        </is>
      </c>
      <c r="D34" s="20" t="inlineStr">
        <is>
          <t>Office</t>
        </is>
      </c>
      <c r="E34" s="20" t="inlineStr">
        <is>
          <t>Mumbai</t>
        </is>
      </c>
      <c r="F34" s="21" t="inlineStr">
        <is>
          <t>BKC-Annex</t>
        </is>
      </c>
      <c r="G34" s="21" t="inlineStr">
        <is>
          <t>BKC-Annex (SBD BKC)</t>
        </is>
      </c>
      <c r="H34" s="23" t="inlineStr">
        <is>
          <t>The Square, Avenue 98 (BKC Annex), Mumbai, Maharashtra</t>
        </is>
      </c>
      <c r="I34" s="24" t="n">
        <v>220000</v>
      </c>
      <c r="J34" s="25" t="n">
        <v>0.22</v>
      </c>
      <c r="K34" s="25" t="n">
        <v>0.16</v>
      </c>
      <c r="L34" s="26" t="n">
        <v>1</v>
      </c>
      <c r="M34" s="26" t="n">
        <v>1</v>
      </c>
      <c r="N34" s="25" t="n">
        <v>250</v>
      </c>
      <c r="O34" s="25" t="n">
        <v>197.1</v>
      </c>
      <c r="P34" s="26">
        <f>IF(OR(N34="",O34="",O34=0),"",N34/O34-1)</f>
        <v/>
      </c>
      <c r="Q34" s="25" t="n"/>
      <c r="R34" s="24" t="n">
        <v>1</v>
      </c>
      <c r="S34" s="26" t="n">
        <v>0.08</v>
      </c>
      <c r="T34" s="26" t="n">
        <v>0.12</v>
      </c>
      <c r="U34" s="27" t="n">
        <v>756.9</v>
      </c>
      <c r="V34" s="27">
        <f>IF(OR(U34="",I34="",I34=0),"",U34*10000000/I34)</f>
        <v/>
      </c>
      <c r="W34" s="23" t="n"/>
      <c r="X34" s="23" t="n"/>
      <c r="Y34" s="23" t="inlineStr">
        <is>
          <t>Commercial Non-SEZ. Leasable 0.22 msf, completed ~0.16 msf. Exit cap 7.50%, WACC 11.75%. Occ 100%/100%, 1 office tenant. Market rent INR250, in-place INR197.1 psf/mo. Land ~1.08 ac freehold. chunk d</t>
        </is>
      </c>
    </row>
    <row r="35" ht="118.65" customHeight="1" s="18">
      <c r="A35" s="20" t="inlineStr">
        <is>
          <t>Brookfield</t>
        </is>
      </c>
      <c r="B35" s="21" t="inlineStr">
        <is>
          <t>Candor Kolkata One Hi-Tech Structures Private Limited</t>
        </is>
      </c>
      <c r="C35" s="22" t="inlineStr">
        <is>
          <t>Candor Techspace G2</t>
        </is>
      </c>
      <c r="D35" s="20" t="inlineStr">
        <is>
          <t>Office</t>
        </is>
      </c>
      <c r="E35" s="20" t="inlineStr">
        <is>
          <t>Gurugram</t>
        </is>
      </c>
      <c r="F35" s="21" t="inlineStr">
        <is>
          <t>Dundahera</t>
        </is>
      </c>
      <c r="G35" s="21" t="inlineStr">
        <is>
          <t>Old Delhi-Gurugram Road, Dundahera (Gurugram, established office/residential/retail micro-market; near DLF Cyber City)</t>
        </is>
      </c>
      <c r="H35" s="23" t="inlineStr">
        <is>
          <t>Candor Techspace, Dundahera, Gurugram, Haryana</t>
        </is>
      </c>
      <c r="I35" s="24" t="n">
        <v>4183449</v>
      </c>
      <c r="J35" s="25" t="n">
        <v>4.18</v>
      </c>
      <c r="K35" s="25" t="n">
        <v>4.08</v>
      </c>
      <c r="L35" s="26" t="n">
        <v>0.83</v>
      </c>
      <c r="M35" s="26" t="n"/>
      <c r="N35" s="25" t="n">
        <v>90</v>
      </c>
      <c r="O35" s="25" t="n">
        <v>88</v>
      </c>
      <c r="P35" s="26">
        <f>IF(OR(N35="",O35="",O35=0),"",N35/O35-1)</f>
        <v/>
      </c>
      <c r="Q35" s="25" t="n">
        <v>8.1</v>
      </c>
      <c r="R35" s="24" t="n"/>
      <c r="S35" s="26" t="n">
        <v>0.08</v>
      </c>
      <c r="T35" s="26" t="n">
        <v>0.12</v>
      </c>
      <c r="U35" s="27" t="n">
        <v>4811.2</v>
      </c>
      <c r="V35" s="27">
        <f>IF(OR(U35="",I35="",I35=0),"",U35*10000000/I35)</f>
        <v/>
      </c>
      <c r="W35" s="23" t="n"/>
      <c r="X35" s="23" t="n"/>
      <c r="Y35" s="23" t="inlineStr">
        <is>
          <t>Completed leasable 4,083,525 sqft (13 bldgs, 83.34% committed occ) + future dev 99,924 sqft. WACC operational 11.50%, WACC under-construction/future dev 12.75% (discount_rate shown=12 rounded from 12.75 UC; operational WACC 11.5). REIT share 100% via Candor SPV; SPV entitled to 72% of gross revenue via JDA with Gurgaon Infospace Ltd (GIL owns land, gets 28%); economic interest in asset 72% (deck). Gross acq price K1+G2 = Rs 62.3 Bn. Completed MV 47,575mn + future dev 537mn = 48,112mn. Source val report pp.19-22; deck p.14 (Investor Pres FY26).</t>
        </is>
      </c>
    </row>
    <row r="36" ht="54.65" customHeight="1" s="18">
      <c r="A36" s="20" t="inlineStr">
        <is>
          <t>Brookfield</t>
        </is>
      </c>
      <c r="B36" s="21" t="inlineStr">
        <is>
          <t>Seaview Developers Private Limited</t>
        </is>
      </c>
      <c r="C36" s="22" t="inlineStr">
        <is>
          <t>Candor Techspace N1</t>
        </is>
      </c>
      <c r="D36" s="20" t="inlineStr">
        <is>
          <t>Office</t>
        </is>
      </c>
      <c r="E36" s="20" t="inlineStr">
        <is>
          <t>Noida</t>
        </is>
      </c>
      <c r="F36" s="21" t="inlineStr">
        <is>
          <t>Sector 62 (Noida)</t>
        </is>
      </c>
      <c r="G36" s="21" t="inlineStr">
        <is>
          <t>Sector 62, Noida (institutional sector, NCR)</t>
        </is>
      </c>
      <c r="H36" s="23" t="inlineStr">
        <is>
          <t>Plot no. B2, Sector 62, Noida, Uttar Pradesh</t>
        </is>
      </c>
      <c r="I36" s="24" t="n"/>
      <c r="J36" s="25" t="n">
        <v>2.88</v>
      </c>
      <c r="K36" s="25" t="n">
        <v>2.02</v>
      </c>
      <c r="L36" s="26" t="n">
        <v>0.98</v>
      </c>
      <c r="M36" s="26" t="n"/>
      <c r="N36" s="25" t="n">
        <v>72</v>
      </c>
      <c r="O36" s="25" t="n">
        <v>64</v>
      </c>
      <c r="P36" s="26">
        <f>IF(OR(N36="",O36="",O36=0),"",N36/O36-1)</f>
        <v/>
      </c>
      <c r="Q36" s="25" t="n">
        <v>7.8</v>
      </c>
      <c r="R36" s="24" t="n"/>
      <c r="S36" s="26" t="n">
        <v>0.08</v>
      </c>
      <c r="T36" s="26" t="n">
        <v>0.12</v>
      </c>
      <c r="U36" s="27" t="n">
        <v>2948.5</v>
      </c>
      <c r="V36" s="27">
        <f>IF(OR(U36="",I36="",I36=0),"",U36*10000000/I36)</f>
        <v/>
      </c>
      <c r="W36" s="23" t="n"/>
      <c r="X36" s="23" t="n"/>
      <c r="Y36" s="23" t="inlineStr">
        <is>
          <t>Completed 20,23,237 sqft (7 bldgs, 97.96% committed occ) + future dev 0.86 msf. REIT share 100%. WACC operational 11.50%, UC 12.75%. Completed MV 26,026mn + future dev 3,459mn = 29,485mn. Source val report pp.23-26; deck p.14.</t>
        </is>
      </c>
    </row>
    <row r="37" ht="65.3" customHeight="1" s="18">
      <c r="A37" s="20" t="inlineStr">
        <is>
          <t>Brookfield</t>
        </is>
      </c>
      <c r="B37" s="21" t="inlineStr">
        <is>
          <t>Festus Properties Private Limited</t>
        </is>
      </c>
      <c r="C37" s="22" t="inlineStr">
        <is>
          <t>Candor Techspace N2</t>
        </is>
      </c>
      <c r="D37" s="20" t="inlineStr">
        <is>
          <t>Office</t>
        </is>
      </c>
      <c r="E37" s="20" t="inlineStr">
        <is>
          <t>Noida</t>
        </is>
      </c>
      <c r="F37" s="21" t="inlineStr">
        <is>
          <t>Sector 135 (Noida)</t>
        </is>
      </c>
      <c r="G37" s="21" t="inlineStr">
        <is>
          <t>Sector 135, Noida-Greater Noida Expressway micro-market</t>
        </is>
      </c>
      <c r="H37" s="23" t="inlineStr">
        <is>
          <t>Plot No. 20, 21, Sector 135, Noida, Uttar Pradesh</t>
        </is>
      </c>
      <c r="I37" s="24" t="n"/>
      <c r="J37" s="25" t="n">
        <v>4.69</v>
      </c>
      <c r="K37" s="25" t="n">
        <v>3.92</v>
      </c>
      <c r="L37" s="26" t="n">
        <v>0.9399999999999999</v>
      </c>
      <c r="M37" s="26" t="n"/>
      <c r="N37" s="25" t="n">
        <v>70</v>
      </c>
      <c r="O37" s="25" t="n">
        <v>64</v>
      </c>
      <c r="P37" s="26">
        <f>IF(OR(N37="",O37="",O37=0),"",N37/O37-1)</f>
        <v/>
      </c>
      <c r="Q37" s="25" t="n">
        <v>6.9</v>
      </c>
      <c r="R37" s="24" t="n"/>
      <c r="S37" s="26" t="n">
        <v>0.08</v>
      </c>
      <c r="T37" s="26" t="n">
        <v>0.12</v>
      </c>
      <c r="U37" s="27" t="n">
        <v>4941</v>
      </c>
      <c r="V37" s="27">
        <f>IF(OR(U37="",I37="",I37=0),"",U37*10000000/I37)</f>
        <v/>
      </c>
      <c r="W37" s="23" t="n"/>
      <c r="X37" s="23" t="n"/>
      <c r="Y37" s="23" t="inlineStr">
        <is>
          <t>Completed 39,15,881 sqft (14 bldgs, 93.52% committed occ) + future dev 0.77 msf. REIT share 100%. Achievable mkt rent: 70 SEZ office / 57 non-SEZ / 60 mixed-use retail; inplace(current effective) 64. WACC operational 11.50%, UC 12.75%. Completed MV 47,064mn + future dev 2,346mn = 49,410mn. Source val report pp.27-30; deck p.14.</t>
        </is>
      </c>
    </row>
    <row r="38" ht="86.65000000000001" customHeight="1" s="18">
      <c r="A38" s="20" t="inlineStr">
        <is>
          <t>Brookfield</t>
        </is>
      </c>
      <c r="B38" s="21" t="inlineStr">
        <is>
          <t>Shantiniketan Properties Private Limited</t>
        </is>
      </c>
      <c r="C38" s="22" t="inlineStr">
        <is>
          <t>Candor Techspace K1</t>
        </is>
      </c>
      <c r="D38" s="20" t="inlineStr">
        <is>
          <t>Office</t>
        </is>
      </c>
      <c r="E38" s="20" t="inlineStr">
        <is>
          <t>Kolkata</t>
        </is>
      </c>
      <c r="F38" s="21" t="inlineStr">
        <is>
          <t>New Town (Rajarhat)</t>
        </is>
      </c>
      <c r="G38" s="21" t="inlineStr">
        <is>
          <t>New Town, Rajarhat, Kolkata (established office micro-market; ~1.5km from CBD metro)</t>
        </is>
      </c>
      <c r="H38" s="23" t="inlineStr">
        <is>
          <t>Plot No. 1, DH Block, New Town, Rajarhat, Kolkata, West Bengal</t>
        </is>
      </c>
      <c r="I38" s="24" t="n"/>
      <c r="J38" s="25" t="n">
        <v>5.89</v>
      </c>
      <c r="K38" s="25" t="n">
        <v>3.2</v>
      </c>
      <c r="L38" s="26" t="n">
        <v>0.99</v>
      </c>
      <c r="M38" s="26" t="n"/>
      <c r="N38" s="25" t="n">
        <v>55</v>
      </c>
      <c r="O38" s="25" t="n">
        <v>49</v>
      </c>
      <c r="P38" s="26">
        <f>IF(OR(N38="",O38="",O38=0),"",N38/O38-1)</f>
        <v/>
      </c>
      <c r="Q38" s="25" t="n">
        <v>8.9</v>
      </c>
      <c r="R38" s="24" t="n"/>
      <c r="S38" s="26" t="n">
        <v>0.08500000000000001</v>
      </c>
      <c r="T38" s="26" t="n">
        <v>0.12</v>
      </c>
      <c r="U38" s="27" t="n">
        <v>3621</v>
      </c>
      <c r="V38" s="27">
        <f>IF(OR(U38="",I38="",I38=0),"",U38*10000000/I38)</f>
        <v/>
      </c>
      <c r="W38" s="23" t="n"/>
      <c r="X38" s="23" t="n"/>
      <c r="Y38" s="23" t="inlineStr">
        <is>
          <t>Completed 32,01,857 sqft (12 bldgs, 98.82% committed occ) + under construction 0.58 msf + future dev 2.11 msf. REIT share 100%. Achievable mkt rent 55 SEZ office /57 non-SEZ /60 mixed-use retail; inplace 49. Cap rate 8.50%. WACC operational 11.50%, UC 12.75%. MV: completed 29,479mn + UC 2,430mn + future dev 4,301mn = 36,210mn. Gross acq price K1+G2=Rs62.3Bn. Source val report pp.31-35; deck p.14.</t>
        </is>
      </c>
    </row>
    <row r="39" ht="97.3" customHeight="1" s="18">
      <c r="A39" s="20" t="inlineStr">
        <is>
          <t>Brookfield</t>
        </is>
      </c>
      <c r="B39" s="21" t="inlineStr">
        <is>
          <t>Festus Properties Private Limited</t>
        </is>
      </c>
      <c r="C39" s="22" t="inlineStr">
        <is>
          <t>Kensington (A &amp; B)</t>
        </is>
      </c>
      <c r="D39" s="20" t="inlineStr">
        <is>
          <t>Office</t>
        </is>
      </c>
      <c r="E39" s="20" t="inlineStr">
        <is>
          <t>Mumbai</t>
        </is>
      </c>
      <c r="F39" s="21" t="inlineStr">
        <is>
          <t>Powai / Andheri</t>
        </is>
      </c>
      <c r="G39" s="21" t="inlineStr">
        <is>
          <t>Andheri &amp; Powai micro-market, MMR (only private IT/ITeS SEZ in Mumbai excl. Thane/Navi Mumbai)</t>
        </is>
      </c>
      <c r="H39" s="23" t="inlineStr">
        <is>
          <t>Hiranandani Business Park, CTS No. 28A, Powai, Mumbai 400076, Maharashtra</t>
        </is>
      </c>
      <c r="I39" s="24" t="n">
        <v>1619079</v>
      </c>
      <c r="J39" s="25" t="n">
        <v>1.61</v>
      </c>
      <c r="K39" s="25" t="n">
        <v>1.61</v>
      </c>
      <c r="L39" s="26" t="n">
        <v>0.96</v>
      </c>
      <c r="M39" s="26" t="n"/>
      <c r="N39" s="25" t="n">
        <v>160</v>
      </c>
      <c r="O39" s="25" t="n">
        <v>136</v>
      </c>
      <c r="P39" s="26">
        <f>IF(OR(N39="",O39="",O39=0),"",N39/O39-1)</f>
        <v/>
      </c>
      <c r="Q39" s="25" t="n">
        <v>9.1</v>
      </c>
      <c r="R39" s="24" t="n"/>
      <c r="S39" s="26" t="n">
        <v>0.08</v>
      </c>
      <c r="T39" s="26" t="n">
        <v>0.12</v>
      </c>
      <c r="U39" s="27" t="n">
        <v>3198.1</v>
      </c>
      <c r="V39" s="27">
        <f>IF(OR(U39="",I39="",I39=0),"",U39*10000000/I39)</f>
        <v/>
      </c>
      <c r="W39" s="23" t="n"/>
      <c r="X39" s="23" t="n"/>
      <c r="Y39" s="23" t="inlineStr">
        <is>
          <t>Single bldg two wings, 1,619,079 sqft, 95.61% committed occ (val rpt) / 96% (deck). REIT share 100%. Deck groups Kensington under 'Downtown Powai - SEZ' (100% economic interest). Property tax entity: Festus Properties Pvt Ltd (val rpt). Achievable mkt rent 160 IT SEZ /175 IT; inplace(current effective) 136. Cap rate 8.00%, WACC operational 11.50%. Major tenants: TCS, L&amp;T, GE Oil &amp; Gas, Ergo Technology, Nomura, Aptia, RXO. Gross acq price Rs22.9Bn. MV 31,981mn. Source val report pp.36-39; deck p.14.</t>
        </is>
      </c>
    </row>
    <row r="40" ht="86.65000000000001" customHeight="1" s="18">
      <c r="A40" s="20" t="inlineStr">
        <is>
          <t>Brookfield</t>
        </is>
      </c>
      <c r="B40" s="21" t="inlineStr">
        <is>
          <t>Candor Gurgaon One Realty Projects Private Limited</t>
        </is>
      </c>
      <c r="C40" s="22" t="inlineStr">
        <is>
          <t>Candor Techspace G1</t>
        </is>
      </c>
      <c r="D40" s="20" t="inlineStr">
        <is>
          <t>Office</t>
        </is>
      </c>
      <c r="E40" s="20" t="inlineStr">
        <is>
          <t>Gurugram</t>
        </is>
      </c>
      <c r="F40" s="21" t="inlineStr">
        <is>
          <t>Sector 48 (Gurugram)</t>
        </is>
      </c>
      <c r="G40" s="21" t="inlineStr">
        <is>
          <t>Sector 48, Gurugram (Village Tikri), Haryana</t>
        </is>
      </c>
      <c r="H40" s="23" t="inlineStr">
        <is>
          <t>Village Tikri, Sector 48, Gurugram, Haryana</t>
        </is>
      </c>
      <c r="I40" s="24" t="n"/>
      <c r="J40" s="25" t="n">
        <v>3.89</v>
      </c>
      <c r="K40" s="25" t="n">
        <v>3.79</v>
      </c>
      <c r="L40" s="26" t="n">
        <v>0.89</v>
      </c>
      <c r="M40" s="26" t="n"/>
      <c r="N40" s="25" t="n">
        <v>88</v>
      </c>
      <c r="O40" s="25" t="n">
        <v>83</v>
      </c>
      <c r="P40" s="26">
        <f>IF(OR(N40="",O40="",O40=0),"",N40/O40-1)</f>
        <v/>
      </c>
      <c r="Q40" s="25" t="n">
        <v>6.3</v>
      </c>
      <c r="R40" s="24" t="n"/>
      <c r="S40" s="26" t="n">
        <v>0.08</v>
      </c>
      <c r="T40" s="26" t="n">
        <v>0.12</v>
      </c>
      <c r="U40" s="27" t="n">
        <v>6048.9</v>
      </c>
      <c r="V40" s="27">
        <f>IF(OR(U40="",I40="",I40=0),"",U40*10000000/I40)</f>
        <v/>
      </c>
      <c r="W40" s="23" t="n"/>
      <c r="X40" s="23" t="n"/>
      <c r="Y40" s="23" t="inlineStr">
        <is>
          <t>JV / North Commercial Portfolio - equity-accounted; REIT economic interest 50% (deck). Val report MV of financial interest is 100% asset value 60,489mn (completed 59,924mn + future dev 565mn); 12 completed bldgs, 88.67% committed occ (val rpt)/89% (deck). Held via North Commercial Portfolio Holding Entity (BIRET 50% / GIC 50%). WACC operational 11.50%, UC 12.75%. Source val report pp.40-43; deck p.14, p.38.</t>
        </is>
      </c>
    </row>
    <row r="41" ht="108" customHeight="1" s="18">
      <c r="A41" s="20" t="inlineStr">
        <is>
          <t>Brookfield</t>
        </is>
      </c>
      <c r="B41" s="21" t="inlineStr">
        <is>
          <t>Kairos Properties Private Limited</t>
        </is>
      </c>
      <c r="C41" s="22" t="inlineStr">
        <is>
          <t>Downtown Powai (Kairos)</t>
        </is>
      </c>
      <c r="D41" s="20" t="inlineStr">
        <is>
          <t>Office</t>
        </is>
      </c>
      <c r="E41" s="20" t="inlineStr">
        <is>
          <t>Mumbai</t>
        </is>
      </c>
      <c r="F41" s="21" t="inlineStr">
        <is>
          <t>Powai</t>
        </is>
      </c>
      <c r="G41" s="21" t="inlineStr">
        <is>
          <t>Andheri &amp; Powai micro-market, MMR</t>
        </is>
      </c>
      <c r="H41" s="23" t="inlineStr">
        <is>
          <t>Hiranandani Business Park, Powai, Mumbai 400076, Maharashtra</t>
        </is>
      </c>
      <c r="I41" s="24" t="n"/>
      <c r="J41" s="25" t="n">
        <v>2.86</v>
      </c>
      <c r="K41" s="25" t="n">
        <v>2.86</v>
      </c>
      <c r="L41" s="26" t="n">
        <v>0.95</v>
      </c>
      <c r="M41" s="26" t="n"/>
      <c r="N41" s="25" t="n">
        <v>195</v>
      </c>
      <c r="O41" s="25" t="n">
        <v>186</v>
      </c>
      <c r="P41" s="26">
        <f>IF(OR(N41="",O41="",O41=0),"",N41/O41-1)</f>
        <v/>
      </c>
      <c r="Q41" s="25" t="n">
        <v>3.9</v>
      </c>
      <c r="R41" s="24" t="n"/>
      <c r="S41" s="26" t="n"/>
      <c r="T41" s="26" t="n">
        <v>0.12</v>
      </c>
      <c r="U41" s="27" t="n">
        <v>8575</v>
      </c>
      <c r="V41" s="27">
        <f>IF(OR(U41="",I41="",I41=0),"",U41*10000000/I41)</f>
        <v/>
      </c>
      <c r="W41" s="23" t="n"/>
      <c r="X41" s="23" t="n"/>
      <c r="Y41" s="23" t="inlineStr">
        <is>
          <t>JV / North Commercial Portfolio - equity-accounted; REIT interest 50% Equity + 50% CCDs (val rpt sec 4.7.3); deck 'Downtown Powai - IT/Commercial' 50% economic interest. Val report MV of financial interest 85,750mn (appears to be 100% asset basis). Cap rate stated NA (multiple use types); WACC operational 11.50%. Achievable mkt rent: office 195 commercial + separate IT Central/South, retail multiple (Delphi/Ventura Rs450-543); inplace(current effective) 186. Held via North portfolio (BIRET/GIC). Source val report pp.44-47; deck p.14, p.38.</t>
        </is>
      </c>
    </row>
    <row r="42" ht="97.3" customHeight="1" s="18">
      <c r="A42" s="20" t="inlineStr">
        <is>
          <t>Brookfield</t>
        </is>
      </c>
      <c r="B42" s="21" t="inlineStr">
        <is>
          <t>Aspen Buildtech Private Limited</t>
        </is>
      </c>
      <c r="C42" s="22" t="inlineStr">
        <is>
          <t>Worldmark Tower 1 (Worldmark New Delhi)</t>
        </is>
      </c>
      <c r="D42" s="20" t="inlineStr">
        <is>
          <t>Retail</t>
        </is>
      </c>
      <c r="E42" s="20" t="inlineStr">
        <is>
          <t>New Delhi</t>
        </is>
      </c>
      <c r="F42" s="21" t="inlineStr">
        <is>
          <t>Aerocity</t>
        </is>
      </c>
      <c r="G42" s="21" t="inlineStr">
        <is>
          <t>Aerocity / Airport District, Delhi International Airport (established office &amp; retail micro-market, Delhi NCR)</t>
        </is>
      </c>
      <c r="H42" s="23" t="inlineStr">
        <is>
          <t>Aerocity, Delhi International Airport, New Delhi</t>
        </is>
      </c>
      <c r="I42" s="24" t="n">
        <v>607892</v>
      </c>
      <c r="J42" s="25" t="n">
        <v>0.61</v>
      </c>
      <c r="K42" s="25" t="n">
        <v>0.61</v>
      </c>
      <c r="L42" s="26" t="n">
        <v>0.99</v>
      </c>
      <c r="M42" s="26" t="n"/>
      <c r="N42" s="25" t="n">
        <v>235</v>
      </c>
      <c r="O42" s="25" t="n">
        <v>214</v>
      </c>
      <c r="P42" s="26">
        <f>IF(OR(N42="",O42="",O42=0),"",N42/O42-1)</f>
        <v/>
      </c>
      <c r="Q42" s="25" t="n"/>
      <c r="R42" s="24" t="n"/>
      <c r="S42" s="26" t="n"/>
      <c r="T42" s="26" t="n"/>
      <c r="U42" s="27" t="n">
        <v>1885.6</v>
      </c>
      <c r="V42" s="27">
        <f>IF(OR(U42="",I42="",I42=0),"",U42*10000000/I42)</f>
        <v/>
      </c>
      <c r="W42" s="23" t="n"/>
      <c r="X42" s="23" t="n"/>
      <c r="Y42" s="23" t="inlineStr">
        <is>
          <t>JV / North Commercial Portfolio - equity-accounted; part of 'Worldmark, New Delhi' (deck 50% economic interest, WALE 5.1yr, inplace rent ~230 combined WM ND). Tower 1: 607,892 sqft, 99.4% committed occ. Cap rate NA in val rpt; WACC operational 11.50%. Achievable mkt rent office 235 / retail 190; current effective 214. Val report MV 18,856mn (100% asset basis). Held via Aspen Buildtech, North portfolio (BIRET/GIC 50/50). Source val report pp.48-51; deck p.14.</t>
        </is>
      </c>
    </row>
    <row r="43" ht="86.65000000000001" customHeight="1" s="18">
      <c r="A43" s="20" t="inlineStr">
        <is>
          <t>Brookfield</t>
        </is>
      </c>
      <c r="B43" s="21" t="inlineStr">
        <is>
          <t>Aspen Buildtech Private Limited</t>
        </is>
      </c>
      <c r="C43" s="22" t="inlineStr">
        <is>
          <t>Worldmark Tower 2 &amp; 3 (Worldmark New Delhi)</t>
        </is>
      </c>
      <c r="D43" s="20" t="inlineStr">
        <is>
          <t>Retail</t>
        </is>
      </c>
      <c r="E43" s="20" t="inlineStr">
        <is>
          <t>New Delhi</t>
        </is>
      </c>
      <c r="F43" s="21" t="inlineStr">
        <is>
          <t>Aerocity</t>
        </is>
      </c>
      <c r="G43" s="21" t="inlineStr">
        <is>
          <t>Aerocity / Airport District, Delhi International Airport (Delhi NCR)</t>
        </is>
      </c>
      <c r="H43" s="23" t="inlineStr">
        <is>
          <t>Aerocity, Delhi International Airport, New Delhi</t>
        </is>
      </c>
      <c r="I43" s="24" t="n">
        <v>847326</v>
      </c>
      <c r="J43" s="25" t="n">
        <v>0.85</v>
      </c>
      <c r="K43" s="25" t="n">
        <v>0.85</v>
      </c>
      <c r="L43" s="26" t="n">
        <v>0.93</v>
      </c>
      <c r="M43" s="26" t="n"/>
      <c r="N43" s="25" t="n">
        <v>235</v>
      </c>
      <c r="O43" s="25" t="n">
        <v>249</v>
      </c>
      <c r="P43" s="26">
        <f>IF(OR(N43="",O43="",O43=0),"",N43/O43-1)</f>
        <v/>
      </c>
      <c r="Q43" s="25" t="n"/>
      <c r="R43" s="24" t="n"/>
      <c r="S43" s="26" t="n"/>
      <c r="T43" s="26" t="n"/>
      <c r="U43" s="27" t="n">
        <v>2806.3</v>
      </c>
      <c r="V43" s="27">
        <f>IF(OR(U43="",I43="",I43=0),"",U43*10000000/I43)</f>
        <v/>
      </c>
      <c r="W43" s="23" t="n"/>
      <c r="X43" s="23" t="n"/>
      <c r="Y43" s="23" t="inlineStr">
        <is>
          <t>JV / North Commercial Portfolio - equity-accounted; part of 'Worldmark, New Delhi' (deck 50% economic interest). Tower 2&amp;3: 847,326 sqft, 92.90% committed occ. Cap rate NA; WACC operational 11.50%. Achievable mkt rent office 235 / retail 190 / Atelier 410; current effective rents 249 (T?) &amp; 232 (T?). Val report MV 28,063mn (100% asset basis). Held via Aspen Buildtech, North portfolio (BIRET/GIC 50/50). Source val report pp.52-57; deck p.14.</t>
        </is>
      </c>
    </row>
    <row r="44" ht="86.65000000000001" customHeight="1" s="18">
      <c r="A44" s="20" t="inlineStr">
        <is>
          <t>Brookfield</t>
        </is>
      </c>
      <c r="B44" s="21" t="inlineStr">
        <is>
          <t>Rostrum Realty Private Limited</t>
        </is>
      </c>
      <c r="C44" s="22" t="inlineStr">
        <is>
          <t>Bharti Airtel Centre</t>
        </is>
      </c>
      <c r="D44" s="20" t="inlineStr">
        <is>
          <t>Office</t>
        </is>
      </c>
      <c r="E44" s="20" t="inlineStr">
        <is>
          <t>Gurugram</t>
        </is>
      </c>
      <c r="F44" s="21" t="inlineStr">
        <is>
          <t>Sector 18 (Gurugram)</t>
        </is>
      </c>
      <c r="G44" s="21" t="inlineStr">
        <is>
          <t>Sector 18, Phase IV, Gurugram North micro-market (near DLF Cyber City)</t>
        </is>
      </c>
      <c r="H44" s="23" t="inlineStr">
        <is>
          <t>Phase IV, Sector 18, Gurugram, Haryana</t>
        </is>
      </c>
      <c r="I44" s="24" t="n">
        <v>692585</v>
      </c>
      <c r="J44" s="25" t="n">
        <v>0.6899999999999999</v>
      </c>
      <c r="K44" s="25" t="n">
        <v>0.6899999999999999</v>
      </c>
      <c r="L44" s="26" t="n">
        <v>1</v>
      </c>
      <c r="M44" s="26" t="n">
        <v>1</v>
      </c>
      <c r="N44" s="25" t="n"/>
      <c r="O44" s="25" t="n">
        <v>131</v>
      </c>
      <c r="P44" s="26">
        <f>IF(OR(N44="",O44="",O44=0),"",N44/O44-1)</f>
        <v/>
      </c>
      <c r="Q44" s="25" t="n">
        <v>2</v>
      </c>
      <c r="R44" s="24" t="n">
        <v>1</v>
      </c>
      <c r="S44" s="26" t="n">
        <v>0.08</v>
      </c>
      <c r="T44" s="26" t="n">
        <v>0.12</v>
      </c>
      <c r="U44" s="27" t="n">
        <v>1428.4</v>
      </c>
      <c r="V44" s="27">
        <f>IF(OR(U44="",I44="",I44=0),"",U44*10000000/I44)</f>
        <v/>
      </c>
      <c r="W44" s="23" t="n"/>
      <c r="X44" s="23" t="n"/>
      <c r="Y44" s="23" t="inlineStr">
        <is>
          <t>JV / North Commercial Portfolio - equity-accounted; REIT 50% economic interest (deck). Held by Rostrum Realty Pvt Ltd (also holds Pavilion Mall). Single bldg 692,585 sqft, 100% committed occ, single tenant (Bharti Airtel). Current effective rent 131 (deck in-place rent at expiry Rs131). Cap rate 8.00%, WACC operational 11.50%. Val report MV 14,284mn (100% asset basis). Source val report pp.58-61; deck p.14, p.30.</t>
        </is>
      </c>
    </row>
    <row r="45" ht="76" customHeight="1" s="18">
      <c r="A45" s="20" t="inlineStr">
        <is>
          <t>Brookfield</t>
        </is>
      </c>
      <c r="B45" s="21" t="inlineStr">
        <is>
          <t>Oak Infrastructure Developers Private Limited</t>
        </is>
      </c>
      <c r="C45" s="22" t="inlineStr">
        <is>
          <t>Worldmark Gurugram</t>
        </is>
      </c>
      <c r="D45" s="20" t="inlineStr">
        <is>
          <t>Retail</t>
        </is>
      </c>
      <c r="E45" s="20" t="inlineStr">
        <is>
          <t>Gurugram</t>
        </is>
      </c>
      <c r="F45" s="21" t="inlineStr">
        <is>
          <t>Golf Course Ext (Sector 65)</t>
        </is>
      </c>
      <c r="G45" s="21" t="inlineStr">
        <is>
          <t>Sector 65, Gurugram (Golf Course Extension Road area)</t>
        </is>
      </c>
      <c r="H45" s="23" t="inlineStr">
        <is>
          <t>Sector 65, Gurugram, Haryana</t>
        </is>
      </c>
      <c r="I45" s="24" t="n">
        <v>751397</v>
      </c>
      <c r="J45" s="25" t="n">
        <v>0.75</v>
      </c>
      <c r="K45" s="25" t="n">
        <v>0.75</v>
      </c>
      <c r="L45" s="26" t="n">
        <v>0.92</v>
      </c>
      <c r="M45" s="26" t="n">
        <v>0.92</v>
      </c>
      <c r="N45" s="25" t="n"/>
      <c r="O45" s="25" t="n">
        <v>94</v>
      </c>
      <c r="P45" s="26">
        <f>IF(OR(N45="",O45="",O45=0),"",N45/O45-1)</f>
        <v/>
      </c>
      <c r="Q45" s="25" t="n">
        <v>5.8</v>
      </c>
      <c r="R45" s="24" t="n"/>
      <c r="S45" s="26" t="n">
        <v>0.08</v>
      </c>
      <c r="T45" s="26" t="n">
        <v>0.12</v>
      </c>
      <c r="U45" s="27" t="n">
        <v>1091.2</v>
      </c>
      <c r="V45" s="27">
        <f>IF(OR(U45="",I45="",I45=0),"",U45*10000000/I45)</f>
        <v/>
      </c>
      <c r="W45" s="23" t="n"/>
      <c r="X45" s="23" t="n"/>
      <c r="Y45" s="23" t="inlineStr">
        <is>
          <t>JV / North Commercial Portfolio - equity-accounted; REIT 50% economic interest (deck). Held by Oak Infrastructure Developers. 5 towers (Tower 1-5), 751,397 sqft, 92.2% committed occ (val rpt)/92% (deck). Current effective rent 94 (deck inplace Rs94). Cap rate 8.00%, WACC operational 11.50%. Val report MV 10,912mn (100% asset basis). Source val report pp.62-65; deck p.14.</t>
        </is>
      </c>
    </row>
    <row r="46" ht="65.3" customHeight="1" s="18">
      <c r="A46" s="20" t="inlineStr">
        <is>
          <t>Brookfield</t>
        </is>
      </c>
      <c r="B46" s="21" t="inlineStr">
        <is>
          <t>Rostrum Realty Private Limited</t>
        </is>
      </c>
      <c r="C46" s="22" t="inlineStr">
        <is>
          <t>Pavilion Mall</t>
        </is>
      </c>
      <c r="D46" s="20" t="inlineStr">
        <is>
          <t>Retail</t>
        </is>
      </c>
      <c r="E46" s="20" t="inlineStr">
        <is>
          <t>Ludhiana</t>
        </is>
      </c>
      <c r="F46" s="21" t="inlineStr">
        <is>
          <t>Civil Lines</t>
        </is>
      </c>
      <c r="G46" s="21" t="inlineStr">
        <is>
          <t>Civil Lines, Ludhiana, Punjab</t>
        </is>
      </c>
      <c r="H46" s="23" t="inlineStr">
        <is>
          <t>Civil Lines, Ludhiana, Punjab</t>
        </is>
      </c>
      <c r="I46" s="24" t="n">
        <v>389845</v>
      </c>
      <c r="J46" s="25" t="n">
        <v>0.39</v>
      </c>
      <c r="K46" s="25" t="n">
        <v>0.39</v>
      </c>
      <c r="L46" s="26" t="n">
        <v>0.79</v>
      </c>
      <c r="M46" s="26" t="n">
        <v>0.79</v>
      </c>
      <c r="N46" s="25" t="n"/>
      <c r="O46" s="25" t="n">
        <v>61</v>
      </c>
      <c r="P46" s="26">
        <f>IF(OR(N46="",O46="",O46=0),"",N46/O46-1)</f>
        <v/>
      </c>
      <c r="Q46" s="25" t="n">
        <v>5.2</v>
      </c>
      <c r="R46" s="24" t="n"/>
      <c r="S46" s="26" t="n">
        <v>0.08749999999999999</v>
      </c>
      <c r="T46" s="26" t="n">
        <v>0.12</v>
      </c>
      <c r="U46" s="27" t="n">
        <v>345</v>
      </c>
      <c r="V46" s="27">
        <f>IF(OR(U46="",I46="",I46=0),"",U46*10000000/I46)</f>
        <v/>
      </c>
      <c r="W46" s="23" t="n"/>
      <c r="X46" s="23" t="n"/>
      <c r="Y46" s="23" t="inlineStr">
        <is>
          <t>JV / North Commercial Portfolio - equity-accounted; REIT 50% economic interest (deck). Held by Rostrum Realty Pvt Ltd (with Airtel Centre). Retail mall, 1 tower 389,845 sqft, 79.15% committed occ. Current effective rent 61. Cap rate 8.75%, WACC operational 11.50%. Val report MV 3,450mn (100% asset basis). Source val report pp.66-70; deck p.14.</t>
        </is>
      </c>
    </row>
    <row r="47" ht="129.3" customHeight="1" s="18">
      <c r="A47" s="20" t="inlineStr">
        <is>
          <t>Brookfield</t>
        </is>
      </c>
      <c r="B47" s="21" t="inlineStr">
        <is>
          <t>Arliga Ecoworld Business Parks Private Limited</t>
        </is>
      </c>
      <c r="C47" s="22" t="inlineStr">
        <is>
          <t>Ecoworld</t>
        </is>
      </c>
      <c r="D47" s="20" t="inlineStr">
        <is>
          <t>Office</t>
        </is>
      </c>
      <c r="E47" s="20" t="inlineStr">
        <is>
          <t>Bengaluru</t>
        </is>
      </c>
      <c r="F47" s="21" t="inlineStr">
        <is>
          <t>Bellandur</t>
        </is>
      </c>
      <c r="G47" s="21" t="inlineStr">
        <is>
          <t>Outer Ring Road (ORR), Bellandur-Marathahalli (Competitive REIT micro-market)</t>
        </is>
      </c>
      <c r="H47" s="23" t="inlineStr">
        <is>
          <t>Outer Ring Road, Bellandur-Marathahalli, Bengaluru, Karnataka</t>
        </is>
      </c>
      <c r="I47" s="24" t="n">
        <v>7732309</v>
      </c>
      <c r="J47" s="25" t="n">
        <v>7.73</v>
      </c>
      <c r="K47" s="25" t="n">
        <v>7.65</v>
      </c>
      <c r="L47" s="26" t="n">
        <v>0.9399999999999999</v>
      </c>
      <c r="M47" s="26" t="n">
        <v>0.9399999999999999</v>
      </c>
      <c r="N47" s="25" t="n">
        <v>114</v>
      </c>
      <c r="O47" s="25" t="n">
        <v>100</v>
      </c>
      <c r="P47" s="26">
        <f>IF(OR(N47="",O47="",O47=0),"",N47/O47-1)</f>
        <v/>
      </c>
      <c r="Q47" s="25" t="n">
        <v>6.1</v>
      </c>
      <c r="R47" s="24" t="n"/>
      <c r="S47" s="26" t="n">
        <v>0.08</v>
      </c>
      <c r="T47" s="26" t="n">
        <v>0.12</v>
      </c>
      <c r="U47" s="27" t="n">
        <v>14827.9</v>
      </c>
      <c r="V47" s="27">
        <f>IF(OR(U47="",I47="",I47=0),"",U47*10000000/I47)</f>
        <v/>
      </c>
      <c r="W47" s="23" t="n"/>
      <c r="X47" s="23" t="n"/>
      <c r="Y47" s="23" t="inlineStr">
        <is>
          <t>Acquired Q3 FY2026 (large-scale Bengaluru entry). 15 completed bldgs, 7,652,675 sqft, 94.3% effective committed occ (excl campus 3A/B/C; 94.7% incl) + future dev 79,634 sqft. REIT share 100% at val date; NOTE post-val (Apr 20 2026 / Q1 FY27) Ecoworld SPV raised Rs1,125 cr from 360One -&gt; 360One 13%, BIRET retains 87%. Achievable mkt rent office 114 / retail 90; current effective 100 (96 incl campus 3). Cap rate 7.75% (shown 8 rounded); WACC operational 11.50%, UC 12.75%. Major tenants Honeywell, KPMG, Standard Chartered, Morgan Stanley, Shell, State Street. Completed MV 147,583mn + future dev 696mn = 148,279mn. Source val report pp.71-74; deck p.14.</t>
        </is>
      </c>
    </row>
    <row r="48" ht="65.3" customHeight="1" s="18">
      <c r="A48" s="20" t="inlineStr">
        <is>
          <t>Nexus</t>
        </is>
      </c>
      <c r="B48" s="21" t="inlineStr">
        <is>
          <t>Select Infrastructure Private Limited (SIPL)</t>
        </is>
      </c>
      <c r="C48" s="22" t="inlineStr">
        <is>
          <t>Nexus Select Citywalk</t>
        </is>
      </c>
      <c r="D48" s="20" t="inlineStr">
        <is>
          <t>Retail</t>
        </is>
      </c>
      <c r="E48" s="20" t="inlineStr">
        <is>
          <t>New Delhi</t>
        </is>
      </c>
      <c r="F48" s="21" t="inlineStr">
        <is>
          <t>Saket</t>
        </is>
      </c>
      <c r="G48" s="21" t="inlineStr">
        <is>
          <t>Saket, South Delhi</t>
        </is>
      </c>
      <c r="H48" s="23" t="inlineStr">
        <is>
          <t>Plot No. P-1B, District Centre, Saket, Delhi, India</t>
        </is>
      </c>
      <c r="I48" s="24" t="n">
        <v>550908</v>
      </c>
      <c r="J48" s="25" t="n">
        <v>0.55</v>
      </c>
      <c r="K48" s="25" t="n">
        <v>0.55</v>
      </c>
      <c r="L48" s="26" t="n">
        <v>0.99</v>
      </c>
      <c r="M48" s="26" t="n">
        <v>0.97</v>
      </c>
      <c r="N48" s="25" t="n">
        <v>534.7</v>
      </c>
      <c r="O48" s="25" t="n">
        <v>470.1</v>
      </c>
      <c r="P48" s="26">
        <f>IF(OR(N48="",O48="",O48=0),"",N48/O48-1)</f>
        <v/>
      </c>
      <c r="Q48" s="25" t="n">
        <v>4.7</v>
      </c>
      <c r="R48" s="24" t="n">
        <v>212</v>
      </c>
      <c r="S48" s="26" t="n">
        <v>0.075</v>
      </c>
      <c r="T48" s="26" t="n">
        <v>0.1138</v>
      </c>
      <c r="U48" s="27" t="n">
        <v>5004</v>
      </c>
      <c r="V48" s="27">
        <f>IF(OR(U48="",I48="",I48=0),"",U48*10000000/I48)</f>
        <v/>
      </c>
      <c r="W48" s="23" t="n"/>
      <c r="X48" s="23" t="n"/>
      <c r="Y48" s="23" t="inlineStr">
        <is>
          <t>Freehold. Committed occ 98.8% (cert p68); leased 531,773/550,908 sf. Market/marginal rent 534.7 psf/mo, in-place (warm shell) 470.1 psf/mo (p125). WALE 4.7yr by area / 3.7yr by rental (p120). Cap rate 7.50% (premium asset, p61). 212+ brands. Value INR 50,040mn (p69). Source pages 68-69, 120, 125; cap rate p61; WACC p65.</t>
        </is>
      </c>
    </row>
    <row r="49" ht="129.3" customHeight="1" s="18">
      <c r="A49" s="20" t="inlineStr">
        <is>
          <t>Nexus</t>
        </is>
      </c>
      <c r="B49" s="21" t="inlineStr">
        <is>
          <t>CSJ Infrastructure Private Limited (CSJIPL)</t>
        </is>
      </c>
      <c r="C49" s="22" t="inlineStr">
        <is>
          <t>Nexus Elante Complex</t>
        </is>
      </c>
      <c r="D49" s="20" t="inlineStr">
        <is>
          <t>Retail</t>
        </is>
      </c>
      <c r="E49" s="20" t="inlineStr">
        <is>
          <t>Chandigarh</t>
        </is>
      </c>
      <c r="F49" s="21" t="inlineStr">
        <is>
          <t>Industrial Area Phase I</t>
        </is>
      </c>
      <c r="G49" s="21" t="inlineStr">
        <is>
          <t>Industrial Area Phase I</t>
        </is>
      </c>
      <c r="H49" s="23" t="inlineStr">
        <is>
          <t>Plot No. 178-178A, Industrial Area Phase I, Chandigarh, India</t>
        </is>
      </c>
      <c r="I49" s="24" t="n">
        <v>1410000</v>
      </c>
      <c r="J49" s="25" t="n">
        <v>1.41</v>
      </c>
      <c r="K49" s="25" t="n">
        <v>1.33</v>
      </c>
      <c r="L49" s="26" t="n">
        <v>0.9399999999999999</v>
      </c>
      <c r="M49" s="26" t="n">
        <v>0.91</v>
      </c>
      <c r="N49" s="25" t="n">
        <v>208.9</v>
      </c>
      <c r="O49" s="25" t="n">
        <v>197</v>
      </c>
      <c r="P49" s="26">
        <f>IF(OR(N49="",O49="",O49=0),"",N49/O49-1)</f>
        <v/>
      </c>
      <c r="Q49" s="25" t="n">
        <v>4.3</v>
      </c>
      <c r="R49" s="24" t="n">
        <v>277</v>
      </c>
      <c r="S49" s="26" t="n">
        <v>0.075</v>
      </c>
      <c r="T49" s="26" t="n">
        <v>0.1138</v>
      </c>
      <c r="U49" s="27" t="n">
        <v>5983.4</v>
      </c>
      <c r="V49" s="27">
        <f>IF(OR(U49="",I49="",I49=0),"",U49*10000000/I49)</f>
        <v/>
      </c>
      <c r="W49" s="23" t="n"/>
      <c r="X49" s="23" t="n"/>
      <c r="Y49" s="23" t="inlineStr">
        <is>
          <t>Freehold. RETAIL component only in this row (mall). Committed occ mall 94.4%; leased 1,210,824/1,326,512 sf. Mall market rent 208.9 psf/mo, in-place 197.0 psf/mo. Mall WALE 4.3yr area/3.9yr rental. Mall cap 7.50%. Mall value INR 52,095mn. Complex also has Elante Office (0.08msf/84,691 sf, occ 88.4%, in-place 120.1/marginal 109.0 psf/mo, WALE 2.7yr, cap 8.25%, WACC 11.78%, value INR 1,342mn) and Hyatt Regency Chandigarh 211-key hotel (cap 7.14%/14x EV-EBITDA, WACC 11.88%, value INR 6,397mn). Total complex value INR 59,834mn. Mall leasable incl recent 58,537 sf acquisition by CSJIPL. Pages 70-71, cap p61/62/63, WACC p65-67.</t>
        </is>
      </c>
    </row>
    <row r="50" ht="65.3" customHeight="1" s="18">
      <c r="A50" s="20" t="inlineStr">
        <is>
          <t>Nexus</t>
        </is>
      </c>
      <c r="B50" s="21" t="inlineStr">
        <is>
          <t>Select Infrastructure Private Limited (SIPL)</t>
        </is>
      </c>
      <c r="C50" s="22" t="inlineStr">
        <is>
          <t>Nexus Seawoods</t>
        </is>
      </c>
      <c r="D50" s="20" t="inlineStr">
        <is>
          <t>Retail</t>
        </is>
      </c>
      <c r="E50" s="20" t="inlineStr">
        <is>
          <t>Navi Mumbai</t>
        </is>
      </c>
      <c r="F50" s="21" t="inlineStr">
        <is>
          <t>Nerul</t>
        </is>
      </c>
      <c r="G50" s="21" t="inlineStr">
        <is>
          <t>Nerul / Seawoods, Sector 40</t>
        </is>
      </c>
      <c r="H50" s="23" t="inlineStr">
        <is>
          <t>Plot No. R1, Sector 40, Nerul Node, Navi Mumbai, District Thane, Maharashtra, India</t>
        </is>
      </c>
      <c r="I50" s="24" t="n">
        <v>979577</v>
      </c>
      <c r="J50" s="25" t="n">
        <v>0.98</v>
      </c>
      <c r="K50" s="25" t="n">
        <v>0.98</v>
      </c>
      <c r="L50" s="26" t="n">
        <v>0.98</v>
      </c>
      <c r="M50" s="26" t="n">
        <v>0.98</v>
      </c>
      <c r="N50" s="25" t="n">
        <v>160.2</v>
      </c>
      <c r="O50" s="25" t="n">
        <v>152.6</v>
      </c>
      <c r="P50" s="26">
        <f>IF(OR(N50="",O50="",O50=0),"",N50/O50-1)</f>
        <v/>
      </c>
      <c r="Q50" s="25" t="n">
        <v>5.8</v>
      </c>
      <c r="R50" s="24" t="n">
        <v>290</v>
      </c>
      <c r="S50" s="26" t="n">
        <v>0.0775</v>
      </c>
      <c r="T50" s="26" t="n">
        <v>0.1138</v>
      </c>
      <c r="U50" s="27" t="n">
        <v>2805.1</v>
      </c>
      <c r="V50" s="27">
        <f>IF(OR(U50="",I50="",I50=0),"",U50*10000000/I50)</f>
        <v/>
      </c>
      <c r="W50" s="23" t="n"/>
      <c r="X50" s="23" t="n"/>
      <c r="Y50" s="23" t="inlineStr">
        <is>
          <t>Leasehold (CIDCO, 60yr from 2008; ~42yr remaining, perpetuity assumed). Committed occ 98.1%; leased 954,988/979,577 sf. Market rent 160.2, in-place 152.6 psf/mo. WALE 5.8yr area/4.8yr rental. Cap 7.75%. Includes 0.2msf AIRSPACE F&amp;B/entertainment zone. Value INR 28,051mn. Pages 72-73, cap p61, WACC p65.</t>
        </is>
      </c>
    </row>
    <row r="51" ht="65.3" customHeight="1" s="18">
      <c r="A51" s="20" t="inlineStr">
        <is>
          <t>Nexus</t>
        </is>
      </c>
      <c r="B51" s="21" t="inlineStr">
        <is>
          <t>Euthoria Developers Private Limited (EDPL)</t>
        </is>
      </c>
      <c r="C51" s="22" t="inlineStr">
        <is>
          <t>Nexus Ahmedabad One</t>
        </is>
      </c>
      <c r="D51" s="20" t="inlineStr">
        <is>
          <t>Retail</t>
        </is>
      </c>
      <c r="E51" s="20" t="inlineStr">
        <is>
          <t>Ahmedabad</t>
        </is>
      </c>
      <c r="F51" s="21" t="inlineStr">
        <is>
          <t>Vastrapur</t>
        </is>
      </c>
      <c r="G51" s="21" t="inlineStr">
        <is>
          <t>Vastrapur / Memnagar</t>
        </is>
      </c>
      <c r="H51" s="23" t="inlineStr">
        <is>
          <t>Final Plot No. 216, Moje Vastrapur, Taluka Vejalpur, District Ahmedabad, India</t>
        </is>
      </c>
      <c r="I51" s="24" t="n">
        <v>888276</v>
      </c>
      <c r="J51" s="25" t="n">
        <v>0.89</v>
      </c>
      <c r="K51" s="25" t="n">
        <v>0.89</v>
      </c>
      <c r="L51" s="26" t="n">
        <v>0.96</v>
      </c>
      <c r="M51" s="26" t="n">
        <v>0.95</v>
      </c>
      <c r="N51" s="25" t="n">
        <v>145.7</v>
      </c>
      <c r="O51" s="25" t="n">
        <v>131.6</v>
      </c>
      <c r="P51" s="26">
        <f>IF(OR(N51="",O51="",O51=0),"",N51/O51-1)</f>
        <v/>
      </c>
      <c r="Q51" s="25" t="n">
        <v>8.1</v>
      </c>
      <c r="R51" s="24" t="n">
        <v>213</v>
      </c>
      <c r="S51" s="26" t="n">
        <v>0.08</v>
      </c>
      <c r="T51" s="26" t="n">
        <v>0.1138</v>
      </c>
      <c r="U51" s="27" t="n">
        <v>2050</v>
      </c>
      <c r="V51" s="27">
        <f>IF(OR(U51="",I51="",I51=0),"",U51*10000000/I51)</f>
        <v/>
      </c>
      <c r="W51" s="23" t="n"/>
      <c r="X51" s="23" t="n"/>
      <c r="Y51" s="23" t="inlineStr">
        <is>
          <t>Leasehold (AUDA, 99yr from 2006; perpetuity assumed). Two phases (P-I 2011, P-II Aug 2021). Committed occ 96.0%; leased 845,775/888,276 sf. Market rent 145.7, in-place 131.6 psf/mo. WALE 8.1yr area/4.9yr rental. Cap 8.00%. Largest Grade A mall in Gujarat. Value INR 20,500mn. Pages 74-75, cap p61, WACC p65.</t>
        </is>
      </c>
    </row>
    <row r="52" ht="44" customHeight="1" s="18">
      <c r="A52" s="20" t="inlineStr">
        <is>
          <t>Nexus</t>
        </is>
      </c>
      <c r="B52" s="21" t="inlineStr">
        <is>
          <t>Nexus Hyderabad Retail Private Limited (NHRPL)</t>
        </is>
      </c>
      <c r="C52" s="22" t="inlineStr">
        <is>
          <t>Nexus Hyderabad</t>
        </is>
      </c>
      <c r="D52" s="20" t="inlineStr">
        <is>
          <t>Retail</t>
        </is>
      </c>
      <c r="E52" s="20" t="inlineStr">
        <is>
          <t>Hyderabad</t>
        </is>
      </c>
      <c r="F52" s="21" t="inlineStr">
        <is>
          <t>Kukatpally</t>
        </is>
      </c>
      <c r="G52" s="21" t="inlineStr">
        <is>
          <t>Kukatpally</t>
        </is>
      </c>
      <c r="H52" s="23" t="inlineStr">
        <is>
          <t>Sy. No.1009, Kukatpally Village, Kukatpally Mandal, Medchal Malkajgiri District, Hyderabad, India</t>
        </is>
      </c>
      <c r="I52" s="24" t="n">
        <v>831841</v>
      </c>
      <c r="J52" s="25" t="n">
        <v>0.83</v>
      </c>
      <c r="K52" s="25" t="n">
        <v>0.83</v>
      </c>
      <c r="L52" s="26" t="n">
        <v>0.99</v>
      </c>
      <c r="M52" s="26" t="n">
        <v>0.98</v>
      </c>
      <c r="N52" s="25" t="n">
        <v>132.3</v>
      </c>
      <c r="O52" s="25" t="n">
        <v>118.9</v>
      </c>
      <c r="P52" s="26">
        <f>IF(OR(N52="",O52="",O52=0),"",N52/O52-1)</f>
        <v/>
      </c>
      <c r="Q52" s="25" t="n">
        <v>3.1</v>
      </c>
      <c r="R52" s="24" t="n">
        <v>175</v>
      </c>
      <c r="S52" s="26" t="n">
        <v>0.08</v>
      </c>
      <c r="T52" s="26" t="n">
        <v>0.1138</v>
      </c>
      <c r="U52" s="27" t="n">
        <v>1978.3</v>
      </c>
      <c r="V52" s="27">
        <f>IF(OR(U52="",I52="",I52=0),"",U52*10000000/I52)</f>
        <v/>
      </c>
      <c r="W52" s="23" t="n"/>
      <c r="X52" s="23" t="n"/>
      <c r="Y52" s="23" t="inlineStr">
        <is>
          <t>Freehold. Committed occ 98.8%; leased 815,382/831,841 sf. Market rent 132.3, in-place 118.9 psf/mo. WALE 3.1yr area/2.9yr rental. Cap 8.00%. Value INR 19,783mn. Pages 76-77, cap p61, WACC p65.</t>
        </is>
      </c>
    </row>
    <row r="53" ht="76" customHeight="1" s="18">
      <c r="A53" s="20" t="inlineStr">
        <is>
          <t>Nexus</t>
        </is>
      </c>
      <c r="B53" s="21" t="inlineStr">
        <is>
          <t>Nexus Hyderabad Retail Private Limited (NHRPL)</t>
        </is>
      </c>
      <c r="C53" s="22" t="inlineStr">
        <is>
          <t>Nexus Koramangala</t>
        </is>
      </c>
      <c r="D53" s="20" t="inlineStr">
        <is>
          <t>Retail</t>
        </is>
      </c>
      <c r="E53" s="20" t="inlineStr">
        <is>
          <t>Bengaluru</t>
        </is>
      </c>
      <c r="F53" s="21" t="inlineStr">
        <is>
          <t>Koramangala</t>
        </is>
      </c>
      <c r="G53" s="21" t="inlineStr">
        <is>
          <t>Koramangala</t>
        </is>
      </c>
      <c r="H53" s="23" t="inlineStr">
        <is>
          <t>Municipal No. 21, Hosur Road, Lakkasandra Ward No. 63, Bengaluru, India</t>
        </is>
      </c>
      <c r="I53" s="24" t="n">
        <v>307374</v>
      </c>
      <c r="J53" s="25" t="n">
        <v>0.31</v>
      </c>
      <c r="K53" s="25" t="n">
        <v>0.31</v>
      </c>
      <c r="L53" s="26" t="n">
        <v>0.97</v>
      </c>
      <c r="M53" s="26" t="n">
        <v>0.9399999999999999</v>
      </c>
      <c r="N53" s="25" t="n">
        <v>211.1</v>
      </c>
      <c r="O53" s="25" t="n">
        <v>191</v>
      </c>
      <c r="P53" s="26">
        <f>IF(OR(N53="",O53="",O53=0),"",N53/O53-1)</f>
        <v/>
      </c>
      <c r="Q53" s="25" t="n">
        <v>5.5</v>
      </c>
      <c r="R53" s="24" t="n">
        <v>99</v>
      </c>
      <c r="S53" s="26" t="n">
        <v>0.075</v>
      </c>
      <c r="T53" s="26" t="n">
        <v>0.1138</v>
      </c>
      <c r="U53" s="27" t="n">
        <v>1138.2</v>
      </c>
      <c r="V53" s="27">
        <f>IF(OR(U53="",I53="",I53=0),"",U53*10000000/I53)</f>
        <v/>
      </c>
      <c r="W53" s="23" t="n"/>
      <c r="X53" s="23" t="n"/>
      <c r="Y53" s="23" t="inlineStr">
        <is>
          <t>Freehold. Value/area reflect NHRPL economic interest of 307,374 sf = ownership 254,960 sf + short-term leasehold 21,877 sf + revenue-share 30,537 sf (both valid to 31 Mar 2028). Committed occ 96.9%; leased 288,599/307,374 sf. Market rent 211.1, in-place 191.0 psf/mo. WALE 5.5yr area/5.0yr rental. Cap 7.50%. Value INR 11,382mn. Pages 78-79, cap p61, WACC p65.</t>
        </is>
      </c>
    </row>
    <row r="54" ht="86.65000000000001" customHeight="1" s="18">
      <c r="A54" s="20" t="inlineStr">
        <is>
          <t>Nexus</t>
        </is>
      </c>
      <c r="B54" s="21" t="inlineStr">
        <is>
          <t>Vijaya Productions Private Limited (VPPL)</t>
        </is>
      </c>
      <c r="C54" s="22" t="inlineStr">
        <is>
          <t>Nexus Vijaya Complex</t>
        </is>
      </c>
      <c r="D54" s="20" t="inlineStr">
        <is>
          <t>Retail</t>
        </is>
      </c>
      <c r="E54" s="20" t="inlineStr">
        <is>
          <t>Chennai</t>
        </is>
      </c>
      <c r="F54" s="21" t="inlineStr">
        <is>
          <t>Vadapalani</t>
        </is>
      </c>
      <c r="G54" s="21" t="inlineStr">
        <is>
          <t>Vadapalani / Arcot Road</t>
        </is>
      </c>
      <c r="H54" s="23" t="inlineStr">
        <is>
          <t>Survey Nos. 5/1, 5/3, 5/7, 5/5, Arcot Road, Chennai, India</t>
        </is>
      </c>
      <c r="I54" s="24" t="n">
        <v>840000</v>
      </c>
      <c r="J54" s="25" t="n">
        <v>0.84</v>
      </c>
      <c r="K54" s="25" t="n">
        <v>0.65</v>
      </c>
      <c r="L54" s="26" t="n">
        <v>0.99</v>
      </c>
      <c r="M54" s="26" t="n">
        <v>0.98</v>
      </c>
      <c r="N54" s="25" t="n">
        <v>117.1</v>
      </c>
      <c r="O54" s="25" t="n">
        <v>109.8</v>
      </c>
      <c r="P54" s="26">
        <f>IF(OR(N54="",O54="",O54=0),"",N54/O54-1)</f>
        <v/>
      </c>
      <c r="Q54" s="25" t="n">
        <v>4.5</v>
      </c>
      <c r="R54" s="24" t="n">
        <v>131</v>
      </c>
      <c r="S54" s="26" t="n">
        <v>0.08</v>
      </c>
      <c r="T54" s="26" t="n">
        <v>0.1138</v>
      </c>
      <c r="U54" s="27" t="n">
        <v>1781.2</v>
      </c>
      <c r="V54" s="27">
        <f>IF(OR(U54="",I54="",I54=0),"",U54*10000000/I54)</f>
        <v/>
      </c>
      <c r="W54" s="23" t="n"/>
      <c r="X54" s="23" t="n"/>
      <c r="Y54" s="23" t="inlineStr">
        <is>
          <t>Freehold. RETAIL row (mall). Committed occ mall 99.4%; leased 637,489/653,765 sf. Mall market rent 117.1, in-place 109.8 psf/mo. Mall WALE 4.5yr area/3.9yr rental. Mall cap 8.00%. Mall value INR 15,665mn. Complex also has Vijaya Office 0.19msf (190,061 sf, occ 100%, in-place 58.5/marginal 64.0 psf/mo, WALE 4.6yr, cap 8.25%, WACC 11.78%, value INR 2,147mn). Total complex value INR 17,812mn. Pages 80-81, cap p61/62, WACC p65-66.</t>
        </is>
      </c>
    </row>
    <row r="55" ht="97.3" customHeight="1" s="18">
      <c r="A55" s="20" t="inlineStr">
        <is>
          <t>Nexus</t>
        </is>
      </c>
      <c r="B55" s="21" t="inlineStr">
        <is>
          <t>Chitrali Properties Private Limited (CPPL) / Daksha Infrastructure Private Limited (DIPL)</t>
        </is>
      </c>
      <c r="C55" s="22" t="inlineStr">
        <is>
          <t>Nexus Westend Complex</t>
        </is>
      </c>
      <c r="D55" s="20" t="inlineStr">
        <is>
          <t>Retail</t>
        </is>
      </c>
      <c r="E55" s="20" t="inlineStr">
        <is>
          <t>Pune</t>
        </is>
      </c>
      <c r="F55" s="21" t="inlineStr">
        <is>
          <t>Aundh</t>
        </is>
      </c>
      <c r="G55" s="21" t="inlineStr">
        <is>
          <t>Aundh</t>
        </is>
      </c>
      <c r="H55" s="23" t="inlineStr">
        <is>
          <t>Survey No. 169/1 (CTS No. 2495), Village Aundh, Taluka Haveli, District Pune, Maharashtra, India</t>
        </is>
      </c>
      <c r="I55" s="24" t="n">
        <v>1410000</v>
      </c>
      <c r="J55" s="25" t="n">
        <v>1.41</v>
      </c>
      <c r="K55" s="25" t="n">
        <v>0.43</v>
      </c>
      <c r="L55" s="26" t="n">
        <v>0.9399999999999999</v>
      </c>
      <c r="M55" s="26" t="n">
        <v>0.93</v>
      </c>
      <c r="N55" s="25" t="n">
        <v>142</v>
      </c>
      <c r="O55" s="25" t="n">
        <v>124.7</v>
      </c>
      <c r="P55" s="26">
        <f>IF(OR(N55="",O55="",O55=0),"",N55/O55-1)</f>
        <v/>
      </c>
      <c r="Q55" s="25" t="n">
        <v>8.1</v>
      </c>
      <c r="R55" s="24" t="n">
        <v>129</v>
      </c>
      <c r="S55" s="26" t="n">
        <v>0.0825</v>
      </c>
      <c r="T55" s="26" t="n">
        <v>0.1138</v>
      </c>
      <c r="U55" s="27" t="n">
        <v>2307.2</v>
      </c>
      <c r="V55" s="27">
        <f>IF(OR(U55="",I55="",I55=0),"",U55*10000000/I55)</f>
        <v/>
      </c>
      <c r="W55" s="23" t="n"/>
      <c r="X55" s="23" t="n"/>
      <c r="Y55" s="23" t="inlineStr">
        <is>
          <t>Freehold. RETAIL row (mall). Committed occ mall 94.1%; leased 401,882/433,090 sf. Mall market rent 142.0, in-place 124.7 psf/mo. Mall WALE 8.1yr area/5.5yr rental. Mall cap 8.25% (high competition submarket). Mall value INR 9,576mn. Complex also has Westend Icon Offices 0.98msf (977,967 sf, occ 93.0%, leased 861,802 sf, in-place 96.6/marginal 96.4 psf/mo, cap 8.25%, WACC 11.78%, value INR 13,496mn). Total complex value INR 23,072mn. Pages 82-83, cap p61/62, WACC p65-66.</t>
        </is>
      </c>
    </row>
    <row r="56" ht="54.65" customHeight="1" s="18">
      <c r="A56" s="20" t="inlineStr">
        <is>
          <t>Nexus</t>
        </is>
      </c>
      <c r="B56" s="21" t="inlineStr">
        <is>
          <t>Safari Retreats Private Limited (SRPL)</t>
        </is>
      </c>
      <c r="C56" s="22" t="inlineStr">
        <is>
          <t>Nexus Esplanade</t>
        </is>
      </c>
      <c r="D56" s="20" t="inlineStr">
        <is>
          <t>Retail</t>
        </is>
      </c>
      <c r="E56" s="20" t="inlineStr">
        <is>
          <t>Bhubaneswar</t>
        </is>
      </c>
      <c r="F56" s="21" t="inlineStr">
        <is>
          <t>Rasulgarh</t>
        </is>
      </c>
      <c r="G56" s="21" t="inlineStr">
        <is>
          <t>Rasulgarh</t>
        </is>
      </c>
      <c r="H56" s="23" t="inlineStr">
        <is>
          <t>Various plots, Mouza Govind Prasad &amp; Bomikhal, Tehsil Bhubaneswar, District Khurda, Odisha, India</t>
        </is>
      </c>
      <c r="I56" s="24" t="n">
        <v>428391</v>
      </c>
      <c r="J56" s="25" t="n">
        <v>0.43</v>
      </c>
      <c r="K56" s="25" t="n">
        <v>0.43</v>
      </c>
      <c r="L56" s="26" t="n">
        <v>0.99</v>
      </c>
      <c r="M56" s="26" t="n">
        <v>0.99</v>
      </c>
      <c r="N56" s="25" t="n">
        <v>161.7</v>
      </c>
      <c r="O56" s="25" t="n">
        <v>154.1</v>
      </c>
      <c r="P56" s="26">
        <f>IF(OR(N56="",O56="",O56=0),"",N56/O56-1)</f>
        <v/>
      </c>
      <c r="Q56" s="25" t="n">
        <v>6.5</v>
      </c>
      <c r="R56" s="24" t="n">
        <v>125</v>
      </c>
      <c r="S56" s="26" t="n">
        <v>0.08</v>
      </c>
      <c r="T56" s="26" t="n">
        <v>0.1138</v>
      </c>
      <c r="U56" s="27" t="n">
        <v>1165.5</v>
      </c>
      <c r="V56" s="27">
        <f>IF(OR(U56="",I56="",I56=0),"",U56*10000000/I56)</f>
        <v/>
      </c>
      <c r="W56" s="23" t="n"/>
      <c r="X56" s="23" t="n"/>
      <c r="Y56" s="23" t="inlineStr">
        <is>
          <t>Part Freehold / Part Leasehold (~44yr remaining leasehold, perpetuity assumed). Committed occ 98.9%; leased 423,650/428,391 sf. Market rent 161.7, in-place 154.1 psf/mo. WALE 6.5yr area/5.4yr rental. Cap 8.00%. Value INR 11,655mn. Pages 84-85, cap p61, WACC p65.</t>
        </is>
      </c>
    </row>
    <row r="57" ht="44" customHeight="1" s="18">
      <c r="A57" s="20" t="inlineStr">
        <is>
          <t>Nexus</t>
        </is>
      </c>
      <c r="B57" s="21" t="inlineStr">
        <is>
          <t>Euthoria Developers Private Limited (EDPL)</t>
        </is>
      </c>
      <c r="C57" s="22" t="inlineStr">
        <is>
          <t>Nexus Amritsar</t>
        </is>
      </c>
      <c r="D57" s="20" t="inlineStr">
        <is>
          <t>Retail</t>
        </is>
      </c>
      <c r="E57" s="20" t="inlineStr">
        <is>
          <t>Amritsar</t>
        </is>
      </c>
      <c r="F57" s="21" t="inlineStr">
        <is>
          <t>Rajinder Nagar</t>
        </is>
      </c>
      <c r="G57" s="21" t="inlineStr">
        <is>
          <t>Rajinder Nagar, G.T. Road</t>
        </is>
      </c>
      <c r="H57" s="23" t="inlineStr">
        <is>
          <t>Khasra nos. 605 etc., Sultanwind Suburban, G.T. Road, Amritsar, Punjab, India</t>
        </is>
      </c>
      <c r="I57" s="24" t="n">
        <v>539181</v>
      </c>
      <c r="J57" s="25" t="n">
        <v>0.54</v>
      </c>
      <c r="K57" s="25" t="n">
        <v>0.54</v>
      </c>
      <c r="L57" s="26" t="n">
        <v>0.97</v>
      </c>
      <c r="M57" s="26" t="n">
        <v>0.95</v>
      </c>
      <c r="N57" s="25" t="n">
        <v>99.09999999999999</v>
      </c>
      <c r="O57" s="25" t="n">
        <v>89.5</v>
      </c>
      <c r="P57" s="26">
        <f>IF(OR(N57="",O57="",O57=0),"",N57/O57-1)</f>
        <v/>
      </c>
      <c r="Q57" s="25" t="n">
        <v>7.7</v>
      </c>
      <c r="R57" s="24" t="n">
        <v>156</v>
      </c>
      <c r="S57" s="26" t="n">
        <v>0.08</v>
      </c>
      <c r="T57" s="26" t="n">
        <v>0.1138</v>
      </c>
      <c r="U57" s="27" t="n">
        <v>885.1</v>
      </c>
      <c r="V57" s="27">
        <f>IF(OR(U57="",I57="",I57=0),"",U57*10000000/I57)</f>
        <v/>
      </c>
      <c r="W57" s="23" t="n"/>
      <c r="X57" s="23" t="n"/>
      <c r="Y57" s="23" t="inlineStr">
        <is>
          <t>Freehold. Committed occ 97.4%; leased 509,841/539,181 sf. Market rent 99.1, in-place 89.5 psf/mo. WALE 7.7yr area/5.2yr rental. Cap 8.00%. Value INR 8,851mn. Pages 86-87, cap p61, WACC p65.</t>
        </is>
      </c>
    </row>
    <row r="58" ht="86.65000000000001" customHeight="1" s="18">
      <c r="A58" s="20" t="inlineStr">
        <is>
          <t>Nexus</t>
        </is>
      </c>
      <c r="B58" s="21" t="inlineStr">
        <is>
          <t>Nexus Shantiniketan Retail Private Limited (NSRPL)</t>
        </is>
      </c>
      <c r="C58" s="22" t="inlineStr">
        <is>
          <t>Nexus Shantiniketan</t>
        </is>
      </c>
      <c r="D58" s="20" t="inlineStr">
        <is>
          <t>Retail</t>
        </is>
      </c>
      <c r="E58" s="20" t="inlineStr">
        <is>
          <t>Bengaluru</t>
        </is>
      </c>
      <c r="F58" s="21" t="inlineStr">
        <is>
          <t>Whitefield</t>
        </is>
      </c>
      <c r="G58" s="21" t="inlineStr">
        <is>
          <t>Whitefield / Hoodi</t>
        </is>
      </c>
      <c r="H58" s="23" t="inlineStr">
        <is>
          <t>Municipal No. 13/288, Hoodi-Sadaramangala, Whitefield Sub-Division, Bengaluru, Karnataka, India</t>
        </is>
      </c>
      <c r="I58" s="24" t="n">
        <v>407492</v>
      </c>
      <c r="J58" s="25" t="n">
        <v>0.41</v>
      </c>
      <c r="K58" s="25" t="n">
        <v>0.41</v>
      </c>
      <c r="L58" s="26" t="n">
        <v>0.98</v>
      </c>
      <c r="M58" s="26" t="n">
        <v>0.97</v>
      </c>
      <c r="N58" s="25" t="n">
        <v>116</v>
      </c>
      <c r="O58" s="25" t="n">
        <v>109.8</v>
      </c>
      <c r="P58" s="26">
        <f>IF(OR(N58="",O58="",O58=0),"",N58/O58-1)</f>
        <v/>
      </c>
      <c r="Q58" s="25" t="n">
        <v>6.4</v>
      </c>
      <c r="R58" s="24" t="n">
        <v>122</v>
      </c>
      <c r="S58" s="26" t="n">
        <v>0.08</v>
      </c>
      <c r="T58" s="26" t="n">
        <v>0.1138</v>
      </c>
      <c r="U58" s="27" t="n">
        <v>925.9</v>
      </c>
      <c r="V58" s="27">
        <f>IF(OR(U58="",I58="",I58=0),"",U58*10000000/I58)</f>
        <v/>
      </c>
      <c r="W58" s="23" t="n"/>
      <c r="X58" s="23" t="n"/>
      <c r="Y58" s="23" t="inlineStr">
        <is>
          <t>Freehold. Area &amp; value ADJUSTED for 64.90% economic interest. Total mall leasable 627,877 sf (0.63msf), NSRPL share 407,492 sf (0.41msf). Total asset value 100%=INR 14,267mn; adjusted-for-stake value INR 9,259mn. Committed occ 98.3%; leased 611,139/627,877 sf (full asset). Market rent 116.0, in-place 109.8 psf/mo. WALE 6.4yr area/5.2yr rental. Cap 8.00%. Pages 88-89, value-summary p108, cap p61, WACC p65.</t>
        </is>
      </c>
    </row>
    <row r="59" ht="76" customHeight="1" s="18">
      <c r="A59" s="20" t="inlineStr">
        <is>
          <t>Nexus</t>
        </is>
      </c>
      <c r="B59" s="21" t="inlineStr">
        <is>
          <t>Nexusmalls Whitefield Private Limited (NWPL)</t>
        </is>
      </c>
      <c r="C59" s="22" t="inlineStr">
        <is>
          <t>Nexus Whitefield Complex</t>
        </is>
      </c>
      <c r="D59" s="20" t="inlineStr">
        <is>
          <t>Retail</t>
        </is>
      </c>
      <c r="E59" s="20" t="inlineStr">
        <is>
          <t>Bengaluru</t>
        </is>
      </c>
      <c r="F59" s="21" t="inlineStr">
        <is>
          <t>Whitefield</t>
        </is>
      </c>
      <c r="G59" s="21" t="inlineStr">
        <is>
          <t>Whitefield</t>
        </is>
      </c>
      <c r="H59" s="23" t="inlineStr">
        <is>
          <t>Survey No. 62, Whitefield Main Road, Whitefield, Bengaluru, Karnataka 560066, India</t>
        </is>
      </c>
      <c r="I59" s="24" t="n">
        <v>321367</v>
      </c>
      <c r="J59" s="25" t="n">
        <v>0.32</v>
      </c>
      <c r="K59" s="25" t="n">
        <v>0.32</v>
      </c>
      <c r="L59" s="26" t="n">
        <v>0.98</v>
      </c>
      <c r="M59" s="26" t="n"/>
      <c r="N59" s="25" t="n">
        <v>102.6</v>
      </c>
      <c r="O59" s="25" t="n">
        <v>92</v>
      </c>
      <c r="P59" s="26">
        <f>IF(OR(N59="",O59="",O59=0),"",N59/O59-1)</f>
        <v/>
      </c>
      <c r="Q59" s="25" t="n">
        <v>3.7</v>
      </c>
      <c r="R59" s="24" t="n">
        <v>91</v>
      </c>
      <c r="S59" s="26" t="n">
        <v>0.08</v>
      </c>
      <c r="T59" s="26" t="n">
        <v>0.1138</v>
      </c>
      <c r="U59" s="27" t="n">
        <v>831.9</v>
      </c>
      <c r="V59" s="27">
        <f>IF(OR(U59="",I59="",I59=0),"",U59*10000000/I59)</f>
        <v/>
      </c>
      <c r="W59" s="23" t="n"/>
      <c r="X59" s="23" t="n"/>
      <c r="Y59" s="23" t="inlineStr">
        <is>
          <t>Freehold. RETAIL row (mall). Committed occ mall 98.1%. Mall market rent 102.6, in-place 92.0 psf/mo. Mall WALE 3.7yr area/3.4yr rental. Mall cap 8.00%. Mall value INR 5,824mn. Complex also has 143-key Oakwood Residence Whitefield Bangalore hotel (cap 7.14%/14x, WACC 11.88%, value INR 2,495mn). Total complex value INR 8,319mn. Pages 90-91, cap p61/63, WACC p65-67.</t>
        </is>
      </c>
    </row>
    <row r="60" ht="54.65" customHeight="1" s="18">
      <c r="A60" s="20" t="inlineStr">
        <is>
          <t>Nexus</t>
        </is>
      </c>
      <c r="B60" s="21" t="inlineStr">
        <is>
          <t>Nexus Udaipur Retail Private Limited (NURPL)</t>
        </is>
      </c>
      <c r="C60" s="22" t="inlineStr">
        <is>
          <t>Nexus Celebration</t>
        </is>
      </c>
      <c r="D60" s="20" t="inlineStr">
        <is>
          <t>Retail</t>
        </is>
      </c>
      <c r="E60" s="20" t="inlineStr">
        <is>
          <t>Udaipur</t>
        </is>
      </c>
      <c r="F60" s="21" t="inlineStr">
        <is>
          <t>Bhuwana</t>
        </is>
      </c>
      <c r="G60" s="21" t="inlineStr">
        <is>
          <t>Bhuwana / NH8</t>
        </is>
      </c>
      <c r="H60" s="23" t="inlineStr">
        <is>
          <t>Bhuwana (Phase-II), NH 8, Udaipur, Rajasthan, India</t>
        </is>
      </c>
      <c r="I60" s="24" t="n">
        <v>402926</v>
      </c>
      <c r="J60" s="25" t="n">
        <v>0.4</v>
      </c>
      <c r="K60" s="25" t="n">
        <v>0.4</v>
      </c>
      <c r="L60" s="26" t="n">
        <v>0.9</v>
      </c>
      <c r="M60" s="26" t="n"/>
      <c r="N60" s="25" t="n">
        <v>86.5</v>
      </c>
      <c r="O60" s="25" t="n">
        <v>82.40000000000001</v>
      </c>
      <c r="P60" s="26">
        <f>IF(OR(N60="",O60="",O60=0),"",N60/O60-1)</f>
        <v/>
      </c>
      <c r="Q60" s="25" t="n">
        <v>3.5</v>
      </c>
      <c r="R60" s="24" t="n">
        <v>107</v>
      </c>
      <c r="S60" s="26" t="n">
        <v>0.0825</v>
      </c>
      <c r="T60" s="26" t="n">
        <v>0.1138</v>
      </c>
      <c r="U60" s="27" t="n">
        <v>531.3</v>
      </c>
      <c r="V60" s="27">
        <f>IF(OR(U60="",I60="",I60=0),"",U60*10000000/I60)</f>
        <v/>
      </c>
      <c r="W60" s="23" t="n"/>
      <c r="X60" s="23" t="n"/>
      <c r="Y60" s="23" t="inlineStr">
        <is>
          <t>Leasehold (99yr from 2004; ~77yr remaining, perpetuity assumed). Committed occ 90.4%. Market rent 86.5, in-place 82.4 psf/mo. WALE 3.5yr area/3.4yr rental. Cap 8.25% (tier-2 city, only retail development in city). Value INR 5,313mn. Pages 92-93, cap p61, WACC p65.</t>
        </is>
      </c>
    </row>
    <row r="61" ht="97.3" customHeight="1" s="18">
      <c r="A61" s="20" t="inlineStr">
        <is>
          <t>Nexus</t>
        </is>
      </c>
      <c r="B61" s="21" t="inlineStr">
        <is>
          <t>Nexus Mangaluru Retail Private Limited (NMRPL Mangaluru)</t>
        </is>
      </c>
      <c r="C61" s="22" t="inlineStr">
        <is>
          <t>Fiza by Nexus</t>
        </is>
      </c>
      <c r="D61" s="20" t="inlineStr">
        <is>
          <t>Retail</t>
        </is>
      </c>
      <c r="E61" s="20" t="inlineStr">
        <is>
          <t>Mangaluru</t>
        </is>
      </c>
      <c r="F61" s="21" t="inlineStr">
        <is>
          <t>Pandeshwar</t>
        </is>
      </c>
      <c r="G61" s="21" t="inlineStr">
        <is>
          <t>Pandeshwar</t>
        </is>
      </c>
      <c r="H61" s="23" t="inlineStr">
        <is>
          <t>Plot No. TS 210 (R.S. No. 335), Attavara village, Pandeshwar Road, Mangalore, India</t>
        </is>
      </c>
      <c r="I61" s="24" t="n">
        <v>486030</v>
      </c>
      <c r="J61" s="25" t="n">
        <v>0.49</v>
      </c>
      <c r="K61" s="25" t="n">
        <v>0.49</v>
      </c>
      <c r="L61" s="26" t="n">
        <v>0.97</v>
      </c>
      <c r="M61" s="26" t="n"/>
      <c r="N61" s="25" t="n">
        <v>86.5</v>
      </c>
      <c r="O61" s="25" t="n">
        <v>82.40000000000001</v>
      </c>
      <c r="P61" s="26">
        <f>IF(OR(N61="",O61="",O61=0),"",N61/O61-1)</f>
        <v/>
      </c>
      <c r="Q61" s="25" t="n">
        <v>5.6</v>
      </c>
      <c r="R61" s="24" t="n">
        <v>119</v>
      </c>
      <c r="S61" s="26" t="n">
        <v>0.0825</v>
      </c>
      <c r="T61" s="26" t="n">
        <v>0.1138</v>
      </c>
      <c r="U61" s="27" t="n">
        <v>505.7</v>
      </c>
      <c r="V61" s="27">
        <f>IF(OR(U61="",I61="",I61=0),"",U61*10000000/I61)</f>
        <v/>
      </c>
      <c r="W61" s="23" t="n"/>
      <c r="X61" s="23" t="n"/>
      <c r="Y61" s="23" t="inlineStr">
        <is>
          <t>Freehold. Area &amp; value ADJUSTED for 68% economic interest. Total mall leasable 714,750 sf (0.71msf), NMRPL share 486,030 sf (0.49msf). Total asset value 100%=INR 7,436mn; adjusted value INR 5,057mn. Committed occ 97.3%. Market rent 86.5, in-place 82.4 psf/mo (rent-table value taken from Fiza chapter region pp94-95; layout ambiguous vs Celebration - spot-verify if precision critical). WALE 5.6yr area/5.0yr rental. Cap 8.25% (tier-2 city). Pages 94-95, value-summary p108, cap p61, WACC p65.</t>
        </is>
      </c>
    </row>
    <row r="62" ht="44" customHeight="1" s="18">
      <c r="A62" s="20" t="inlineStr">
        <is>
          <t>Nexus</t>
        </is>
      </c>
      <c r="B62" s="21" t="inlineStr">
        <is>
          <t>Nexus Mysore Retail Private Limited (NMRPL Mysore)</t>
        </is>
      </c>
      <c r="C62" s="22" t="inlineStr">
        <is>
          <t>Nexus Centre City</t>
        </is>
      </c>
      <c r="D62" s="20" t="inlineStr">
        <is>
          <t>Retail</t>
        </is>
      </c>
      <c r="E62" s="20" t="inlineStr">
        <is>
          <t>Mysuru</t>
        </is>
      </c>
      <c r="F62" s="21" t="inlineStr">
        <is>
          <t>Nazarbad</t>
        </is>
      </c>
      <c r="G62" s="21" t="inlineStr">
        <is>
          <t>Nazarbad, Hyder Ali Road</t>
        </is>
      </c>
      <c r="H62" s="23" t="inlineStr">
        <is>
          <t>Survey No. 9 &amp; Khata No. 33, Eranagare Village, Hyderali Road, Nazarbad Mohalla, Mysuru, Karnataka 570010, India</t>
        </is>
      </c>
      <c r="I62" s="24" t="n">
        <v>326002</v>
      </c>
      <c r="J62" s="25" t="n">
        <v>0.33</v>
      </c>
      <c r="K62" s="25" t="n">
        <v>0.33</v>
      </c>
      <c r="L62" s="26" t="n">
        <v>1</v>
      </c>
      <c r="M62" s="26" t="n">
        <v>0.99</v>
      </c>
      <c r="N62" s="25" t="n">
        <v>79.3</v>
      </c>
      <c r="O62" s="25" t="n">
        <v>71.5</v>
      </c>
      <c r="P62" s="26">
        <f>IF(OR(N62="",O62="",O62=0),"",N62/O62-1)</f>
        <v/>
      </c>
      <c r="Q62" s="25" t="n">
        <v>6.1</v>
      </c>
      <c r="R62" s="24" t="n">
        <v>94</v>
      </c>
      <c r="S62" s="26" t="n">
        <v>0.0825</v>
      </c>
      <c r="T62" s="26" t="n">
        <v>0.1138</v>
      </c>
      <c r="U62" s="27" t="n">
        <v>424.1</v>
      </c>
      <c r="V62" s="27">
        <f>IF(OR(U62="",I62="",I62=0),"",U62*10000000/I62)</f>
        <v/>
      </c>
      <c r="W62" s="23" t="n"/>
      <c r="X62" s="23" t="n"/>
      <c r="Y62" s="23" t="inlineStr">
        <is>
          <t>Freehold. Committed occ 99.7%; occupied 323,207/326,002 sf. Market rent 79.3, in-place 71.5 psf/mo. WALE 6.1yr area/4.8yr rental. Cap 8.25% (tier-2 city). Value INR 4,241mn. Pages 96-97, cap p61, WACC p65.</t>
        </is>
      </c>
    </row>
    <row r="63" ht="65.3" customHeight="1" s="18">
      <c r="A63" s="20" t="inlineStr">
        <is>
          <t>Nexus</t>
        </is>
      </c>
      <c r="B63" s="21" t="inlineStr">
        <is>
          <t>Naman Mall Management Company Private Limited (NMMCPL)</t>
        </is>
      </c>
      <c r="C63" s="22" t="inlineStr">
        <is>
          <t>Nexus Indore Central</t>
        </is>
      </c>
      <c r="D63" s="20" t="inlineStr">
        <is>
          <t>Retail</t>
        </is>
      </c>
      <c r="E63" s="20" t="inlineStr">
        <is>
          <t>Indore</t>
        </is>
      </c>
      <c r="F63" s="21" t="inlineStr">
        <is>
          <t>South Tukoganj</t>
        </is>
      </c>
      <c r="G63" s="21" t="inlineStr">
        <is>
          <t>South Tukoganj, RNT Marg</t>
        </is>
      </c>
      <c r="H63" s="23" t="inlineStr">
        <is>
          <t>Plot No. 170, Rabindranath Tagore Marg, Indore, Madhya Pradesh, India</t>
        </is>
      </c>
      <c r="I63" s="24" t="n">
        <v>246864</v>
      </c>
      <c r="J63" s="25" t="n">
        <v>0.25</v>
      </c>
      <c r="K63" s="25" t="n">
        <v>0.25</v>
      </c>
      <c r="L63" s="26" t="n">
        <v>0.87</v>
      </c>
      <c r="M63" s="26" t="n">
        <v>0.87</v>
      </c>
      <c r="N63" s="25" t="n">
        <v>67.2</v>
      </c>
      <c r="O63" s="25" t="n">
        <v>63.4</v>
      </c>
      <c r="P63" s="26">
        <f>IF(OR(N63="",O63="",O63=0),"",N63/O63-1)</f>
        <v/>
      </c>
      <c r="Q63" s="25" t="n">
        <v>10.8</v>
      </c>
      <c r="R63" s="24" t="n"/>
      <c r="S63" s="26" t="n">
        <v>0.08500000000000001</v>
      </c>
      <c r="T63" s="26" t="n">
        <v>0.1138</v>
      </c>
      <c r="U63" s="27" t="n">
        <v>212</v>
      </c>
      <c r="V63" s="27">
        <f>IF(OR(U63="",I63="",I63=0),"",U63*10000000/I63)</f>
        <v/>
      </c>
      <c r="W63" s="23" t="n"/>
      <c r="X63" s="23" t="n"/>
      <c r="Y63" s="23" t="inlineStr">
        <is>
          <t>Freehold. Committed occ 87.3%; leased 214,464/246,864 sf. Market rent 67.2, in-place 63.4 psf/mo. WALE 10.8yr area/11.7yr rental. Cap 8.50% (tier-2 city, high competition; highest cap in portfolio). Value INR 2,120mn. Number of brands not stated numerically in cert. Pages 98-99, cap p61, WACC p65.</t>
        </is>
      </c>
    </row>
    <row r="64" ht="65.3" customHeight="1" s="18">
      <c r="A64" s="20" t="inlineStr">
        <is>
          <t>Nexus</t>
        </is>
      </c>
      <c r="B64" s="21" t="inlineStr">
        <is>
          <t>Mamadapur Solar Private Limited (MSPL)</t>
        </is>
      </c>
      <c r="C64" s="22" t="inlineStr">
        <is>
          <t>Karnataka Solar Park</t>
        </is>
      </c>
      <c r="D64" s="20" t="inlineStr">
        <is>
          <t>Solar</t>
        </is>
      </c>
      <c r="E64" s="20" t="inlineStr">
        <is>
          <t>Vijayapura</t>
        </is>
      </c>
      <c r="F64" s="21" t="inlineStr">
        <is>
          <t>Kodabagi Village</t>
        </is>
      </c>
      <c r="G64" s="21" t="inlineStr">
        <is>
          <t>Kodabagi Village, Babaleshwar Taluk</t>
        </is>
      </c>
      <c r="H64" s="23" t="inlineStr">
        <is>
          <t>Kodabagi Village, Mamadapura Hobli, Babaleshwar Taluk, Bijapura District, Vijayapura, Karnataka 586113, India</t>
        </is>
      </c>
      <c r="I64" s="24" t="n"/>
      <c r="J64" s="25" t="n"/>
      <c r="K64" s="25" t="n"/>
      <c r="L64" s="26" t="n"/>
      <c r="M64" s="26" t="n"/>
      <c r="N64" s="25" t="n"/>
      <c r="O64" s="25" t="n"/>
      <c r="P64" s="26">
        <f>IF(OR(N64="",O64="",O64=0),"",N64/O64-1)</f>
        <v/>
      </c>
      <c r="Q64" s="25" t="n"/>
      <c r="R64" s="24" t="n"/>
      <c r="S64" s="26" t="n"/>
      <c r="T64" s="26" t="n">
        <v>0.115</v>
      </c>
      <c r="U64" s="27" t="n">
        <v>75.90000000000001</v>
      </c>
      <c r="V64" s="27">
        <f>IF(OR(U64="",I64="",I64=0),"",U64*10000000/I64)</f>
        <v/>
      </c>
      <c r="W64" s="23" t="n"/>
      <c r="X64" s="23" t="n"/>
      <c r="Y64" s="23" t="inlineStr">
        <is>
          <t>Leasehold (67.925 acres, ~20yr remaining). NOT a mall: 15 MW (AC) captive solar PV plant with PPA supplying Nexus Koramangala, Shantiniketan, Whitefield, Centre City and Fiza. Valued via DCF. WACC 11.50% (cost of debt 8.5%, equity 14.5%). Value INR 759mn. Pages 100-101, WACC p66-67.</t>
        </is>
      </c>
    </row>
    <row r="65" ht="65.3" customHeight="1" s="18">
      <c r="A65" s="20" t="inlineStr">
        <is>
          <t>Nexus</t>
        </is>
      </c>
      <c r="B65" s="21" t="inlineStr">
        <is>
          <t>Vijaya Productions Private Limited (VPPL)</t>
        </is>
      </c>
      <c r="C65" s="22" t="inlineStr">
        <is>
          <t>Nexus Vega City</t>
        </is>
      </c>
      <c r="D65" s="20" t="inlineStr">
        <is>
          <t>Retail</t>
        </is>
      </c>
      <c r="E65" s="20" t="inlineStr">
        <is>
          <t>Bengaluru</t>
        </is>
      </c>
      <c r="F65" s="21" t="inlineStr">
        <is>
          <t>Bannerghatta Road</t>
        </is>
      </c>
      <c r="G65" s="21" t="inlineStr">
        <is>
          <t>Bannerghatta Road, Bilekahalli</t>
        </is>
      </c>
      <c r="H65" s="23" t="inlineStr">
        <is>
          <t>Municipal No.1335/172/1 &amp; 75, Bilekahalli Village, Bannerghatta Road, Bengaluru, Karnataka, India</t>
        </is>
      </c>
      <c r="I65" s="24" t="n">
        <v>439687</v>
      </c>
      <c r="J65" s="25" t="n">
        <v>0.44</v>
      </c>
      <c r="K65" s="25" t="n">
        <v>0.44</v>
      </c>
      <c r="L65" s="26" t="n">
        <v>0.99</v>
      </c>
      <c r="M65" s="26" t="n"/>
      <c r="N65" s="25" t="n">
        <v>124.4</v>
      </c>
      <c r="O65" s="25" t="n">
        <v>121</v>
      </c>
      <c r="P65" s="26">
        <f>IF(OR(N65="",O65="",O65=0),"",N65/O65-1)</f>
        <v/>
      </c>
      <c r="Q65" s="25" t="n">
        <v>10.7</v>
      </c>
      <c r="R65" s="24" t="n">
        <v>127</v>
      </c>
      <c r="S65" s="26" t="n">
        <v>0.08</v>
      </c>
      <c r="T65" s="26" t="n">
        <v>0.1138</v>
      </c>
      <c r="U65" s="27" t="n">
        <v>1071.9</v>
      </c>
      <c r="V65" s="27">
        <f>IF(OR(U65="",I65="",I65=0),"",U65*10000000/I65)</f>
        <v/>
      </c>
      <c r="W65" s="23" t="n"/>
      <c r="X65" s="23" t="n"/>
      <c r="Y65" s="23" t="inlineStr">
        <is>
          <t>Freehold. Acquired Feb 2025 (post-IPO) at purchase price INR 8,697.5mn; not a related-party transaction. UDS in land for mall = 12,748 sqm. Committed occ 99.0%. Market rent 124.4, in-place 121.0 psf/mo. WALE 10.7yr area/8.6yr rental. Cap 8.00%. Value INR 10,719mn. Pages 102-103, cap p62, WACC p65.</t>
        </is>
      </c>
    </row>
    <row r="66" ht="86.65000000000001" customHeight="1" s="18">
      <c r="A66" s="20" t="inlineStr">
        <is>
          <t>Nexus</t>
        </is>
      </c>
      <c r="B66" s="21" t="inlineStr">
        <is>
          <t>Select Infrastructure Private Limited (SIPL)</t>
        </is>
      </c>
      <c r="C66" s="22" t="inlineStr">
        <is>
          <t>Nexus MBD Complex</t>
        </is>
      </c>
      <c r="D66" s="20" t="inlineStr">
        <is>
          <t>Retail</t>
        </is>
      </c>
      <c r="E66" s="20" t="inlineStr">
        <is>
          <t>Ludhiana</t>
        </is>
      </c>
      <c r="F66" s="21" t="inlineStr">
        <is>
          <t>Ferozepur Road</t>
        </is>
      </c>
      <c r="G66" s="21" t="inlineStr">
        <is>
          <t>Ferozepur Road, Sunder Nagar</t>
        </is>
      </c>
      <c r="H66" s="23" t="inlineStr">
        <is>
          <t>Village Barewal Awana (Ferozepur Road), Tehsil &amp; District Ludhiana, Punjab, India</t>
        </is>
      </c>
      <c r="I66" s="24" t="n">
        <v>257400</v>
      </c>
      <c r="J66" s="25" t="n">
        <v>0.26</v>
      </c>
      <c r="K66" s="25" t="n">
        <v>0.26</v>
      </c>
      <c r="L66" s="26" t="n">
        <v>0.99</v>
      </c>
      <c r="M66" s="26" t="n"/>
      <c r="N66" s="25" t="n">
        <v>125.5</v>
      </c>
      <c r="O66" s="25" t="n">
        <v>110</v>
      </c>
      <c r="P66" s="26">
        <f>IF(OR(N66="",O66="",O66=0),"",N66/O66-1)</f>
        <v/>
      </c>
      <c r="Q66" s="25" t="n">
        <v>6.2</v>
      </c>
      <c r="R66" s="24" t="n">
        <v>86</v>
      </c>
      <c r="S66" s="26" t="n">
        <v>0.0825</v>
      </c>
      <c r="T66" s="26" t="n">
        <v>0.1138</v>
      </c>
      <c r="U66" s="27" t="n">
        <v>603.3</v>
      </c>
      <c r="V66" s="27">
        <f>IF(OR(U66="",I66="",I66=0),"",U66*10000000/I66)</f>
        <v/>
      </c>
      <c r="W66" s="23" t="n"/>
      <c r="X66" s="23" t="n"/>
      <c r="Y66" s="23" t="inlineStr">
        <is>
          <t>Freehold. RETAIL row (mall). Acquired May 2025 (post-IPO) at purchase price INR 4,900mn; not related-party. Committed occ mall 99.3%. Mall market rent 125.5, in-place 110.0 psf/mo. Mall WALE 6.2yr area/5.6yr rental. Mall cap 8.25% (tier-2 city). Mall value INR 4,521mn. Complex also has 96-key Radisson Blu Hotel Ludhiana (cap 7.14%/14x, WACC 11.88%, value INR 1,512mn). Total complex value INR 6,033mn. Pages 104-105, cap p61/63, WACC p65-67.</t>
        </is>
      </c>
    </row>
    <row r="67" ht="86.65000000000001" customHeight="1" s="18">
      <c r="A67" s="20" t="inlineStr">
        <is>
          <t>Nexus</t>
        </is>
      </c>
      <c r="B67" s="21" t="inlineStr">
        <is>
          <t>Indore Treasure Island Private Limited (ITIPL)</t>
        </is>
      </c>
      <c r="C67" s="22" t="inlineStr">
        <is>
          <t>Treasure Island</t>
        </is>
      </c>
      <c r="D67" s="20" t="inlineStr">
        <is>
          <t>Retail</t>
        </is>
      </c>
      <c r="E67" s="20" t="inlineStr">
        <is>
          <t>Indore</t>
        </is>
      </c>
      <c r="F67" s="21" t="inlineStr">
        <is>
          <t>South Tukoganj</t>
        </is>
      </c>
      <c r="G67" s="21" t="inlineStr">
        <is>
          <t>South Tukoganj, MG Road</t>
        </is>
      </c>
      <c r="H67" s="23" t="inlineStr">
        <is>
          <t>Plot No. 11, MG Road, Tukoganj, Indore, Madhya Pradesh, India</t>
        </is>
      </c>
      <c r="I67" s="24" t="n">
        <v>220425</v>
      </c>
      <c r="J67" s="25" t="n">
        <v>0.22</v>
      </c>
      <c r="K67" s="25" t="n">
        <v>0.22</v>
      </c>
      <c r="L67" s="26" t="n">
        <v>0.87</v>
      </c>
      <c r="M67" s="26" t="n">
        <v>0.84</v>
      </c>
      <c r="N67" s="25" t="n">
        <v>72.40000000000001</v>
      </c>
      <c r="O67" s="25" t="n">
        <v>69.40000000000001</v>
      </c>
      <c r="P67" s="26">
        <f>IF(OR(N67="",O67="",O67=0),"",N67/O67-1)</f>
        <v/>
      </c>
      <c r="Q67" s="25" t="n">
        <v>5.1</v>
      </c>
      <c r="R67" s="24" t="n">
        <v>86</v>
      </c>
      <c r="S67" s="26" t="n">
        <v>0.08500000000000001</v>
      </c>
      <c r="T67" s="26" t="n">
        <v>0.1138</v>
      </c>
      <c r="U67" s="27" t="n">
        <v>278.3</v>
      </c>
      <c r="V67" s="27">
        <f>IF(OR(U67="",I67="",I67=0),"",U67*10000000/I67)</f>
        <v/>
      </c>
      <c r="W67" s="23" t="n"/>
      <c r="X67" s="23" t="n"/>
      <c r="Y67" s="23" t="inlineStr">
        <is>
          <t>Leasehold (renewable 4yr 11mo). Nexus Select Trust owns 50% economic interest. Area &amp; value ADJUSTED for 50% stake: total leasable 440,850 sf (0.43msf), share 220,425 sf (0.22msf); total value 100%=INR 5,566mn, adjusted INR 2,783mn. Committed occ 86.8%; leased 368,943/440,850 sf (full asset). Market rent 72.4, in-place 69.4 psf/mo. WALE 5.1yr area/3.7yr rental. Cap 8.50% (tier-2, high competition). Pages 106-107, value-summary p109, cap p61, WACC p65.</t>
        </is>
      </c>
    </row>
    <row r="68" ht="44" customHeight="1" s="18">
      <c r="A68" s="20" t="inlineStr">
        <is>
          <t>KRT</t>
        </is>
      </c>
      <c r="B68" s="21" t="inlineStr">
        <is>
          <t>M/S Devbhumi Realtors Pvt Ltd</t>
        </is>
      </c>
      <c r="C68" s="22" t="inlineStr">
        <is>
          <t>Sattva Knowledge City</t>
        </is>
      </c>
      <c r="D68" s="20" t="inlineStr">
        <is>
          <t>Office</t>
        </is>
      </c>
      <c r="E68" s="20" t="inlineStr">
        <is>
          <t>Hyderabad</t>
        </is>
      </c>
      <c r="F68" s="21" t="inlineStr">
        <is>
          <t>HITEC City</t>
        </is>
      </c>
      <c r="G68" s="21" t="inlineStr">
        <is>
          <t>IT Corridor–HITEC City</t>
        </is>
      </c>
      <c r="H68" s="23" t="inlineStr">
        <is>
          <t>Plot No.2, Survey No. 83/1, Raidurg Panmaktha Village, Serilingampally Mandal, Ranga Reddy District, Telangana.</t>
        </is>
      </c>
      <c r="I68" s="24" t="n">
        <v>7295223</v>
      </c>
      <c r="J68" s="25" t="n">
        <v>7.3</v>
      </c>
      <c r="K68" s="25" t="n"/>
      <c r="L68" s="26" t="n">
        <v>0.997</v>
      </c>
      <c r="M68" s="26" t="n"/>
      <c r="N68" s="25" t="n">
        <v>120</v>
      </c>
      <c r="O68" s="25" t="n">
        <v>80.40000000000001</v>
      </c>
      <c r="P68" s="26">
        <f>IF(OR(N68="",O68="",O68=0),"",N68/O68-1)</f>
        <v/>
      </c>
      <c r="Q68" s="25" t="n">
        <v>10</v>
      </c>
      <c r="R68" s="24" t="n"/>
      <c r="S68" s="26" t="n">
        <v>0.075</v>
      </c>
      <c r="T68" s="26" t="n">
        <v>0.1146</v>
      </c>
      <c r="U68" s="27" t="n">
        <v>12292</v>
      </c>
      <c r="V68" s="27">
        <f>IF(OR(U68="",I68="",I68=0),"",U68*10000000/I68)</f>
        <v/>
      </c>
      <c r="W68" s="23" t="inlineStr">
        <is>
          <t>3.0% of the Facility Rentals</t>
        </is>
      </c>
      <c r="X68" s="23" t="inlineStr">
        <is>
          <t>INR 15.7 Mn from Apr'26 to Mar'27 (Mgmt input; 5% p.a. escalation from Apr'27)</t>
        </is>
      </c>
      <c r="Y68" s="23" t="inlineStr">
        <is>
          <t>Detailed sec 7 (pdf p.157); Valuation Certificate sec 6; Value Summary sec 4 (pdf p.55-56)</t>
        </is>
      </c>
    </row>
    <row r="69" ht="44" customHeight="1" s="18">
      <c r="A69" s="20" t="inlineStr">
        <is>
          <t>KRT</t>
        </is>
      </c>
      <c r="B69" s="21" t="inlineStr">
        <is>
          <t>M/S Worldwide Realcon Pvt Ltd</t>
        </is>
      </c>
      <c r="C69" s="22" t="inlineStr">
        <is>
          <t>Sattva Knowledge Park</t>
        </is>
      </c>
      <c r="D69" s="20" t="inlineStr">
        <is>
          <t>Office</t>
        </is>
      </c>
      <c r="E69" s="20" t="inlineStr">
        <is>
          <t>Hyderabad</t>
        </is>
      </c>
      <c r="F69" s="21" t="inlineStr">
        <is>
          <t>HITEC City</t>
        </is>
      </c>
      <c r="G69" s="21" t="inlineStr">
        <is>
          <t>IT Corridor–HITEC City</t>
        </is>
      </c>
      <c r="H69" s="23" t="inlineStr">
        <is>
          <t>Plot No. 16, Survey No. 83/1, Raidurg Panmaktha Village, Serilingampally Mandal, Ranga Reddy District, Telangana.</t>
        </is>
      </c>
      <c r="I69" s="24" t="n">
        <v>3300963</v>
      </c>
      <c r="J69" s="25" t="n">
        <v>3.3</v>
      </c>
      <c r="K69" s="25" t="n"/>
      <c r="L69" s="26" t="n">
        <v>0.968</v>
      </c>
      <c r="M69" s="26" t="n"/>
      <c r="N69" s="25" t="n">
        <v>120</v>
      </c>
      <c r="O69" s="25" t="n">
        <v>79</v>
      </c>
      <c r="P69" s="26">
        <f>IF(OR(N69="",O69="",O69=0),"",N69/O69-1)</f>
        <v/>
      </c>
      <c r="Q69" s="25" t="n">
        <v>10</v>
      </c>
      <c r="R69" s="24" t="n"/>
      <c r="S69" s="26" t="n">
        <v>0.075</v>
      </c>
      <c r="T69" s="26" t="n">
        <v>0.1146</v>
      </c>
      <c r="U69" s="27" t="n">
        <v>5675.5</v>
      </c>
      <c r="V69" s="27">
        <f>IF(OR(U69="",I69="",I69=0),"",U69*10000000/I69)</f>
        <v/>
      </c>
      <c r="W69" s="23" t="inlineStr">
        <is>
          <t>3.0% of the Facility Rentals</t>
        </is>
      </c>
      <c r="X69" s="23" t="inlineStr">
        <is>
          <t>INR 4.1 Mn from Apr'26 to Mar'27 (Mgmt input; 5% p.a. escalation from Apr'27)</t>
        </is>
      </c>
      <c r="Y69" s="23" t="inlineStr">
        <is>
          <t>Detailed sec 8 (pdf p.176); Valuation Certificate sec 6; Value Summary sec 4 (pdf p.55-56)</t>
        </is>
      </c>
    </row>
    <row r="70" ht="44" customHeight="1" s="18">
      <c r="A70" s="20" t="inlineStr">
        <is>
          <t>KRT</t>
        </is>
      </c>
      <c r="B70" s="21" t="inlineStr">
        <is>
          <t>M/S Sattva Knowledge Centre Pvt Ltd</t>
        </is>
      </c>
      <c r="C70" s="22" t="inlineStr">
        <is>
          <t>Sattva Knowledge Capital</t>
        </is>
      </c>
      <c r="D70" s="20" t="inlineStr">
        <is>
          <t>Office</t>
        </is>
      </c>
      <c r="E70" s="20" t="inlineStr">
        <is>
          <t>Hyderabad</t>
        </is>
      </c>
      <c r="F70" s="21" t="inlineStr">
        <is>
          <t>Nanakramguda</t>
        </is>
      </c>
      <c r="G70" s="21" t="inlineStr">
        <is>
          <t>Extended IT Corridor</t>
        </is>
      </c>
      <c r="H70" s="23" t="inlineStr">
        <is>
          <t>Plot No. 8 (Part), Survey No. 115, Nanakramguda Village, Serilingampally Mandal, Ranga Reddy District, Telangana.</t>
        </is>
      </c>
      <c r="I70" s="24" t="n">
        <v>2295894</v>
      </c>
      <c r="J70" s="25" t="n">
        <v>2.3</v>
      </c>
      <c r="K70" s="25" t="n"/>
      <c r="L70" s="26" t="n"/>
      <c r="M70" s="26" t="n"/>
      <c r="N70" s="25" t="n">
        <v>68</v>
      </c>
      <c r="O70" s="25" t="n">
        <v>66.40000000000001</v>
      </c>
      <c r="P70" s="26">
        <f>IF(OR(N70="",O70="",O70=0),"",N70/O70-1)</f>
        <v/>
      </c>
      <c r="Q70" s="25" t="n"/>
      <c r="R70" s="24" t="n"/>
      <c r="S70" s="26" t="n">
        <v>0.0775</v>
      </c>
      <c r="T70" s="26" t="n">
        <v>0.1146</v>
      </c>
      <c r="U70" s="27" t="n">
        <v>2942.5</v>
      </c>
      <c r="V70" s="27">
        <f>IF(OR(U70="",I70="",I70=0),"",U70*10000000/I70)</f>
        <v/>
      </c>
      <c r="W70" s="23" t="inlineStr">
        <is>
          <t>3.0% of the Facility Rentals</t>
        </is>
      </c>
      <c r="X70" s="23" t="inlineStr">
        <is>
          <t>INR 2.1 Mn from Apr'26 to Mar'27 (Mgmt input; 5% p.a. escalation from Apr'27)</t>
        </is>
      </c>
      <c r="Y70" s="23" t="inlineStr">
        <is>
          <t>Detailed sec 9 (pdf p.191); Valuation Certificate sec 6; Value Summary sec 4 (pdf p.55-56)</t>
        </is>
      </c>
    </row>
    <row r="71" ht="44" customHeight="1" s="18">
      <c r="A71" s="20" t="inlineStr">
        <is>
          <t>KRT</t>
        </is>
      </c>
      <c r="B71" s="21" t="inlineStr">
        <is>
          <t>One Bkc Realtors Private Limited</t>
        </is>
      </c>
      <c r="C71" s="22" t="inlineStr">
        <is>
          <t>One BKC</t>
        </is>
      </c>
      <c r="D71" s="20" t="inlineStr">
        <is>
          <t>Office</t>
        </is>
      </c>
      <c r="E71" s="20" t="inlineStr">
        <is>
          <t>Mumbai</t>
        </is>
      </c>
      <c r="F71" s="21" t="inlineStr">
        <is>
          <t>BKC &amp; BKC-O</t>
        </is>
      </c>
      <c r="G71" s="21" t="inlineStr">
        <is>
          <t>BKC &amp; BKC-O</t>
        </is>
      </c>
      <c r="H71" s="23" t="inlineStr">
        <is>
          <t>Plot No. C-66, C.T.S. No. 4207 (part), Village Kole-Kalyan, Mumbai Suburban District, G Block, Bandra- Kurla Complex, Bandra East, Mumbai</t>
        </is>
      </c>
      <c r="I71" s="24" t="n">
        <v>750044</v>
      </c>
      <c r="J71" s="25" t="n">
        <v>0.8</v>
      </c>
      <c r="K71" s="25" t="n"/>
      <c r="L71" s="26" t="n">
        <v>0.872</v>
      </c>
      <c r="M71" s="26" t="n"/>
      <c r="N71" s="25" t="n">
        <v>420</v>
      </c>
      <c r="O71" s="25" t="n">
        <v>366.7</v>
      </c>
      <c r="P71" s="26">
        <f>IF(OR(N71="",O71="",O71=0),"",N71/O71-1)</f>
        <v/>
      </c>
      <c r="Q71" s="25" t="n">
        <v>3.8</v>
      </c>
      <c r="R71" s="24" t="n"/>
      <c r="S71" s="26" t="n">
        <v>0.075</v>
      </c>
      <c r="T71" s="26" t="n">
        <v>0.1146</v>
      </c>
      <c r="U71" s="27" t="n">
        <v>4666.7</v>
      </c>
      <c r="V71" s="27">
        <f>IF(OR(U71="",I71="",I71=0),"",U71*10000000/I71)</f>
        <v/>
      </c>
      <c r="W71" s="23" t="inlineStr">
        <is>
          <t>3.0% of the Facility Rentals</t>
        </is>
      </c>
      <c r="X71" s="23" t="inlineStr">
        <is>
          <t>INR 3.2 Mn from Apr'26 to Mar'27 (Mgmt input; 5% p.a. escalation from Apr'27)</t>
        </is>
      </c>
      <c r="Y71" s="23" t="inlineStr">
        <is>
          <t>Detailed sec 10 (pdf p.206); Valuation Certificate sec 6; Value Summary sec 4 (pdf p.55-56)</t>
        </is>
      </c>
    </row>
    <row r="72" ht="33.3" customHeight="1" s="18">
      <c r="A72" s="20" t="inlineStr">
        <is>
          <t>KRT</t>
        </is>
      </c>
      <c r="B72" s="21" t="inlineStr">
        <is>
          <t>One World Center Private Limited</t>
        </is>
      </c>
      <c r="C72" s="22" t="inlineStr">
        <is>
          <t>One World Center</t>
        </is>
      </c>
      <c r="D72" s="20" t="inlineStr">
        <is>
          <t>Office</t>
        </is>
      </c>
      <c r="E72" s="20" t="inlineStr">
        <is>
          <t>Mumbai</t>
        </is>
      </c>
      <c r="F72" s="21" t="inlineStr">
        <is>
          <t>Prabhadevi</t>
        </is>
      </c>
      <c r="G72" s="21" t="inlineStr">
        <is>
          <t>EXT - CBD</t>
        </is>
      </c>
      <c r="H72" s="23" t="inlineStr">
        <is>
          <t>Survey No. 841, Senapati Bapat Marg, Elphinstone Road, Lower Parel, Mumbai</t>
        </is>
      </c>
      <c r="I72" s="24" t="n">
        <v>1752214</v>
      </c>
      <c r="J72" s="25" t="n">
        <v>1.8</v>
      </c>
      <c r="K72" s="25" t="n"/>
      <c r="L72" s="26" t="n">
        <v>0.925</v>
      </c>
      <c r="M72" s="26" t="n"/>
      <c r="N72" s="25" t="n">
        <v>255</v>
      </c>
      <c r="O72" s="25" t="n">
        <v>211.7</v>
      </c>
      <c r="P72" s="26">
        <f>IF(OR(N72="",O72="",O72=0),"",N72/O72-1)</f>
        <v/>
      </c>
      <c r="Q72" s="25" t="n">
        <v>3.5</v>
      </c>
      <c r="R72" s="24" t="n"/>
      <c r="S72" s="26" t="n">
        <v>0.0775</v>
      </c>
      <c r="T72" s="26" t="n">
        <v>0.1146</v>
      </c>
      <c r="U72" s="27" t="n">
        <v>6276.7</v>
      </c>
      <c r="V72" s="27">
        <f>IF(OR(U72="",I72="",I72=0),"",U72*10000000/I72)</f>
        <v/>
      </c>
      <c r="W72" s="23" t="inlineStr">
        <is>
          <t>3.0% of the Facility Rentals</t>
        </is>
      </c>
      <c r="X72" s="23" t="inlineStr">
        <is>
          <t>INR 4.1 Mn from Apr'26 to Mar'27 (Mgmt input; 5% p.a. escalation from Apr'27)</t>
        </is>
      </c>
      <c r="Y72" s="23" t="inlineStr">
        <is>
          <t>Detailed sec 11 (pdf p.222); Valuation Certificate sec 6; Value Summary sec 4 (pdf p.55-56)</t>
        </is>
      </c>
    </row>
    <row r="73" ht="33.3" customHeight="1" s="18">
      <c r="A73" s="20" t="inlineStr">
        <is>
          <t>KRT</t>
        </is>
      </c>
      <c r="B73" s="21" t="inlineStr">
        <is>
          <t>One International Center Pvt Ltd</t>
        </is>
      </c>
      <c r="C73" s="22" t="inlineStr">
        <is>
          <t>One International Center</t>
        </is>
      </c>
      <c r="D73" s="20" t="inlineStr">
        <is>
          <t>Office</t>
        </is>
      </c>
      <c r="E73" s="20" t="inlineStr">
        <is>
          <t>Mumbai</t>
        </is>
      </c>
      <c r="F73" s="21" t="inlineStr">
        <is>
          <t>Prabhadevi</t>
        </is>
      </c>
      <c r="G73" s="21" t="inlineStr">
        <is>
          <t>EXT - CBD</t>
        </is>
      </c>
      <c r="H73" s="23" t="inlineStr">
        <is>
          <t>Part of Plot 612 &amp; 613, Senapati Bapat Marg, Prabhadevi, Dadar (W), Mumbai</t>
        </is>
      </c>
      <c r="I73" s="24" t="n">
        <v>1778186</v>
      </c>
      <c r="J73" s="25" t="n">
        <v>1.8</v>
      </c>
      <c r="K73" s="25" t="n"/>
      <c r="L73" s="26" t="n">
        <v>0.891</v>
      </c>
      <c r="M73" s="26" t="n"/>
      <c r="N73" s="25" t="n">
        <v>220</v>
      </c>
      <c r="O73" s="25" t="n">
        <v>186.9</v>
      </c>
      <c r="P73" s="26">
        <f>IF(OR(N73="",O73="",O73=0),"",N73/O73-1)</f>
        <v/>
      </c>
      <c r="Q73" s="25" t="n">
        <v>2.6</v>
      </c>
      <c r="R73" s="24" t="n"/>
      <c r="S73" s="26" t="n">
        <v>0.0775</v>
      </c>
      <c r="T73" s="26" t="n">
        <v>0.1146</v>
      </c>
      <c r="U73" s="27" t="n">
        <v>5534.3</v>
      </c>
      <c r="V73" s="27">
        <f>IF(OR(U73="",I73="",I73=0),"",U73*10000000/I73)</f>
        <v/>
      </c>
      <c r="W73" s="23" t="inlineStr">
        <is>
          <t>3.0% of the Facility Rentals</t>
        </is>
      </c>
      <c r="X73" s="23" t="inlineStr">
        <is>
          <t>INR 4.4 Mn from Apr'26 to Mar'27 (Mgmt input; 5% p.a. escalation from Apr'27)</t>
        </is>
      </c>
      <c r="Y73" s="23" t="inlineStr">
        <is>
          <t>Detailed sec 12 (pdf p.238); Valuation Certificate sec 6; Value Summary sec 4 (pdf p.55-56)</t>
        </is>
      </c>
    </row>
    <row r="74" ht="33.3" customHeight="1" s="18">
      <c r="A74" s="20" t="inlineStr">
        <is>
          <t>KRT</t>
        </is>
      </c>
      <c r="B74" s="21" t="inlineStr">
        <is>
          <t>One International Center Private Limited</t>
        </is>
      </c>
      <c r="C74" s="22" t="inlineStr">
        <is>
          <t>One Unity Center</t>
        </is>
      </c>
      <c r="D74" s="20" t="inlineStr">
        <is>
          <t>Office</t>
        </is>
      </c>
      <c r="E74" s="20" t="inlineStr">
        <is>
          <t>Mumbai</t>
        </is>
      </c>
      <c r="F74" s="21" t="inlineStr">
        <is>
          <t>Prabhadevi</t>
        </is>
      </c>
      <c r="G74" s="21" t="inlineStr">
        <is>
          <t>EXT - CBD</t>
        </is>
      </c>
      <c r="H74" s="23" t="inlineStr">
        <is>
          <t>Part of Plot 612 &amp; 613, Senapati Bapat Marg, Prabhadevi, Dadar (W), Mumbai.</t>
        </is>
      </c>
      <c r="I74" s="24" t="n">
        <v>1002111</v>
      </c>
      <c r="J74" s="25" t="n">
        <v>1</v>
      </c>
      <c r="K74" s="25" t="n"/>
      <c r="L74" s="26" t="n">
        <v>0.844</v>
      </c>
      <c r="M74" s="26" t="n"/>
      <c r="N74" s="25" t="n">
        <v>245</v>
      </c>
      <c r="O74" s="25" t="n">
        <v>198.8</v>
      </c>
      <c r="P74" s="26">
        <f>IF(OR(N74="",O74="",O74=0),"",N74/O74-1)</f>
        <v/>
      </c>
      <c r="Q74" s="25" t="n">
        <v>5.7</v>
      </c>
      <c r="R74" s="24" t="n"/>
      <c r="S74" s="26" t="n">
        <v>0.0775</v>
      </c>
      <c r="T74" s="26" t="n">
        <v>0.1146</v>
      </c>
      <c r="U74" s="27" t="n">
        <v>3364.2</v>
      </c>
      <c r="V74" s="27">
        <f>IF(OR(U74="",I74="",I74=0),"",U74*10000000/I74)</f>
        <v/>
      </c>
      <c r="W74" s="23" t="inlineStr">
        <is>
          <t>3.0% of the Facility Rentals</t>
        </is>
      </c>
      <c r="X74" s="23" t="inlineStr">
        <is>
          <t>INR 2.5 Mn from Apr'26 to Mar'27 (Mgmt input; 5% p.a. escalation from Apr'27)</t>
        </is>
      </c>
      <c r="Y74" s="23" t="inlineStr">
        <is>
          <t>Detailed sec 13 (pdf p.254); Valuation Certificate sec 6; Value Summary sec 4 (pdf p.55-56)</t>
        </is>
      </c>
    </row>
    <row r="75" ht="33.3" customHeight="1" s="18">
      <c r="A75" s="20" t="inlineStr">
        <is>
          <t>KRT</t>
        </is>
      </c>
      <c r="B75" s="21" t="inlineStr">
        <is>
          <t>Prima Bay Private Limited</t>
        </is>
      </c>
      <c r="C75" s="22" t="inlineStr">
        <is>
          <t>Prima Bay</t>
        </is>
      </c>
      <c r="D75" s="20" t="inlineStr">
        <is>
          <t>Office</t>
        </is>
      </c>
      <c r="E75" s="20" t="inlineStr">
        <is>
          <t>Mumbai</t>
        </is>
      </c>
      <c r="F75" s="21" t="inlineStr">
        <is>
          <t>Powai</t>
        </is>
      </c>
      <c r="G75" s="21" t="inlineStr">
        <is>
          <t>PBD East</t>
        </is>
      </c>
      <c r="H75" s="23" t="inlineStr">
        <is>
          <t>C.T.S. No. 117A/1D (Part), Village Tungwa, Powai, Mumbai</t>
        </is>
      </c>
      <c r="I75" s="24" t="n">
        <v>806228</v>
      </c>
      <c r="J75" s="25" t="n">
        <v>0.8</v>
      </c>
      <c r="K75" s="25" t="n"/>
      <c r="L75" s="26" t="n">
        <v>0.88</v>
      </c>
      <c r="M75" s="26" t="n"/>
      <c r="N75" s="25" t="n">
        <v>165</v>
      </c>
      <c r="O75" s="25" t="n">
        <v>165.6</v>
      </c>
      <c r="P75" s="26">
        <f>IF(OR(N75="",O75="",O75=0),"",N75/O75-1)</f>
        <v/>
      </c>
      <c r="Q75" s="25" t="n">
        <v>4.2</v>
      </c>
      <c r="R75" s="24" t="n"/>
      <c r="S75" s="26" t="n">
        <v>0.08</v>
      </c>
      <c r="T75" s="26" t="n">
        <v>0.1146</v>
      </c>
      <c r="U75" s="27" t="n">
        <v>1879.4</v>
      </c>
      <c r="V75" s="27">
        <f>IF(OR(U75="",I75="",I75=0),"",U75*10000000/I75)</f>
        <v/>
      </c>
      <c r="W75" s="23" t="inlineStr">
        <is>
          <t>3.0% of the Facility Rentals</t>
        </is>
      </c>
      <c r="X75" s="23" t="inlineStr">
        <is>
          <t>INR 1.6 Mn from Apr'26 to Mar'27 (Mgmt input; 5% p.a. escalation from Apr'27)</t>
        </is>
      </c>
      <c r="Y75" s="23" t="inlineStr">
        <is>
          <t>Detailed sec 14 (pdf p.270); Valuation Certificate sec 6; Value Summary sec 4 (pdf p.55-56)</t>
        </is>
      </c>
    </row>
    <row r="76" ht="33.3" customHeight="1" s="18">
      <c r="A76" s="20" t="inlineStr">
        <is>
          <t>KRT</t>
        </is>
      </c>
      <c r="B76" s="21" t="inlineStr">
        <is>
          <t>Cessna Garden Developers Private Limited</t>
        </is>
      </c>
      <c r="C76" s="22" t="inlineStr">
        <is>
          <t>Cessna Business Park</t>
        </is>
      </c>
      <c r="D76" s="20" t="inlineStr">
        <is>
          <t>Office</t>
        </is>
      </c>
      <c r="E76" s="20" t="inlineStr">
        <is>
          <t>Bengaluru</t>
        </is>
      </c>
      <c r="F76" s="21" t="inlineStr">
        <is>
          <t>Kadubeesanahalli</t>
        </is>
      </c>
      <c r="G76" s="21" t="inlineStr">
        <is>
          <t>Outer Ring-Road (ORR)</t>
        </is>
      </c>
      <c r="H76" s="23" t="inlineStr">
        <is>
          <t>Kadubeesanahalli Village, Varthur Hobli, Bengaluru South Taluk, Bengaluru.</t>
        </is>
      </c>
      <c r="I76" s="24" t="n">
        <v>4222478</v>
      </c>
      <c r="J76" s="25" t="n">
        <v>4.2</v>
      </c>
      <c r="K76" s="25" t="n"/>
      <c r="L76" s="26" t="n">
        <v>0.944</v>
      </c>
      <c r="M76" s="26" t="n"/>
      <c r="N76" s="25" t="n">
        <v>95</v>
      </c>
      <c r="O76" s="25" t="n">
        <v>70.90000000000001</v>
      </c>
      <c r="P76" s="26">
        <f>IF(OR(N76="",O76="",O76=0),"",N76/O76-1)</f>
        <v/>
      </c>
      <c r="Q76" s="25" t="n">
        <v>16.1</v>
      </c>
      <c r="R76" s="24" t="n"/>
      <c r="S76" s="26" t="n">
        <v>0.0766</v>
      </c>
      <c r="T76" s="26" t="n">
        <v>0.1146</v>
      </c>
      <c r="U76" s="27" t="n">
        <v>4906.1</v>
      </c>
      <c r="V76" s="27">
        <f>IF(OR(U76="",I76="",I76=0),"",U76*10000000/I76)</f>
        <v/>
      </c>
      <c r="W76" s="23" t="inlineStr">
        <is>
          <t>3.0% of the Facility Rentals</t>
        </is>
      </c>
      <c r="X76" s="23" t="inlineStr">
        <is>
          <t>INR 7.5 Mn from Apr'26 to Mar'27 (Mgmt input; 5% p.a. escalation from Apr'27)</t>
        </is>
      </c>
      <c r="Y76" s="23" t="inlineStr">
        <is>
          <t>Detailed sec 15 (pdf p.286); Valuation Certificate sec 6; Value Summary sec 4 (pdf p.55-56)</t>
        </is>
      </c>
    </row>
    <row r="77" ht="33.3" customHeight="1" s="18">
      <c r="A77" s="20" t="inlineStr">
        <is>
          <t>KRT</t>
        </is>
      </c>
      <c r="B77" s="21" t="inlineStr">
        <is>
          <t>Exora Business Park Private Limited</t>
        </is>
      </c>
      <c r="C77" s="22" t="inlineStr">
        <is>
          <t>Exora Business Park</t>
        </is>
      </c>
      <c r="D77" s="20" t="inlineStr">
        <is>
          <t>Office</t>
        </is>
      </c>
      <c r="E77" s="20" t="inlineStr">
        <is>
          <t>Bengaluru</t>
        </is>
      </c>
      <c r="F77" s="21" t="inlineStr">
        <is>
          <t>Marathahalli</t>
        </is>
      </c>
      <c r="G77" s="21" t="inlineStr">
        <is>
          <t>Outer Ring-Road (ORR)</t>
        </is>
      </c>
      <c r="H77" s="23" t="inlineStr">
        <is>
          <t>Amani Bellandur Khane Village, Bengaluru East Taluk, Bengaluru.</t>
        </is>
      </c>
      <c r="I77" s="24" t="n">
        <v>2221078</v>
      </c>
      <c r="J77" s="25" t="n">
        <v>2.2</v>
      </c>
      <c r="K77" s="25" t="n"/>
      <c r="L77" s="26" t="n">
        <v>0.777</v>
      </c>
      <c r="M77" s="26" t="n"/>
      <c r="N77" s="25" t="n">
        <v>100</v>
      </c>
      <c r="O77" s="25" t="n">
        <v>89.8</v>
      </c>
      <c r="P77" s="26">
        <f>IF(OR(N77="",O77="",O77=0),"",N77/O77-1)</f>
        <v/>
      </c>
      <c r="Q77" s="25" t="n">
        <v>6.6</v>
      </c>
      <c r="R77" s="24" t="n"/>
      <c r="S77" s="26" t="n">
        <v>0.08</v>
      </c>
      <c r="T77" s="26" t="n">
        <v>0.1146</v>
      </c>
      <c r="U77" s="27" t="n">
        <v>3451.7</v>
      </c>
      <c r="V77" s="27">
        <f>IF(OR(U77="",I77="",I77=0),"",U77*10000000/I77)</f>
        <v/>
      </c>
      <c r="W77" s="23" t="inlineStr">
        <is>
          <t>3.0% of the Facility Rentals</t>
        </is>
      </c>
      <c r="X77" s="23" t="inlineStr">
        <is>
          <t>INR 3.3 Mn from Apr'26 to Mar'27 (Mgmt input; 5% p.a. escalation from Apr'27)</t>
        </is>
      </c>
      <c r="Y77" s="23" t="inlineStr">
        <is>
          <t>Detailed sec 16 (pdf p.305); Valuation Certificate sec 6; Value Summary sec 4 (pdf p.55-56)</t>
        </is>
      </c>
    </row>
    <row r="78" ht="44" customHeight="1" s="18">
      <c r="A78" s="20" t="inlineStr">
        <is>
          <t>KRT</t>
        </is>
      </c>
      <c r="B78" s="21" t="inlineStr">
        <is>
          <t>M/S Gv Techparks Pvt Ltd</t>
        </is>
      </c>
      <c r="C78" s="22" t="inlineStr">
        <is>
          <t>Sattva Global City</t>
        </is>
      </c>
      <c r="D78" s="20" t="inlineStr">
        <is>
          <t>Office</t>
        </is>
      </c>
      <c r="E78" s="20" t="inlineStr">
        <is>
          <t>Bengaluru</t>
        </is>
      </c>
      <c r="F78" s="21" t="inlineStr">
        <is>
          <t>Tumkur Road</t>
        </is>
      </c>
      <c r="G78" s="21" t="inlineStr">
        <is>
          <t>Peripheral Business District - Others (along Mysore Road)</t>
        </is>
      </c>
      <c r="H78" s="23" t="inlineStr">
        <is>
          <t>Pattanagere and Mylasandra Villages, Kengeri hobli, Bengaluru</t>
        </is>
      </c>
      <c r="I78" s="24" t="n"/>
      <c r="J78" s="25" t="n"/>
      <c r="K78" s="25" t="n"/>
      <c r="L78" s="26" t="n">
        <v>0.8110000000000001</v>
      </c>
      <c r="M78" s="26" t="n"/>
      <c r="N78" s="25" t="n"/>
      <c r="O78" s="25" t="n">
        <v>58.5</v>
      </c>
      <c r="P78" s="26">
        <f>IF(OR(N78="",O78="",O78=0),"",N78/O78-1)</f>
        <v/>
      </c>
      <c r="Q78" s="25" t="n">
        <v>8.699999999999999</v>
      </c>
      <c r="R78" s="24" t="n"/>
      <c r="S78" s="26" t="n">
        <v>0.08500000000000001</v>
      </c>
      <c r="T78" s="26" t="n">
        <v>0.1146</v>
      </c>
      <c r="U78" s="27" t="n">
        <v>4414.8</v>
      </c>
      <c r="V78" s="27">
        <f>IF(OR(U78="",I78="",I78=0),"",U78*10000000/I78)</f>
        <v/>
      </c>
      <c r="W78" s="23" t="inlineStr">
        <is>
          <t>3.0% of the Facility Rentals</t>
        </is>
      </c>
      <c r="X78" s="23" t="inlineStr">
        <is>
          <t>INR 6.12 Mn from Apr'26 to Mar'27 (Mgmt input; 5% p.a. escalation from Apr'27)</t>
        </is>
      </c>
      <c r="Y78" s="23" t="inlineStr">
        <is>
          <t>Operational block MV 34223 (4.2 msf) + Future Development MV 9925 (8.0 msf) | Detailed sec 17 (pdf p.321); Valuation Certificate sec 6; Value Summary sec 4 (pdf p.55-56)</t>
        </is>
      </c>
    </row>
    <row r="79" ht="33.3" customHeight="1" s="18">
      <c r="A79" s="20" t="inlineStr">
        <is>
          <t>KRT</t>
        </is>
      </c>
      <c r="B79" s="21" t="inlineStr">
        <is>
          <t>Softzone Techpark Limited</t>
        </is>
      </c>
      <c r="C79" s="22" t="inlineStr">
        <is>
          <t>Sattva Softzone</t>
        </is>
      </c>
      <c r="D79" s="20" t="inlineStr">
        <is>
          <t>Office</t>
        </is>
      </c>
      <c r="E79" s="20" t="inlineStr">
        <is>
          <t>Bengaluru</t>
        </is>
      </c>
      <c r="F79" s="21" t="inlineStr">
        <is>
          <t>Bellandur</t>
        </is>
      </c>
      <c r="G79" s="21" t="inlineStr">
        <is>
          <t>Outer Ring-Road (ORR)</t>
        </is>
      </c>
      <c r="H79" s="23" t="inlineStr">
        <is>
          <t>Khata No.799/80/1/81/1/81/2, Ward No.150-Bellandur, Bengaluru</t>
        </is>
      </c>
      <c r="I79" s="24" t="n">
        <v>1003221</v>
      </c>
      <c r="J79" s="25" t="n">
        <v>1</v>
      </c>
      <c r="K79" s="25" t="n"/>
      <c r="L79" s="26" t="n">
        <v>0.905</v>
      </c>
      <c r="M79" s="26" t="n"/>
      <c r="N79" s="25" t="n">
        <v>107</v>
      </c>
      <c r="O79" s="25" t="n">
        <v>57.6</v>
      </c>
      <c r="P79" s="26">
        <f>IF(OR(N79="",O79="",O79=0),"",N79/O79-1)</f>
        <v/>
      </c>
      <c r="Q79" s="25" t="n">
        <v>5.9</v>
      </c>
      <c r="R79" s="24" t="n"/>
      <c r="S79" s="26" t="n">
        <v>0.08</v>
      </c>
      <c r="T79" s="26" t="n">
        <v>0.1146</v>
      </c>
      <c r="U79" s="27" t="n">
        <v>1818.4</v>
      </c>
      <c r="V79" s="27">
        <f>IF(OR(U79="",I79="",I79=0),"",U79*10000000/I79)</f>
        <v/>
      </c>
      <c r="W79" s="23" t="inlineStr">
        <is>
          <t>3.0% of the Facility Rentals</t>
        </is>
      </c>
      <c r="X79" s="23" t="inlineStr">
        <is>
          <t>INR 1.3 Mn from Apr'26 to Mar'27 (Mgmt input; 5% p.a. escalation from Apr'27)</t>
        </is>
      </c>
      <c r="Y79" s="23" t="inlineStr">
        <is>
          <t>Detailed sec 18 (pdf p.340); Valuation Certificate sec 6; Value Summary sec 4 (pdf p.55-56)</t>
        </is>
      </c>
    </row>
    <row r="80" ht="44" customHeight="1" s="18">
      <c r="A80" s="20" t="inlineStr">
        <is>
          <t>KRT</t>
        </is>
      </c>
      <c r="B80" s="21" t="inlineStr">
        <is>
          <t>Darshita Hi-rise Pvt Ltd.</t>
        </is>
      </c>
      <c r="C80" s="22" t="inlineStr">
        <is>
          <t>Sattva Knowledge Court</t>
        </is>
      </c>
      <c r="D80" s="20" t="inlineStr">
        <is>
          <t>Office</t>
        </is>
      </c>
      <c r="E80" s="20" t="inlineStr">
        <is>
          <t>Bengaluru</t>
        </is>
      </c>
      <c r="F80" s="21" t="inlineStr">
        <is>
          <t>Whitefield</t>
        </is>
      </c>
      <c r="G80" s="21" t="inlineStr">
        <is>
          <t>Peripheral Business District - Whitefield (PBD-W)</t>
        </is>
      </c>
      <c r="H80" s="23" t="inlineStr">
        <is>
          <t>Survey No.77, bearing Khatha No-299, Doddanekkundi Village, K.R Puram Hobli, Bengaluru East Taluk, Bengaluru</t>
        </is>
      </c>
      <c r="I80" s="24" t="n">
        <v>879373</v>
      </c>
      <c r="J80" s="25" t="n">
        <v>0.9</v>
      </c>
      <c r="K80" s="25" t="n"/>
      <c r="L80" s="26" t="n">
        <v>0.918</v>
      </c>
      <c r="M80" s="26" t="n"/>
      <c r="N80" s="25" t="n">
        <v>80</v>
      </c>
      <c r="O80" s="25" t="n">
        <v>72.09999999999999</v>
      </c>
      <c r="P80" s="26">
        <f>IF(OR(N80="",O80="",O80=0),"",N80/O80-1)</f>
        <v/>
      </c>
      <c r="Q80" s="25" t="n">
        <v>11.3</v>
      </c>
      <c r="R80" s="24" t="n"/>
      <c r="S80" s="26" t="n">
        <v>0.08</v>
      </c>
      <c r="T80" s="26" t="n">
        <v>0.1146</v>
      </c>
      <c r="U80" s="27" t="n">
        <v>1258.6</v>
      </c>
      <c r="V80" s="27">
        <f>IF(OR(U80="",I80="",I80=0),"",U80*10000000/I80)</f>
        <v/>
      </c>
      <c r="W80" s="23" t="inlineStr">
        <is>
          <t>3.0% of the Facility Rentals</t>
        </is>
      </c>
      <c r="X80" s="23" t="inlineStr">
        <is>
          <t>INR 1.2 Mn from Apr'26 to Mar'27 (Mgmt input; 5% p.a. escalation from Apr'27)</t>
        </is>
      </c>
      <c r="Y80" s="23" t="inlineStr">
        <is>
          <t>Detailed sec 19 (pdf p.357); Valuation Certificate sec 6; Value Summary sec 4 (pdf p.55-56)</t>
        </is>
      </c>
    </row>
    <row r="81" ht="33.3" customHeight="1" s="18">
      <c r="A81" s="20" t="inlineStr">
        <is>
          <t>KRT</t>
        </is>
      </c>
      <c r="B81" s="21" t="inlineStr">
        <is>
          <t>Salarpuria Griha Nirman Pvt Ltd</t>
        </is>
      </c>
      <c r="C81" s="22" t="inlineStr">
        <is>
          <t>Sattva Techpoint</t>
        </is>
      </c>
      <c r="D81" s="20" t="inlineStr">
        <is>
          <t>Office</t>
        </is>
      </c>
      <c r="E81" s="20" t="inlineStr">
        <is>
          <t>Bengaluru</t>
        </is>
      </c>
      <c r="F81" s="21" t="inlineStr">
        <is>
          <t>Whitefield / KR Puram</t>
        </is>
      </c>
      <c r="G81" s="21" t="inlineStr">
        <is>
          <t>EBD (Eastern Business District)</t>
        </is>
      </c>
      <c r="H81" s="23" t="inlineStr">
        <is>
          <t>Municipal No 30, 100 Feet Road, Srinivagilu, Ward No. 68, Bengaluru.</t>
        </is>
      </c>
      <c r="I81" s="24" t="n">
        <v>334593</v>
      </c>
      <c r="J81" s="25" t="n">
        <v>0.3</v>
      </c>
      <c r="K81" s="25" t="n"/>
      <c r="L81" s="26" t="n"/>
      <c r="M81" s="26" t="n"/>
      <c r="N81" s="25" t="n">
        <v>135</v>
      </c>
      <c r="O81" s="25" t="n">
        <v>129.8</v>
      </c>
      <c r="P81" s="26">
        <f>IF(OR(N81="",O81="",O81=0),"",N81/O81-1)</f>
        <v/>
      </c>
      <c r="Q81" s="25" t="n">
        <v>10.9</v>
      </c>
      <c r="R81" s="24" t="n"/>
      <c r="S81" s="26" t="n">
        <v>0.08</v>
      </c>
      <c r="T81" s="26" t="n">
        <v>0.1146</v>
      </c>
      <c r="U81" s="27" t="n">
        <v>746.4</v>
      </c>
      <c r="V81" s="27">
        <f>IF(OR(U81="",I81="",I81=0),"",U81*10000000/I81)</f>
        <v/>
      </c>
      <c r="W81" s="23" t="inlineStr">
        <is>
          <t>Property Management Fee 3.0% of Facility Rentals (below NOI line)</t>
        </is>
      </c>
      <c r="X81" s="23" t="inlineStr">
        <is>
          <t>INR 0.5 Mn from Apr'26 to Mar'27 (Mgmt input; 5% p.a. escalation from Apr'27)</t>
        </is>
      </c>
      <c r="Y81" s="23" t="inlineStr">
        <is>
          <t>Detailed sec 20 (pdf p.373); Valuation Certificate sec 6; Value Summary sec 4 (pdf p.55-56)</t>
        </is>
      </c>
    </row>
    <row r="82" ht="33.3" customHeight="1" s="18">
      <c r="A82" s="20" t="inlineStr">
        <is>
          <t>KRT</t>
        </is>
      </c>
      <c r="B82" s="21" t="inlineStr">
        <is>
          <t>Pluto Business Parks Private Limited</t>
        </is>
      </c>
      <c r="C82" s="22" t="inlineStr">
        <is>
          <t>One Trade Tower</t>
        </is>
      </c>
      <c r="D82" s="20" t="inlineStr">
        <is>
          <t>Office</t>
        </is>
      </c>
      <c r="E82" s="20" t="inlineStr">
        <is>
          <t>Bengaluru</t>
        </is>
      </c>
      <c r="F82" s="21" t="inlineStr">
        <is>
          <t>Palace Road</t>
        </is>
      </c>
      <c r="G82" s="21" t="inlineStr">
        <is>
          <t>CBD (Central Business District)</t>
        </is>
      </c>
      <c r="H82" s="23" t="inlineStr">
        <is>
          <t>Municipal No. 46, Situated At Palace Road, Municipal Ward No.77, Sampangiramnagar, Bengaluru.</t>
        </is>
      </c>
      <c r="I82" s="24" t="n">
        <v>175336</v>
      </c>
      <c r="J82" s="25" t="n">
        <v>0.2</v>
      </c>
      <c r="K82" s="25" t="n"/>
      <c r="L82" s="26" t="n"/>
      <c r="M82" s="26" t="n"/>
      <c r="N82" s="25" t="n">
        <v>210</v>
      </c>
      <c r="O82" s="25" t="n">
        <v>187.8</v>
      </c>
      <c r="P82" s="26">
        <f>IF(OR(N82="",O82="",O82=0),"",N82/O82-1)</f>
        <v/>
      </c>
      <c r="Q82" s="25" t="n">
        <v>3.2</v>
      </c>
      <c r="R82" s="24" t="n"/>
      <c r="S82" s="26" t="n">
        <v>0.0775</v>
      </c>
      <c r="T82" s="26" t="n">
        <v>0.1146</v>
      </c>
      <c r="U82" s="27" t="n">
        <v>611.2</v>
      </c>
      <c r="V82" s="27">
        <f>IF(OR(U82="",I82="",I82=0),"",U82*10000000/I82)</f>
        <v/>
      </c>
      <c r="W82" s="23" t="inlineStr">
        <is>
          <t>3.0% of the Facility Rentals</t>
        </is>
      </c>
      <c r="X82" s="23" t="inlineStr">
        <is>
          <t>INR 1.0 Mn from Apr'26 to Mar'27 (Mgmt input; 5% p.a. escalation from Apr'27)</t>
        </is>
      </c>
      <c r="Y82" s="23" t="inlineStr">
        <is>
          <t>Detailed sec 21 (pdf p.389); Valuation Certificate sec 6; Value Summary sec 4 (pdf p.55-56)</t>
        </is>
      </c>
    </row>
    <row r="83" ht="33.3" customHeight="1" s="18">
      <c r="A83" s="20" t="inlineStr">
        <is>
          <t>KRT</t>
        </is>
      </c>
      <c r="B83" s="21" t="inlineStr">
        <is>
          <t>Siddeshwari Grihanirman Pvt. Ltd.</t>
        </is>
      </c>
      <c r="C83" s="22" t="inlineStr">
        <is>
          <t>Sattva Horizon</t>
        </is>
      </c>
      <c r="D83" s="20" t="inlineStr">
        <is>
          <t>Office</t>
        </is>
      </c>
      <c r="E83" s="20" t="inlineStr">
        <is>
          <t>Bengaluru</t>
        </is>
      </c>
      <c r="F83" s="21" t="inlineStr">
        <is>
          <t>Bellary Road</t>
        </is>
      </c>
      <c r="G83" s="21" t="inlineStr">
        <is>
          <t>NBD -Bellary Road (Beyond Kogilu cross)</t>
        </is>
      </c>
      <c r="H83" s="23" t="inlineStr">
        <is>
          <t>Khata No.1303/6/1 &amp; 7/1, Venkatala, Ward No.01-Kempegowda Ward, Yelahanka, Bengaluru.</t>
        </is>
      </c>
      <c r="I83" s="24" t="n">
        <v>615560</v>
      </c>
      <c r="J83" s="25" t="n">
        <v>0.6</v>
      </c>
      <c r="K83" s="25" t="n"/>
      <c r="L83" s="26" t="n"/>
      <c r="M83" s="26" t="n"/>
      <c r="N83" s="25" t="n">
        <v>66</v>
      </c>
      <c r="O83" s="25" t="n">
        <v>62</v>
      </c>
      <c r="P83" s="26">
        <f>IF(OR(N83="",O83="",O83=0),"",N83/O83-1)</f>
        <v/>
      </c>
      <c r="Q83" s="25" t="n">
        <v>18.5</v>
      </c>
      <c r="R83" s="24" t="n"/>
      <c r="S83" s="26" t="n">
        <v>0.08</v>
      </c>
      <c r="T83" s="26" t="n">
        <v>0.1146</v>
      </c>
      <c r="U83" s="27" t="n">
        <v>655.6</v>
      </c>
      <c r="V83" s="27">
        <f>IF(OR(U83="",I83="",I83=0),"",U83*10000000/I83)</f>
        <v/>
      </c>
      <c r="W83" s="23" t="inlineStr">
        <is>
          <t>3.0% of the Facility Rentals</t>
        </is>
      </c>
      <c r="X83" s="23" t="inlineStr">
        <is>
          <t>INR 0.7 Mn from Apr'26 to Mar'27 (Mgmt input; 5% p.a. escalation from Apr'27)</t>
        </is>
      </c>
      <c r="Y83" s="23" t="inlineStr">
        <is>
          <t>Detailed sec 22 (pdf p.403); Valuation Certificate sec 6; Value Summary sec 4 (pdf p.55-56)</t>
        </is>
      </c>
    </row>
    <row r="84" ht="44" customHeight="1" s="18">
      <c r="A84" s="20" t="inlineStr">
        <is>
          <t>KRT</t>
        </is>
      </c>
      <c r="B84" s="21" t="inlineStr">
        <is>
          <t>Salarpuria Properties Pvt Ltd</t>
        </is>
      </c>
      <c r="C84" s="22" t="inlineStr">
        <is>
          <t>Sattva Touchstone</t>
        </is>
      </c>
      <c r="D84" s="20" t="inlineStr">
        <is>
          <t>Office</t>
        </is>
      </c>
      <c r="E84" s="20" t="inlineStr">
        <is>
          <t>Bengaluru</t>
        </is>
      </c>
      <c r="F84" s="21" t="inlineStr">
        <is>
          <t>Kadubeesanahalli</t>
        </is>
      </c>
      <c r="G84" s="21" t="inlineStr">
        <is>
          <t>Outer Ring-Road (ORR)</t>
        </is>
      </c>
      <c r="H84" s="23" t="inlineStr">
        <is>
          <t>Sy. No. 15/1A &amp; 14-P7, Kadubeesanahalli Village, Varthur Hobli, Mahadevapura Zone, Ward No. 150- Bellandur, Bengaluru.</t>
        </is>
      </c>
      <c r="I84" s="24" t="n">
        <v>321440</v>
      </c>
      <c r="J84" s="25" t="n">
        <v>0.3</v>
      </c>
      <c r="K84" s="25" t="n"/>
      <c r="L84" s="26" t="n">
        <v>0.432</v>
      </c>
      <c r="M84" s="26" t="n"/>
      <c r="N84" s="25" t="n">
        <v>78</v>
      </c>
      <c r="O84" s="25" t="n">
        <v>78.3</v>
      </c>
      <c r="P84" s="26">
        <f>IF(OR(N84="",O84="",O84=0),"",N84/O84-1)</f>
        <v/>
      </c>
      <c r="Q84" s="25" t="n">
        <v>2.3</v>
      </c>
      <c r="R84" s="24" t="n"/>
      <c r="S84" s="26" t="n">
        <v>0.0825</v>
      </c>
      <c r="T84" s="26" t="n">
        <v>0.1146</v>
      </c>
      <c r="U84" s="27" t="n">
        <v>398.1</v>
      </c>
      <c r="V84" s="27">
        <f>IF(OR(U84="",I84="",I84=0),"",U84*10000000/I84)</f>
        <v/>
      </c>
      <c r="W84" s="23" t="inlineStr">
        <is>
          <t>3.0% of the Facility Rentals</t>
        </is>
      </c>
      <c r="X84" s="23" t="inlineStr">
        <is>
          <t>INR 0.6 Mn from Apr'26 to Mar'27 (Mgmt input; 5% p.a. escalation from Apr'27)</t>
        </is>
      </c>
      <c r="Y84" s="23" t="inlineStr">
        <is>
          <t>Detailed sec 23 (pdf p.416); Valuation Certificate sec 6; Value Summary sec 4 (pdf p.55-56)</t>
        </is>
      </c>
    </row>
    <row r="85" ht="44" customHeight="1" s="18">
      <c r="A85" s="20" t="inlineStr">
        <is>
          <t>KRT</t>
        </is>
      </c>
      <c r="B85" s="21" t="inlineStr">
        <is>
          <t>Quadro Info technologies Pvt Ltd</t>
        </is>
      </c>
      <c r="C85" s="22" t="inlineStr">
        <is>
          <t>Sattva Infozone</t>
        </is>
      </c>
      <c r="D85" s="20" t="inlineStr">
        <is>
          <t>Office</t>
        </is>
      </c>
      <c r="E85" s="20" t="inlineStr">
        <is>
          <t>Bengaluru</t>
        </is>
      </c>
      <c r="F85" s="21" t="inlineStr">
        <is>
          <t>Peripheral (PBD)</t>
        </is>
      </c>
      <c r="G85" s="21" t="inlineStr">
        <is>
          <t>Peripheral Business District (PBD-O)</t>
        </is>
      </c>
      <c r="H85" s="23" t="inlineStr">
        <is>
          <t>Sy Nos. 39(P), 41(P) &amp; 42(P), Electronic City, Doddathogur Village, Begur, Hobli, Bengaluru South Taluk, Bengaluru.</t>
        </is>
      </c>
      <c r="I85" s="24" t="n">
        <v>444591</v>
      </c>
      <c r="J85" s="25" t="n">
        <v>0.4</v>
      </c>
      <c r="K85" s="25" t="n"/>
      <c r="L85" s="26" t="n">
        <v>0.822</v>
      </c>
      <c r="M85" s="26" t="n"/>
      <c r="N85" s="25" t="n">
        <v>61</v>
      </c>
      <c r="O85" s="25" t="n">
        <v>54.4</v>
      </c>
      <c r="P85" s="26">
        <f>IF(OR(N85="",O85="",O85=0),"",N85/O85-1)</f>
        <v/>
      </c>
      <c r="Q85" s="25" t="n">
        <v>3.7</v>
      </c>
      <c r="R85" s="24" t="n"/>
      <c r="S85" s="26" t="n">
        <v>0.0825</v>
      </c>
      <c r="T85" s="26" t="n">
        <v>0.1146</v>
      </c>
      <c r="U85" s="27" t="n">
        <v>417.8</v>
      </c>
      <c r="V85" s="27">
        <f>IF(OR(U85="",I85="",I85=0),"",U85*10000000/I85)</f>
        <v/>
      </c>
      <c r="W85" s="23" t="inlineStr">
        <is>
          <t>3.0% of the Facility Rentals</t>
        </is>
      </c>
      <c r="X85" s="23" t="inlineStr">
        <is>
          <t>INR 0.5 Mn from Apr'26 to Mar'27 (Mgmt input; 5% p.a. escalation from Apr'27)</t>
        </is>
      </c>
      <c r="Y85" s="23" t="inlineStr">
        <is>
          <t>Detailed sec 24 (pdf p.432); Valuation Certificate sec 6; Value Summary sec 4 (pdf p.55-56)</t>
        </is>
      </c>
    </row>
    <row r="86" ht="44" customHeight="1" s="18">
      <c r="A86" s="20" t="inlineStr">
        <is>
          <t>KRT</t>
        </is>
      </c>
      <c r="B86" s="21" t="inlineStr">
        <is>
          <t>2. Softzone Techpark Limited</t>
        </is>
      </c>
      <c r="C86" s="22" t="inlineStr">
        <is>
          <t>Sattva Magnificia (I &amp; II)</t>
        </is>
      </c>
      <c r="D86" s="20" t="inlineStr">
        <is>
          <t>Office</t>
        </is>
      </c>
      <c r="E86" s="20" t="inlineStr">
        <is>
          <t>Bengaluru</t>
        </is>
      </c>
      <c r="F86" s="21" t="inlineStr">
        <is>
          <t>KR Puram</t>
        </is>
      </c>
      <c r="G86" s="21" t="inlineStr">
        <is>
          <t>Extended Business District - EBD (KR Puram)</t>
        </is>
      </c>
      <c r="H86" s="23" t="inlineStr">
        <is>
          <t>Khata No:23/23/57/18/78/23 Beniganahalli and Vijinapura Village, K.R Puram Hobli, HAL Sub-division, Mahadevapura Zone, Bengaluru.</t>
        </is>
      </c>
      <c r="I86" s="24" t="n">
        <v>191976</v>
      </c>
      <c r="J86" s="25" t="n">
        <v>0.2</v>
      </c>
      <c r="K86" s="25" t="n"/>
      <c r="L86" s="26" t="n"/>
      <c r="M86" s="26" t="n"/>
      <c r="N86" s="25" t="n">
        <v>107</v>
      </c>
      <c r="O86" s="25" t="n">
        <v>101.8</v>
      </c>
      <c r="P86" s="26">
        <f>IF(OR(N86="",O86="",O86=0),"",N86/O86-1)</f>
        <v/>
      </c>
      <c r="Q86" s="25" t="n">
        <v>8.6</v>
      </c>
      <c r="R86" s="24" t="n"/>
      <c r="S86" s="26" t="n">
        <v>0.08</v>
      </c>
      <c r="T86" s="26" t="n">
        <v>0.1146</v>
      </c>
      <c r="U86" s="27" t="n">
        <v>326.2</v>
      </c>
      <c r="V86" s="27">
        <f>IF(OR(U86="",I86="",I86=0),"",U86*10000000/I86)</f>
        <v/>
      </c>
      <c r="W86" s="23" t="inlineStr">
        <is>
          <t>3.0% of the Facility Rentals</t>
        </is>
      </c>
      <c r="X86" s="23" t="inlineStr">
        <is>
          <t>INR 0.1 Mn from Apr'26 to Mar'27 (Mgmt input; 5% p.a. escalation from Apr'27)</t>
        </is>
      </c>
      <c r="Y86" s="23" t="inlineStr">
        <is>
          <t>Magnificia I (MV 1357) + II (MV 1905) combined | Detailed sec 25 (pdf p.448); Valuation Certificate sec 6; Value Summary sec 4 (pdf p.55-56)</t>
        </is>
      </c>
    </row>
    <row r="87" ht="44" customHeight="1" s="18">
      <c r="A87" s="20" t="inlineStr">
        <is>
          <t>KRT</t>
        </is>
      </c>
      <c r="B87" s="21" t="inlineStr">
        <is>
          <t>Jaganmayi Real Estate</t>
        </is>
      </c>
      <c r="C87" s="22" t="inlineStr">
        <is>
          <t>Sattva South Avenue</t>
        </is>
      </c>
      <c r="D87" s="20" t="inlineStr">
        <is>
          <t>Office</t>
        </is>
      </c>
      <c r="E87" s="20" t="inlineStr">
        <is>
          <t>Bengaluru</t>
        </is>
      </c>
      <c r="F87" s="21" t="inlineStr">
        <is>
          <t>Peripheral (PBD)</t>
        </is>
      </c>
      <c r="G87" s="21" t="inlineStr">
        <is>
          <t>Peripheral Business District (PBD-O)</t>
        </is>
      </c>
      <c r="H87" s="23" t="inlineStr">
        <is>
          <t>Plot No. 33, 33A &amp; 33B, Sy. No.20, 22 &amp; 23, Veerasandra Industrial Area, Veerasandra Village, Attibele Hobli, Anekal Taluk, Bengaluru</t>
        </is>
      </c>
      <c r="I87" s="24" t="n">
        <v>341553</v>
      </c>
      <c r="J87" s="25" t="n">
        <v>0.3</v>
      </c>
      <c r="K87" s="25" t="n"/>
      <c r="L87" s="26" t="n">
        <v>0.598</v>
      </c>
      <c r="M87" s="26" t="n"/>
      <c r="N87" s="25" t="n">
        <v>68</v>
      </c>
      <c r="O87" s="25" t="n">
        <v>69.2</v>
      </c>
      <c r="P87" s="26">
        <f>IF(OR(N87="",O87="",O87=0),"",N87/O87-1)</f>
        <v/>
      </c>
      <c r="Q87" s="25" t="n">
        <v>9.6</v>
      </c>
      <c r="R87" s="24" t="n"/>
      <c r="S87" s="26" t="n">
        <v>0.0825</v>
      </c>
      <c r="T87" s="26" t="n">
        <v>0.1146</v>
      </c>
      <c r="U87" s="27" t="n">
        <v>406.2</v>
      </c>
      <c r="V87" s="27">
        <f>IF(OR(U87="",I87="",I87=0),"",U87*10000000/I87)</f>
        <v/>
      </c>
      <c r="W87" s="23" t="inlineStr">
        <is>
          <t>3.0% of the Facility Rentals</t>
        </is>
      </c>
      <c r="X87" s="23" t="inlineStr">
        <is>
          <t>INR 0.4 Mn from Apr'26 to Mar'27 (Mgmt input; 5% p.a. escalation from Apr'27)</t>
        </is>
      </c>
      <c r="Y87" s="23" t="inlineStr">
        <is>
          <t>Detailed sec 26 (pdf p.467); Valuation Certificate sec 6; Value Summary sec 4 (pdf p.55-56)</t>
        </is>
      </c>
    </row>
    <row r="88" ht="44" customHeight="1" s="18">
      <c r="A88" s="20" t="inlineStr">
        <is>
          <t>KRT</t>
        </is>
      </c>
      <c r="B88" s="21" t="inlineStr">
        <is>
          <t>Debonair Realtors Pvt Ltd</t>
        </is>
      </c>
      <c r="C88" s="22" t="inlineStr">
        <is>
          <t>Sattva Eminence</t>
        </is>
      </c>
      <c r="D88" s="20" t="inlineStr">
        <is>
          <t>Office</t>
        </is>
      </c>
      <c r="E88" s="20" t="inlineStr">
        <is>
          <t>Bengaluru</t>
        </is>
      </c>
      <c r="F88" s="21" t="inlineStr">
        <is>
          <t>Outer Ring Road</t>
        </is>
      </c>
      <c r="G88" s="21" t="inlineStr">
        <is>
          <t>Outer Ring-Road (ORR)</t>
        </is>
      </c>
      <c r="H88" s="23" t="inlineStr">
        <is>
          <t>Sy No. 174/175/176, Khata No: 239/240, Amani Bellandur Khane Village, Varthur Hobli, Bengaluru East Taluk, Bengaluru</t>
        </is>
      </c>
      <c r="I88" s="24" t="n">
        <v>164198</v>
      </c>
      <c r="J88" s="25" t="n">
        <v>0.2</v>
      </c>
      <c r="K88" s="25" t="n"/>
      <c r="L88" s="26" t="n">
        <v>0.999</v>
      </c>
      <c r="M88" s="26" t="n"/>
      <c r="N88" s="25" t="n">
        <v>86</v>
      </c>
      <c r="O88" s="25" t="n">
        <v>65.7</v>
      </c>
      <c r="P88" s="26">
        <f>IF(OR(N88="",O88="",O88=0),"",N88/O88-1)</f>
        <v/>
      </c>
      <c r="Q88" s="25" t="n">
        <v>13.5</v>
      </c>
      <c r="R88" s="24" t="n"/>
      <c r="S88" s="26" t="n">
        <v>0.08</v>
      </c>
      <c r="T88" s="26" t="n">
        <v>0.1146</v>
      </c>
      <c r="U88" s="27" t="n">
        <v>237</v>
      </c>
      <c r="V88" s="27">
        <f>IF(OR(U88="",I88="",I88=0),"",U88*10000000/I88)</f>
        <v/>
      </c>
      <c r="W88" s="23" t="inlineStr">
        <is>
          <t>3.0% of the Facility Rentals</t>
        </is>
      </c>
      <c r="X88" s="23" t="inlineStr">
        <is>
          <t>INR 0.2 Mn from Apr'26 to Mar'27 (Mgmt input; 5% p.a. escalation from Apr'27)</t>
        </is>
      </c>
      <c r="Y88" s="23" t="inlineStr">
        <is>
          <t>Detailed sec 27 (pdf p.482); Valuation Certificate sec 6; Value Summary sec 4 (pdf p.55-56)</t>
        </is>
      </c>
    </row>
    <row r="89" ht="33.3" customHeight="1" s="18">
      <c r="A89" s="20" t="inlineStr">
        <is>
          <t>KRT</t>
        </is>
      </c>
      <c r="B89" s="21" t="inlineStr">
        <is>
          <t>Harkeshwar Realtors Private Limited</t>
        </is>
      </c>
      <c r="C89" s="22" t="inlineStr">
        <is>
          <t>Sattva Cosmo Lavelle</t>
        </is>
      </c>
      <c r="D89" s="20" t="inlineStr">
        <is>
          <t>Office</t>
        </is>
      </c>
      <c r="E89" s="20" t="inlineStr">
        <is>
          <t>Bengaluru</t>
        </is>
      </c>
      <c r="F89" s="21" t="inlineStr">
        <is>
          <t>Lavelle Road</t>
        </is>
      </c>
      <c r="G89" s="21" t="inlineStr">
        <is>
          <t>CBD (Central Business District)</t>
        </is>
      </c>
      <c r="H89" s="23" t="inlineStr">
        <is>
          <t>Municipal No. 9 (Old Nos. 9, 9/3, &amp; 9/4), Residency Road, Richmond Circle, Bengaluru</t>
        </is>
      </c>
      <c r="I89" s="24" t="n">
        <v>77022</v>
      </c>
      <c r="J89" s="25" t="n">
        <v>0.1</v>
      </c>
      <c r="K89" s="25" t="n"/>
      <c r="L89" s="26" t="n"/>
      <c r="M89" s="26" t="n"/>
      <c r="N89" s="25" t="n">
        <v>235</v>
      </c>
      <c r="O89" s="25" t="n">
        <v>235</v>
      </c>
      <c r="P89" s="26">
        <f>IF(OR(N89="",O89="",O89=0),"",N89/O89-1)</f>
        <v/>
      </c>
      <c r="Q89" s="25" t="n">
        <v>14.8</v>
      </c>
      <c r="R89" s="24" t="n"/>
      <c r="S89" s="26" t="n">
        <v>0.0775</v>
      </c>
      <c r="T89" s="26" t="n">
        <v>0.1146</v>
      </c>
      <c r="U89" s="27" t="n">
        <v>297.8</v>
      </c>
      <c r="V89" s="27">
        <f>IF(OR(U89="",I89="",I89=0),"",U89*10000000/I89)</f>
        <v/>
      </c>
      <c r="W89" s="23" t="inlineStr">
        <is>
          <t>3.0% of the Facility Rentals</t>
        </is>
      </c>
      <c r="X89" s="23" t="inlineStr">
        <is>
          <t>INR 0.2 Mn from Apr'26 to Mar'27 (Mgmt input; 5% p.a. escalation from Apr'27)</t>
        </is>
      </c>
      <c r="Y89" s="23" t="inlineStr">
        <is>
          <t>Detailed sec 28 (pdf p.497); Valuation Certificate sec 6; Value Summary sec 4 (pdf p.55-56)</t>
        </is>
      </c>
    </row>
    <row r="90" ht="44" customHeight="1" s="18">
      <c r="A90" s="20" t="inlineStr">
        <is>
          <t>KRT</t>
        </is>
      </c>
      <c r="B90" s="21" t="inlineStr">
        <is>
          <t>Salarpuria Developers Pvt Ltd</t>
        </is>
      </c>
      <c r="C90" s="22" t="inlineStr">
        <is>
          <t>Sattva Premia</t>
        </is>
      </c>
      <c r="D90" s="20" t="inlineStr">
        <is>
          <t>Office</t>
        </is>
      </c>
      <c r="E90" s="20" t="inlineStr">
        <is>
          <t>Bengaluru</t>
        </is>
      </c>
      <c r="F90" s="21" t="inlineStr">
        <is>
          <t>Kadubeesanahalli</t>
        </is>
      </c>
      <c r="G90" s="21" t="inlineStr">
        <is>
          <t>ORR</t>
        </is>
      </c>
      <c r="H90" s="23" t="inlineStr">
        <is>
          <t>Sy No. 16, Khata No.316/1 to 316/5, Outer Ring Road Kadubeesanahalli Village, Mahadevapura Zone, Bengaluru East Taluk, Bengaluru.</t>
        </is>
      </c>
      <c r="I90" s="24" t="n">
        <v>113172</v>
      </c>
      <c r="J90" s="25" t="n">
        <v>0.1</v>
      </c>
      <c r="K90" s="25" t="n"/>
      <c r="L90" s="26" t="n">
        <v>1</v>
      </c>
      <c r="M90" s="26" t="n"/>
      <c r="N90" s="25" t="n">
        <v>80</v>
      </c>
      <c r="O90" s="25" t="n">
        <v>80</v>
      </c>
      <c r="P90" s="26">
        <f>IF(OR(N90="",O90="",O90=0),"",N90/O90-1)</f>
        <v/>
      </c>
      <c r="Q90" s="25" t="n">
        <v>14.5</v>
      </c>
      <c r="R90" s="24" t="n"/>
      <c r="S90" s="26" t="n">
        <v>0.0825</v>
      </c>
      <c r="T90" s="26" t="n">
        <v>0.1146</v>
      </c>
      <c r="U90" s="27" t="n">
        <v>133.8</v>
      </c>
      <c r="V90" s="27">
        <f>IF(OR(U90="",I90="",I90=0),"",U90*10000000/I90)</f>
        <v/>
      </c>
      <c r="W90" s="23" t="inlineStr">
        <is>
          <t>3.0% of the Facility Rentals</t>
        </is>
      </c>
      <c r="X90" s="23" t="inlineStr">
        <is>
          <t>INR 0.1 Mn from Apr'26 to Mar'27 (Mgmt input; 5% p.a. escalation from Apr'27)</t>
        </is>
      </c>
      <c r="Y90" s="23" t="inlineStr">
        <is>
          <t>Detailed sec 29 (pdf p.512); Valuation Certificate sec 6; Value Summary sec 4 (pdf p.55-56)</t>
        </is>
      </c>
    </row>
    <row r="91" ht="33.3" customHeight="1" s="18">
      <c r="A91" s="20" t="inlineStr">
        <is>
          <t>KRT</t>
        </is>
      </c>
      <c r="B91" s="21" t="inlineStr">
        <is>
          <t>Sattva Developers Pvt Ltd</t>
        </is>
      </c>
      <c r="C91" s="22" t="inlineStr">
        <is>
          <t>Sattva Supreme</t>
        </is>
      </c>
      <c r="D91" s="20" t="inlineStr">
        <is>
          <t>Office</t>
        </is>
      </c>
      <c r="E91" s="20" t="inlineStr">
        <is>
          <t>Bengaluru</t>
        </is>
      </c>
      <c r="F91" s="21" t="inlineStr">
        <is>
          <t>Munnekolala</t>
        </is>
      </c>
      <c r="G91" s="21" t="inlineStr">
        <is>
          <t>Outer Ring-Road (ORR)</t>
        </is>
      </c>
      <c r="H91" s="23" t="inlineStr">
        <is>
          <t>Sy. No. 92/5 of Munnekolala Village, Varthur Hobli, Bengaluru East Taluk, Bengaluru</t>
        </is>
      </c>
      <c r="I91" s="24" t="n">
        <v>63929</v>
      </c>
      <c r="J91" s="25" t="n">
        <v>0.1</v>
      </c>
      <c r="K91" s="25" t="n"/>
      <c r="L91" s="26" t="n">
        <v>0.322</v>
      </c>
      <c r="M91" s="26" t="n"/>
      <c r="N91" s="25" t="n">
        <v>80</v>
      </c>
      <c r="O91" s="25" t="n">
        <v>91.09999999999999</v>
      </c>
      <c r="P91" s="26">
        <f>IF(OR(N91="",O91="",O91=0),"",N91/O91-1)</f>
        <v/>
      </c>
      <c r="Q91" s="25" t="n">
        <v>3.7</v>
      </c>
      <c r="R91" s="24" t="n"/>
      <c r="S91" s="26" t="n">
        <v>0.08500000000000001</v>
      </c>
      <c r="T91" s="26" t="n">
        <v>0.1146</v>
      </c>
      <c r="U91" s="27" t="n">
        <v>72.5</v>
      </c>
      <c r="V91" s="27">
        <f>IF(OR(U91="",I91="",I91=0),"",U91*10000000/I91)</f>
        <v/>
      </c>
      <c r="W91" s="23" t="inlineStr">
        <is>
          <t>Property Management Fee 3.0% of Facility Rentals (below NOI line)</t>
        </is>
      </c>
      <c r="X91" s="23" t="inlineStr">
        <is>
          <t>INR 0.2 Mn from Apr'26 to Mar'27 (Mgmt input; 5% p.a. escalation from Apr'27)</t>
        </is>
      </c>
      <c r="Y91" s="23" t="inlineStr">
        <is>
          <t>Detailed sec 30 (pdf p.526); Valuation Certificate sec 6; Value Summary sec 4 (pdf p.55-56)</t>
        </is>
      </c>
    </row>
    <row r="92" ht="44" customHeight="1" s="18">
      <c r="A92" s="20" t="inlineStr">
        <is>
          <t>KRT</t>
        </is>
      </c>
      <c r="B92" s="21" t="inlineStr">
        <is>
          <t>Darshita Housing Pvt. Ltd.</t>
        </is>
      </c>
      <c r="C92" s="22" t="inlineStr">
        <is>
          <t>Sattva Endeavour</t>
        </is>
      </c>
      <c r="D92" s="20" t="inlineStr">
        <is>
          <t>Office</t>
        </is>
      </c>
      <c r="E92" s="20" t="inlineStr">
        <is>
          <t>Bengaluru</t>
        </is>
      </c>
      <c r="F92" s="21" t="inlineStr">
        <is>
          <t>Peripheral (PBD)</t>
        </is>
      </c>
      <c r="G92" s="21" t="inlineStr">
        <is>
          <t>Peripheral Business District (PBD – O)</t>
        </is>
      </c>
      <c r="H92" s="23" t="inlineStr">
        <is>
          <t>Sy No 44(P), 44/1A1, 46(P) and 47(P), Electronic City 2nd Phase, Begur (Konnappana Agrahara Village), Bengaluru South Taluk, Bengaluru.</t>
        </is>
      </c>
      <c r="I92" s="24" t="n">
        <v>739671</v>
      </c>
      <c r="J92" s="25" t="n">
        <v>0.7</v>
      </c>
      <c r="K92" s="25" t="n"/>
      <c r="L92" s="26" t="n"/>
      <c r="M92" s="26" t="n"/>
      <c r="N92" s="25" t="n">
        <v>66</v>
      </c>
      <c r="O92" s="25" t="n"/>
      <c r="P92" s="26">
        <f>IF(OR(N92="",O92="",O92=0),"",N92/O92-1)</f>
        <v/>
      </c>
      <c r="Q92" s="25" t="n"/>
      <c r="R92" s="24" t="n"/>
      <c r="S92" s="26" t="n">
        <v>0.0825</v>
      </c>
      <c r="T92" s="26" t="n">
        <v>0.124</v>
      </c>
      <c r="U92" s="27" t="n">
        <v>644.3</v>
      </c>
      <c r="V92" s="27">
        <f>IF(OR(U92="",I92="",I92=0),"",U92*10000000/I92)</f>
        <v/>
      </c>
      <c r="W92" s="23" t="inlineStr">
        <is>
          <t>3.0% of the Facility Rentals</t>
        </is>
      </c>
      <c r="X92" s="23" t="inlineStr">
        <is>
          <t>INR 1.4 Mn from Apr'26 to Mar'27 (Mgmt input; 5% p.a. escalation from Apr'27)</t>
        </is>
      </c>
      <c r="Y92" s="23" t="inlineStr">
        <is>
          <t>Detailed sec 31 (pdf p.541); Valuation Certificate sec 6; Value Summary sec 4 (pdf p.55-56)</t>
        </is>
      </c>
    </row>
    <row r="93" ht="33.3" customHeight="1" s="18">
      <c r="A93" s="20" t="inlineStr">
        <is>
          <t>KRT</t>
        </is>
      </c>
      <c r="B93" s="21" t="inlineStr">
        <is>
          <t>Salarpuria Builders Private Limited</t>
        </is>
      </c>
      <c r="C93" s="22" t="inlineStr">
        <is>
          <t>Sattva Spectrum</t>
        </is>
      </c>
      <c r="D93" s="20" t="inlineStr">
        <is>
          <t>Office</t>
        </is>
      </c>
      <c r="E93" s="20" t="inlineStr">
        <is>
          <t>Bengaluru</t>
        </is>
      </c>
      <c r="F93" s="21" t="inlineStr">
        <is>
          <t>Peripheral (PBD)</t>
        </is>
      </c>
      <c r="G93" s="21" t="inlineStr">
        <is>
          <t>Peripheral Business District (PBD-O)</t>
        </is>
      </c>
      <c r="H93" s="23" t="inlineStr">
        <is>
          <t>Municipal No. 2355 / 78/6,5, 3, 8B, 9(P), Marathahalli Division, Doddakanelli, Marathahalli, Bengaluru</t>
        </is>
      </c>
      <c r="I93" s="24" t="n">
        <v>480962</v>
      </c>
      <c r="J93" s="25" t="n">
        <v>0.5</v>
      </c>
      <c r="K93" s="25" t="n"/>
      <c r="L93" s="26" t="n"/>
      <c r="M93" s="26" t="n"/>
      <c r="N93" s="25" t="n">
        <v>75</v>
      </c>
      <c r="O93" s="25" t="n"/>
      <c r="P93" s="26">
        <f>IF(OR(N93="",O93="",O93=0),"",N93/O93-1)</f>
        <v/>
      </c>
      <c r="Q93" s="25" t="n"/>
      <c r="R93" s="24" t="n"/>
      <c r="S93" s="26" t="n">
        <v>0.0825</v>
      </c>
      <c r="T93" s="26" t="n">
        <v>0.124</v>
      </c>
      <c r="U93" s="27" t="n">
        <v>494.2</v>
      </c>
      <c r="V93" s="27">
        <f>IF(OR(U93="",I93="",I93=0),"",U93*10000000/I93)</f>
        <v/>
      </c>
      <c r="W93" s="23" t="inlineStr">
        <is>
          <t>3.0% of the Facility Rentals</t>
        </is>
      </c>
      <c r="X93" s="23" t="inlineStr">
        <is>
          <t>INR 0.9 Mn from Apr'26 to Mar'27 (Mgmt input; 5% p.a. escalation from Apr'27)</t>
        </is>
      </c>
      <c r="Y93" s="23" t="inlineStr">
        <is>
          <t>Detailed sec 32 (pdf p.554); Valuation Certificate sec 6; Value Summary sec 4 (pdf p.55-56)</t>
        </is>
      </c>
    </row>
    <row r="94" ht="76" customHeight="1" s="18">
      <c r="A94" s="20" t="inlineStr">
        <is>
          <t>KRT</t>
        </is>
      </c>
      <c r="B94" s="21" t="inlineStr">
        <is>
          <t>Kosmo One Business Park Private Limited</t>
        </is>
      </c>
      <c r="C94" s="22" t="inlineStr">
        <is>
          <t>Kosmo One</t>
        </is>
      </c>
      <c r="D94" s="20" t="inlineStr">
        <is>
          <t>Office</t>
        </is>
      </c>
      <c r="E94" s="20" t="inlineStr">
        <is>
          <t>Chennai</t>
        </is>
      </c>
      <c r="F94" s="21" t="inlineStr">
        <is>
          <t>Ambattur</t>
        </is>
      </c>
      <c r="G94" s="21" t="inlineStr">
        <is>
          <t>Ambattur</t>
        </is>
      </c>
      <c r="H94" s="23" t="inlineStr">
        <is>
          <t>Survey Nos. 195 Part, 196 Part, 197 Part, 198 Part, 199 Part And 200 Part, Mannurpet Village, And Survey Nos. 6 Part, 7 Part, 8 Part And 10 Part, Athipet Village, No. 14, 3Rd Main Road, Ambattur Industrial Estate, Ambattur, Chennai.</t>
        </is>
      </c>
      <c r="I94" s="24" t="n">
        <v>1911704</v>
      </c>
      <c r="J94" s="25" t="n">
        <v>1.9</v>
      </c>
      <c r="K94" s="25" t="n"/>
      <c r="L94" s="26" t="n">
        <v>0.971</v>
      </c>
      <c r="M94" s="26" t="n"/>
      <c r="N94" s="25" t="n">
        <v>57</v>
      </c>
      <c r="O94" s="25" t="n">
        <v>44.3</v>
      </c>
      <c r="P94" s="26">
        <f>IF(OR(N94="",O94="",O94=0),"",N94/O94-1)</f>
        <v/>
      </c>
      <c r="Q94" s="25" t="n">
        <v>4.8</v>
      </c>
      <c r="R94" s="24" t="n"/>
      <c r="S94" s="26" t="n">
        <v>0.08</v>
      </c>
      <c r="T94" s="26" t="n">
        <v>0.1146</v>
      </c>
      <c r="U94" s="27" t="n">
        <v>1623.7</v>
      </c>
      <c r="V94" s="27">
        <f>IF(OR(U94="",I94="",I94=0),"",U94*10000000/I94)</f>
        <v/>
      </c>
      <c r="W94" s="23" t="inlineStr">
        <is>
          <t>3.0% of the Facility Rentals</t>
        </is>
      </c>
      <c r="X94" s="23" t="inlineStr">
        <is>
          <t>INR 2.8 Mn from Apr'26 to Mar'27 (Mgmt input; 5% p.a. escalation from Apr'27)</t>
        </is>
      </c>
      <c r="Y94" s="23" t="inlineStr">
        <is>
          <t>Detailed sec 33 (pdf p.567); Valuation Certificate sec 6; Value Summary sec 4 (pdf p.55-56)</t>
        </is>
      </c>
    </row>
    <row r="95" ht="33.3" customHeight="1" s="18">
      <c r="A95" s="20" t="inlineStr">
        <is>
          <t>KRT</t>
        </is>
      </c>
      <c r="B95" s="21" t="inlineStr">
        <is>
          <t>One Qube Realtors Private Limited</t>
        </is>
      </c>
      <c r="C95" s="22" t="inlineStr">
        <is>
          <t>One Qube</t>
        </is>
      </c>
      <c r="D95" s="20" t="inlineStr">
        <is>
          <t>Office</t>
        </is>
      </c>
      <c r="E95" s="20" t="inlineStr">
        <is>
          <t>Gurugram</t>
        </is>
      </c>
      <c r="F95" s="21" t="inlineStr">
        <is>
          <t>NH-8 (Gurugram)</t>
        </is>
      </c>
      <c r="G95" s="21" t="inlineStr">
        <is>
          <t>NH-8 (Before Rajiv Chowk)</t>
        </is>
      </c>
      <c r="H95" s="23" t="inlineStr">
        <is>
          <t>Plot No. 20, Sector-18, Urban Estate, Gurugram, Haryana.</t>
        </is>
      </c>
      <c r="I95" s="24" t="n">
        <v>555964</v>
      </c>
      <c r="J95" s="25" t="n">
        <v>0.6</v>
      </c>
      <c r="K95" s="25" t="n"/>
      <c r="L95" s="26" t="n">
        <v>0.916</v>
      </c>
      <c r="M95" s="26" t="n"/>
      <c r="N95" s="25" t="n">
        <v>125</v>
      </c>
      <c r="O95" s="25" t="n">
        <v>107.5</v>
      </c>
      <c r="P95" s="26">
        <f>IF(OR(N95="",O95="",O95=0),"",N95/O95-1)</f>
        <v/>
      </c>
      <c r="Q95" s="25" t="n">
        <v>7.2</v>
      </c>
      <c r="R95" s="24" t="n"/>
      <c r="S95" s="26" t="n">
        <v>0.08</v>
      </c>
      <c r="T95" s="26" t="n">
        <v>0.1146</v>
      </c>
      <c r="U95" s="27" t="n">
        <v>1029.5</v>
      </c>
      <c r="V95" s="27">
        <f>IF(OR(U95="",I95="",I95=0),"",U95*10000000/I95)</f>
        <v/>
      </c>
      <c r="W95" s="23" t="inlineStr">
        <is>
          <t>3.0% of the Facility Rentals</t>
        </is>
      </c>
      <c r="X95" s="23" t="inlineStr">
        <is>
          <t>INR 1.2 Mn from Apr'26 to Mar'27 (Mgmt input; 5% p.a. escalation from Apr'27)</t>
        </is>
      </c>
      <c r="Y95" s="23" t="inlineStr">
        <is>
          <t>Detailed sec 34 (pdf p.582); Valuation Certificate sec 6; Value Summary sec 4 (pdf p.55-56)</t>
        </is>
      </c>
    </row>
    <row r="96" ht="33.3" customHeight="1" s="18">
      <c r="A96" s="20" t="inlineStr">
        <is>
          <t>KRT</t>
        </is>
      </c>
      <c r="B96" s="21" t="inlineStr">
        <is>
          <t>Pluto Atriza Business Parks Private Limited</t>
        </is>
      </c>
      <c r="C96" s="22" t="inlineStr">
        <is>
          <t>Fintech One</t>
        </is>
      </c>
      <c r="D96" s="20" t="inlineStr">
        <is>
          <t>Office</t>
        </is>
      </c>
      <c r="E96" s="20" t="inlineStr">
        <is>
          <t>GIFT City, Ahmedabad</t>
        </is>
      </c>
      <c r="F96" s="21" t="inlineStr">
        <is>
          <t>GIFT City</t>
        </is>
      </c>
      <c r="G96" s="21" t="inlineStr">
        <is>
          <t>GIFT City, Ahmedabad</t>
        </is>
      </c>
      <c r="H96" s="23" t="inlineStr">
        <is>
          <t>Survey No. 500, Village Ratanpur, Taluka And District: Gandhinagar, Gujarat.</t>
        </is>
      </c>
      <c r="I96" s="24" t="n">
        <v>452528</v>
      </c>
      <c r="J96" s="25" t="n">
        <v>0.5</v>
      </c>
      <c r="K96" s="25" t="n"/>
      <c r="L96" s="26" t="n">
        <v>0.98</v>
      </c>
      <c r="M96" s="26" t="n"/>
      <c r="N96" s="25" t="n">
        <v>63</v>
      </c>
      <c r="O96" s="25" t="n">
        <v>52</v>
      </c>
      <c r="P96" s="26">
        <f>IF(OR(N96="",O96="",O96=0),"",N96/O96-1)</f>
        <v/>
      </c>
      <c r="Q96" s="25" t="n">
        <v>7.8</v>
      </c>
      <c r="R96" s="24" t="n"/>
      <c r="S96" s="26" t="n">
        <v>0.08</v>
      </c>
      <c r="T96" s="26" t="n">
        <v>0.1146</v>
      </c>
      <c r="U96" s="27" t="n">
        <v>439.1</v>
      </c>
      <c r="V96" s="27">
        <f>IF(OR(U96="",I96="",I96=0),"",U96*10000000/I96)</f>
        <v/>
      </c>
      <c r="W96" s="23" t="inlineStr">
        <is>
          <t>3.0% of the Facility Rentals</t>
        </is>
      </c>
      <c r="X96" s="23" t="inlineStr">
        <is>
          <t>INR 0.9 Mn from Apr'26 to Mar'27 (Mgmt input; 5% p.a. escalation from Apr'27)</t>
        </is>
      </c>
      <c r="Y96" s="23" t="inlineStr">
        <is>
          <t>Detailed sec 35 (pdf p.597); Valuation Certificate sec 6; Value Summary sec 4 (pdf p.55-56)</t>
        </is>
      </c>
    </row>
    <row r="97" ht="22.65" customHeight="1" s="18">
      <c r="A97" s="20" t="inlineStr">
        <is>
          <t>KRT</t>
        </is>
      </c>
      <c r="B97" s="21" t="inlineStr">
        <is>
          <t>One BKC Solar Energy Private Limited</t>
        </is>
      </c>
      <c r="C97" s="22" t="inlineStr">
        <is>
          <t>One BKC Solar</t>
        </is>
      </c>
      <c r="D97" s="20" t="inlineStr">
        <is>
          <t>Solar</t>
        </is>
      </c>
      <c r="E97" s="20" t="inlineStr">
        <is>
          <t>Dhule, Maharashtra</t>
        </is>
      </c>
      <c r="F97" s="21" t="inlineStr">
        <is>
          <t>Bhadgaon</t>
        </is>
      </c>
      <c r="G97" s="21" t="n"/>
      <c r="H97" s="23" t="inlineStr">
        <is>
          <t>Bhadgaon, Dhule, Maharashtra</t>
        </is>
      </c>
      <c r="I97" s="24" t="n"/>
      <c r="J97" s="25" t="n"/>
      <c r="K97" s="25" t="n"/>
      <c r="L97" s="26" t="n"/>
      <c r="M97" s="26" t="n"/>
      <c r="N97" s="25" t="n"/>
      <c r="O97" s="25" t="n"/>
      <c r="P97" s="26">
        <f>IF(OR(N97="",O97="",O97=0),"",N97/O97-1)</f>
        <v/>
      </c>
      <c r="Q97" s="25" t="n"/>
      <c r="R97" s="24" t="n"/>
      <c r="S97" s="26" t="n"/>
      <c r="T97" s="26" t="n">
        <v>0.1146</v>
      </c>
      <c r="U97" s="27" t="n">
        <v>31.6</v>
      </c>
      <c r="V97" s="27">
        <f>IF(OR(U97="",I97="",I97=0),"",U97*10000000/I97)</f>
        <v/>
      </c>
      <c r="W97" s="23" t="inlineStr">
        <is>
          <t>Property Management Fee 3.0% of Facility Rentals (below NOI line)</t>
        </is>
      </c>
      <c r="X97" s="23" t="n"/>
      <c r="Y97" s="23" t="inlineStr">
        <is>
          <t>Detailed sec 36 (pdf p.612); Valuation Certificate sec 6; Value Summary sec 4 (pdf p.55-56)</t>
        </is>
      </c>
    </row>
    <row r="98" ht="22.65" customHeight="1" s="18">
      <c r="A98" s="20" t="inlineStr">
        <is>
          <t>KRT</t>
        </is>
      </c>
      <c r="B98" s="21" t="inlineStr">
        <is>
          <t>Prima Bay Solar Energy Private Limited</t>
        </is>
      </c>
      <c r="C98" s="22" t="inlineStr">
        <is>
          <t>Prima Bay Solar</t>
        </is>
      </c>
      <c r="D98" s="20" t="inlineStr">
        <is>
          <t>Solar</t>
        </is>
      </c>
      <c r="E98" s="20" t="inlineStr">
        <is>
          <t>Dhule, Maharashtra</t>
        </is>
      </c>
      <c r="F98" s="21" t="inlineStr">
        <is>
          <t>Bhadgaon (Dhule)</t>
        </is>
      </c>
      <c r="G98" s="21" t="n"/>
      <c r="H98" s="23" t="inlineStr">
        <is>
          <t>Bhadgaon, Dhule, Maharashtra</t>
        </is>
      </c>
      <c r="I98" s="24" t="n"/>
      <c r="J98" s="25" t="n"/>
      <c r="K98" s="25" t="n"/>
      <c r="L98" s="26" t="n"/>
      <c r="M98" s="26" t="n"/>
      <c r="N98" s="25" t="n"/>
      <c r="O98" s="25" t="n"/>
      <c r="P98" s="26">
        <f>IF(OR(N98="",O98="",O98=0),"",N98/O98-1)</f>
        <v/>
      </c>
      <c r="Q98" s="25" t="n"/>
      <c r="R98" s="24" t="n"/>
      <c r="S98" s="26" t="n"/>
      <c r="T98" s="26" t="n">
        <v>0.1146</v>
      </c>
      <c r="U98" s="27" t="n">
        <v>27.6</v>
      </c>
      <c r="V98" s="27">
        <f>IF(OR(U98="",I98="",I98=0),"",U98*10000000/I98)</f>
        <v/>
      </c>
      <c r="W98" s="23" t="inlineStr">
        <is>
          <t>Property Management Fee 3.0% of Facility Rentals (below NOI line)</t>
        </is>
      </c>
      <c r="X98" s="23" t="n"/>
      <c r="Y98" s="23" t="inlineStr">
        <is>
          <t>Detailed sec 37 (pdf p.619); Valuation Certificate sec 6; Value Summary sec 4 (pdf p.55-56)</t>
        </is>
      </c>
    </row>
    <row r="99" ht="22.65" customHeight="1" s="18">
      <c r="A99" s="20" t="inlineStr">
        <is>
          <t>KRT</t>
        </is>
      </c>
      <c r="B99" s="21" t="inlineStr">
        <is>
          <t>Shirasa Regency Park Private Limited</t>
        </is>
      </c>
      <c r="C99" s="22" t="inlineStr">
        <is>
          <t>Karnataka Solar I</t>
        </is>
      </c>
      <c r="D99" s="20" t="inlineStr">
        <is>
          <t>Solar</t>
        </is>
      </c>
      <c r="E99" s="20" t="inlineStr">
        <is>
          <t>Chitradurga, Karnataka</t>
        </is>
      </c>
      <c r="F99" s="21" t="inlineStr">
        <is>
          <t>Nanivala Challakare</t>
        </is>
      </c>
      <c r="G99" s="21" t="n"/>
      <c r="H99" s="23" t="inlineStr">
        <is>
          <t>Taluk Nanivala Challakare, District: Chitradurga, Karnataka</t>
        </is>
      </c>
      <c r="I99" s="24" t="n"/>
      <c r="J99" s="25" t="n"/>
      <c r="K99" s="25" t="n"/>
      <c r="L99" s="26" t="n"/>
      <c r="M99" s="26" t="n"/>
      <c r="N99" s="25" t="n"/>
      <c r="O99" s="25" t="n"/>
      <c r="P99" s="26">
        <f>IF(OR(N99="",O99="",O99=0),"",N99/O99-1)</f>
        <v/>
      </c>
      <c r="Q99" s="25" t="n"/>
      <c r="R99" s="24" t="n"/>
      <c r="S99" s="26" t="n"/>
      <c r="T99" s="26" t="n">
        <v>0.1146</v>
      </c>
      <c r="U99" s="27" t="n">
        <v>228.2</v>
      </c>
      <c r="V99" s="27">
        <f>IF(OR(U99="",I99="",I99=0),"",U99*10000000/I99)</f>
        <v/>
      </c>
      <c r="W99" s="23" t="inlineStr">
        <is>
          <t>Property Management Fee 3.0% of Facility Rentals (below NOI line)</t>
        </is>
      </c>
      <c r="X99" s="23" t="n"/>
      <c r="Y99" s="23" t="inlineStr">
        <is>
          <t>Detailed sec 38 (pdf p.626); Valuation Certificate sec 6; Value Summary sec 4 (pdf p.55-56)</t>
        </is>
      </c>
    </row>
    <row r="100" ht="22.65" customHeight="1" s="18">
      <c r="A100" s="20" t="inlineStr">
        <is>
          <t>KRT</t>
        </is>
      </c>
      <c r="B100" s="21" t="inlineStr">
        <is>
          <t>NABS Datazone Private Limited (the ‘NABS’)</t>
        </is>
      </c>
      <c r="C100" s="22" t="inlineStr">
        <is>
          <t>Karnataka Solar - II</t>
        </is>
      </c>
      <c r="D100" s="20" t="inlineStr">
        <is>
          <t>Solar</t>
        </is>
      </c>
      <c r="E100" s="20" t="inlineStr">
        <is>
          <t>Chitradurga, Karnataka</t>
        </is>
      </c>
      <c r="F100" s="21" t="inlineStr">
        <is>
          <t>Nanivala Challakare</t>
        </is>
      </c>
      <c r="G100" s="21" t="n"/>
      <c r="H100" s="23" t="inlineStr">
        <is>
          <t>Taluk Nanivala Challakare, District: Chitradurga, Karnataka</t>
        </is>
      </c>
      <c r="I100" s="24" t="n"/>
      <c r="J100" s="25" t="n"/>
      <c r="K100" s="25" t="n"/>
      <c r="L100" s="26" t="n"/>
      <c r="M100" s="26" t="n"/>
      <c r="N100" s="25" t="n"/>
      <c r="O100" s="25" t="n"/>
      <c r="P100" s="26">
        <f>IF(OR(N100="",O100="",O100=0),"",N100/O100-1)</f>
        <v/>
      </c>
      <c r="Q100" s="25" t="n"/>
      <c r="R100" s="24" t="n"/>
      <c r="S100" s="26" t="n"/>
      <c r="T100" s="26" t="n">
        <v>0.1225</v>
      </c>
      <c r="U100" s="27" t="n">
        <v>109.3</v>
      </c>
      <c r="V100" s="27">
        <f>IF(OR(U100="",I100="",I100=0),"",U100*10000000/I100)</f>
        <v/>
      </c>
      <c r="W100" s="23" t="inlineStr">
        <is>
          <t>Property Management Fee 3.0% of Facility Rentals (below NOI line)</t>
        </is>
      </c>
      <c r="X100" s="23" t="n"/>
      <c r="Y100" s="23" t="inlineStr">
        <is>
          <t>Detailed sec 39 (pdf p.634); Valuation Certificate sec 6; Value Summary sec 4 (pdf p.55-56)</t>
        </is>
      </c>
    </row>
    <row r="101" ht="65.3" customHeight="1" s="18">
      <c r="A101" s="20" t="inlineStr">
        <is>
          <t>Bagmane</t>
        </is>
      </c>
      <c r="B101" s="21" t="inlineStr">
        <is>
          <t>Bagmane Developers Private Limited (HoldCo/BDPL)</t>
        </is>
      </c>
      <c r="C101" s="22" t="inlineStr">
        <is>
          <t>Bagmane World Technology Centre (BWTC)</t>
        </is>
      </c>
      <c r="D101" s="20" t="inlineStr">
        <is>
          <t>Office</t>
        </is>
      </c>
      <c r="E101" s="20" t="inlineStr">
        <is>
          <t>Bengaluru</t>
        </is>
      </c>
      <c r="F101" s="21" t="inlineStr">
        <is>
          <t>Outer Ring Road (Mahadevapura)</t>
        </is>
      </c>
      <c r="G101" s="21" t="inlineStr">
        <is>
          <t>Outer Ring Road (ORR Southeast)</t>
        </is>
      </c>
      <c r="H101" s="23" t="inlineStr">
        <is>
          <t>Ferns City, Mahadevapura Village, Bengaluru, Karnataka, India</t>
        </is>
      </c>
      <c r="I101" s="24" t="n">
        <v>4545298.8</v>
      </c>
      <c r="J101" s="25" t="n">
        <v>4.5</v>
      </c>
      <c r="K101" s="25" t="n">
        <v>4.5</v>
      </c>
      <c r="L101" s="26" t="n">
        <v>0.98</v>
      </c>
      <c r="M101" s="26" t="n">
        <v>0.95</v>
      </c>
      <c r="N101" s="25" t="n">
        <v>103</v>
      </c>
      <c r="O101" s="25" t="n">
        <v>91.7</v>
      </c>
      <c r="P101" s="26">
        <f>IF(OR(N101="",O101="",O101=0),"",N101/O101-1)</f>
        <v/>
      </c>
      <c r="Q101" s="25" t="n">
        <v>8.4</v>
      </c>
      <c r="R101" s="24" t="n">
        <v>19</v>
      </c>
      <c r="S101" s="26" t="n">
        <v>0.08</v>
      </c>
      <c r="T101" s="26" t="n">
        <v>0.12</v>
      </c>
      <c r="U101" s="27" t="n">
        <v>8568.08</v>
      </c>
      <c r="V101" s="27">
        <f>IF(OR(U101="",I101="",I101=0),"",U101*10000000/I101)</f>
        <v/>
      </c>
      <c r="W101" s="23" t="n"/>
      <c r="X101" s="23" t="n"/>
      <c r="Y101" s="23" t="inlineStr">
        <is>
          <t>WACC (operational) 11.5%; cap rate 8.0% (terminal). Valuation report occupancy: committed 98.2%, in-place 94.9%. Includes 2 under-construction hotels (607 keys) valued separately. Remaining capex INR 278.1mn; expected completion Q1 FY29. Land 39.3 acres. RHP master table WALE 8.4y. Valuation report pp.628-631.</t>
        </is>
      </c>
    </row>
    <row r="102" ht="54.65" customHeight="1" s="18">
      <c r="A102" s="20" t="inlineStr">
        <is>
          <t>Bagmane</t>
        </is>
      </c>
      <c r="B102" s="21" t="inlineStr">
        <is>
          <t>Bagmane Developers Private Limited (HoldCo/BDPL)</t>
        </is>
      </c>
      <c r="C102" s="22" t="inlineStr">
        <is>
          <t>Bagmane Constellation Business Park (BCBP)</t>
        </is>
      </c>
      <c r="D102" s="20" t="inlineStr">
        <is>
          <t>Office</t>
        </is>
      </c>
      <c r="E102" s="20" t="inlineStr">
        <is>
          <t>Bengaluru</t>
        </is>
      </c>
      <c r="F102" s="21" t="inlineStr">
        <is>
          <t>Outer Ring Road (Mahadevapura)</t>
        </is>
      </c>
      <c r="G102" s="21" t="inlineStr">
        <is>
          <t>Outer Ring Road (ORR Southeast)</t>
        </is>
      </c>
      <c r="H102" s="23" t="inlineStr">
        <is>
          <t>Doddanekundi Village, K.R. Puram Hobli, Bengaluru East Taluk, Bengaluru Urban District, Karnataka 560 048</t>
        </is>
      </c>
      <c r="I102" s="24" t="n">
        <v>4950438.9</v>
      </c>
      <c r="J102" s="25" t="n">
        <v>4.9</v>
      </c>
      <c r="K102" s="25" t="n">
        <v>5</v>
      </c>
      <c r="L102" s="26" t="n">
        <v>1</v>
      </c>
      <c r="M102" s="26" t="n">
        <v>1</v>
      </c>
      <c r="N102" s="25" t="n">
        <v>105</v>
      </c>
      <c r="O102" s="25" t="n">
        <v>91.5</v>
      </c>
      <c r="P102" s="26">
        <f>IF(OR(N102="",O102="",O102=0),"",N102/O102-1)</f>
        <v/>
      </c>
      <c r="Q102" s="25" t="n">
        <v>6</v>
      </c>
      <c r="R102" s="24" t="n">
        <v>14</v>
      </c>
      <c r="S102" s="26" t="n">
        <v>0.08</v>
      </c>
      <c r="T102" s="26" t="n">
        <v>0.12</v>
      </c>
      <c r="U102" s="27" t="n">
        <v>8924.139999999999</v>
      </c>
      <c r="V102" s="27">
        <f>IF(OR(U102="",I102="",I102=0),"",U102*10000000/I102)</f>
        <v/>
      </c>
      <c r="W102" s="23" t="n"/>
      <c r="X102" s="23" t="n"/>
      <c r="Y102" s="23" t="inlineStr">
        <is>
          <t>WACC 11.5%; cap rate 8.0%. Valuation report occupancy: committed 100%, in-place 99.5%. RHP master table leasable 5.0 msf (valuation 4.9 msf / 4,950,438.9 sqft). Amazon key tenant (~2.2 msf). Remaining capex INR 107.4mn. Land 36.4 acres. Valuation report pp.632-636.</t>
        </is>
      </c>
    </row>
    <row r="103" ht="54.65" customHeight="1" s="18">
      <c r="A103" s="20" t="inlineStr">
        <is>
          <t>Bagmane</t>
        </is>
      </c>
      <c r="B103" s="21" t="inlineStr">
        <is>
          <t>Bagmane Rio Private Limited (BRPL)</t>
        </is>
      </c>
      <c r="C103" s="22" t="inlineStr">
        <is>
          <t>Bagmane Rio Business Park</t>
        </is>
      </c>
      <c r="D103" s="20" t="inlineStr">
        <is>
          <t>Office</t>
        </is>
      </c>
      <c r="E103" s="20" t="inlineStr">
        <is>
          <t>Bengaluru</t>
        </is>
      </c>
      <c r="F103" s="21" t="inlineStr">
        <is>
          <t>Outer Ring Road (Mahadevapura)</t>
        </is>
      </c>
      <c r="G103" s="21" t="inlineStr">
        <is>
          <t>Outer Ring Road (ORR Southeast)</t>
        </is>
      </c>
      <c r="H103" s="23" t="inlineStr">
        <is>
          <t>Doddanekundi Village, K.R. Puram Hobli, Bengaluru East Taluk, Bengaluru Urban District, Karnataka</t>
        </is>
      </c>
      <c r="I103" s="24" t="n">
        <v>1105898.6</v>
      </c>
      <c r="J103" s="25" t="n">
        <v>1.1</v>
      </c>
      <c r="K103" s="25" t="n">
        <v>1.1</v>
      </c>
      <c r="L103" s="26" t="n">
        <v>1</v>
      </c>
      <c r="M103" s="26" t="n">
        <v>1</v>
      </c>
      <c r="N103" s="25" t="n">
        <v>115</v>
      </c>
      <c r="O103" s="25" t="n">
        <v>97.8</v>
      </c>
      <c r="P103" s="26">
        <f>IF(OR(N103="",O103="",O103=0),"",N103/O103-1)</f>
        <v/>
      </c>
      <c r="Q103" s="25" t="n">
        <v>11</v>
      </c>
      <c r="R103" s="24" t="n">
        <v>1</v>
      </c>
      <c r="S103" s="26" t="n">
        <v>0.08</v>
      </c>
      <c r="T103" s="26" t="n">
        <v>0.12</v>
      </c>
      <c r="U103" s="27" t="n">
        <v>1773.01</v>
      </c>
      <c r="V103" s="27">
        <f>IF(OR(U103="",I103="",I103=0),"",U103*10000000/I103)</f>
        <v/>
      </c>
      <c r="W103" s="23" t="n"/>
      <c r="X103" s="23" t="n"/>
      <c r="Y103" s="23" t="inlineStr">
        <is>
          <t>REIT holds 93% interest; MV of 93% = INR 17,730.1mn, 100% = INR 19,064.7mn. Cap rate 7.75% (single-tenant premium). WACC 11.5%. Single tenant (Google - largest standalone building outside USA). No remaining capex. Land 9.0 acres. Valuation report pp.637-640.</t>
        </is>
      </c>
    </row>
    <row r="104" ht="65.3" customHeight="1" s="18">
      <c r="A104" s="20" t="inlineStr">
        <is>
          <t>Bagmane</t>
        </is>
      </c>
      <c r="B104" s="21" t="inlineStr">
        <is>
          <t>Bagmane Constructions Private Limited (BCPL) - carve-in asset</t>
        </is>
      </c>
      <c r="C104" s="22" t="inlineStr">
        <is>
          <t>Luxor @ Bagmane Capital Tech Park</t>
        </is>
      </c>
      <c r="D104" s="20" t="inlineStr">
        <is>
          <t>Office</t>
        </is>
      </c>
      <c r="E104" s="20" t="inlineStr">
        <is>
          <t>Bengaluru</t>
        </is>
      </c>
      <c r="F104" s="21" t="inlineStr">
        <is>
          <t>Outer Ring Road (Mahadevapura)</t>
        </is>
      </c>
      <c r="G104" s="21" t="inlineStr">
        <is>
          <t>Outer Ring Road (ORR Southeast)</t>
        </is>
      </c>
      <c r="H104" s="23" t="inlineStr">
        <is>
          <t>Doddanekundi Village, Marathahalli Hobli, Bengaluru East Taluk, Bengaluru Urban District, Karnataka 560 048</t>
        </is>
      </c>
      <c r="I104" s="24" t="n">
        <v>1044731.7</v>
      </c>
      <c r="J104" s="25" t="n">
        <v>1</v>
      </c>
      <c r="K104" s="25" t="n">
        <v>1</v>
      </c>
      <c r="L104" s="26" t="n">
        <v>1</v>
      </c>
      <c r="M104" s="26" t="n">
        <v>0.9399999999999999</v>
      </c>
      <c r="N104" s="25" t="n">
        <v>110</v>
      </c>
      <c r="O104" s="25" t="n">
        <v>100.3</v>
      </c>
      <c r="P104" s="26">
        <f>IF(OR(N104="",O104="",O104=0),"",N104/O104-1)</f>
        <v/>
      </c>
      <c r="Q104" s="25" t="n">
        <v>8.800000000000001</v>
      </c>
      <c r="R104" s="24" t="n">
        <v>6</v>
      </c>
      <c r="S104" s="26" t="n">
        <v>0.08</v>
      </c>
      <c r="T104" s="26" t="n">
        <v>0.12</v>
      </c>
      <c r="U104" s="27" t="n">
        <v>2016.47</v>
      </c>
      <c r="V104" s="27">
        <f>IF(OR(U104="",I104="",I104=0),"",U104*10000000/I104)</f>
        <v/>
      </c>
      <c r="W104" s="23" t="n"/>
      <c r="X104" s="23" t="n"/>
      <c r="Y104" s="23" t="inlineStr">
        <is>
          <t>Carve-in asset, 100% owned by BCPL w.e.f. 1 Dec 2025 (previously JD 83.39% BCPL / 16.61% third parties). Cap rate 8.0%; WACC 11.5%. Valuation occupancy: committed 100%, in-place 93.7%. Part of larger 9.0 msf Bagmane Capital Tech Park. Land 50.1 acres. Valuation report pp.641-644.</t>
        </is>
      </c>
    </row>
    <row r="105" ht="65.3" customHeight="1" s="18">
      <c r="A105" s="20" t="inlineStr">
        <is>
          <t>Bagmane</t>
        </is>
      </c>
      <c r="B105" s="21" t="inlineStr">
        <is>
          <t>Bagmane Developers Private Limited (HoldCo/BDPL)</t>
        </is>
      </c>
      <c r="C105" s="22" t="inlineStr">
        <is>
          <t>Bagmane Tech Park (BTP)</t>
        </is>
      </c>
      <c r="D105" s="20" t="inlineStr">
        <is>
          <t>Office</t>
        </is>
      </c>
      <c r="E105" s="20" t="inlineStr">
        <is>
          <t>Bengaluru</t>
        </is>
      </c>
      <c r="F105" s="21" t="inlineStr">
        <is>
          <t>Byrasandra (CV Raman Nagar)</t>
        </is>
      </c>
      <c r="G105" s="21" t="inlineStr">
        <is>
          <t>SBD City</t>
        </is>
      </c>
      <c r="H105" s="23" t="inlineStr">
        <is>
          <t>Byrasandra Village, Krishnarajapuram Hobli, Bengaluru East Taluk, Bengaluru Urban District, Karnataka 560 093</t>
        </is>
      </c>
      <c r="I105" s="24" t="n">
        <v>4377174.7</v>
      </c>
      <c r="J105" s="25" t="n">
        <v>4.4</v>
      </c>
      <c r="K105" s="25" t="n">
        <v>3.9</v>
      </c>
      <c r="L105" s="26" t="n">
        <v>0.99</v>
      </c>
      <c r="M105" s="26" t="n">
        <v>0.99</v>
      </c>
      <c r="N105" s="25" t="n">
        <v>152</v>
      </c>
      <c r="O105" s="25" t="n">
        <v>143.9</v>
      </c>
      <c r="P105" s="26">
        <f>IF(OR(N105="",O105="",O105=0),"",N105/O105-1)</f>
        <v/>
      </c>
      <c r="Q105" s="25" t="n">
        <v>5.7</v>
      </c>
      <c r="R105" s="24" t="n">
        <v>32</v>
      </c>
      <c r="S105" s="26" t="n">
        <v>0.08</v>
      </c>
      <c r="T105" s="26" t="n">
        <v>0.12</v>
      </c>
      <c r="U105" s="27" t="n">
        <v>11123.9</v>
      </c>
      <c r="V105" s="27">
        <f>IF(OR(U105="",I105="",I105=0),"",U105*10000000/I105)</f>
        <v/>
      </c>
      <c r="W105" s="23" t="n"/>
      <c r="X105" s="23" t="n"/>
      <c r="Y105" s="23" t="inlineStr">
        <is>
          <t>Cap rate 7.75% (SBD City premium); WACC operational 11.5%, UC/future 12.75%. Committed &amp; in-place occupancy 98.7% (completed area). Includes 0.5 msf future dev. MV split: completed INR 105,725.5mn + UC/future INR 5,513.5mn = 111,239.0mn. Volvo key tenant. Land 40.6 acres. Valuation report pp.645-648.</t>
        </is>
      </c>
    </row>
    <row r="106" ht="86.65000000000001" customHeight="1" s="18">
      <c r="A106" s="20" t="inlineStr">
        <is>
          <t>Bagmane</t>
        </is>
      </c>
      <c r="B106" s="21" t="inlineStr">
        <is>
          <t>Bagmane Developers Private Limited (HoldCo/BDPL)</t>
        </is>
      </c>
      <c r="C106" s="22" t="inlineStr">
        <is>
          <t>Bagmane Cosmos Business Park</t>
        </is>
      </c>
      <c r="D106" s="20" t="inlineStr">
        <is>
          <t>Office</t>
        </is>
      </c>
      <c r="E106" s="20" t="inlineStr">
        <is>
          <t>Bengaluru</t>
        </is>
      </c>
      <c r="F106" s="21" t="inlineStr">
        <is>
          <t>Byrasandra (CV Raman Nagar)</t>
        </is>
      </c>
      <c r="G106" s="21" t="inlineStr">
        <is>
          <t>SBD City</t>
        </is>
      </c>
      <c r="H106" s="23" t="inlineStr">
        <is>
          <t>Bairasandra Village, Marathahalli Hobli, Bengaluru East Taluk, Bengaluru Urban District, Karnataka 560 093</t>
        </is>
      </c>
      <c r="I106" s="24" t="n"/>
      <c r="J106" s="25" t="n">
        <v>3.6</v>
      </c>
      <c r="K106" s="25" t="n">
        <v>1</v>
      </c>
      <c r="L106" s="26" t="n">
        <v>0.9399999999999999</v>
      </c>
      <c r="M106" s="26" t="n">
        <v>0.68</v>
      </c>
      <c r="N106" s="25" t="n">
        <v>156</v>
      </c>
      <c r="O106" s="25" t="n">
        <v>142.5</v>
      </c>
      <c r="P106" s="26">
        <f>IF(OR(N106="",O106="",O106=0),"",N106/O106-1)</f>
        <v/>
      </c>
      <c r="Q106" s="25" t="n">
        <v>12</v>
      </c>
      <c r="R106" s="24" t="n">
        <v>3</v>
      </c>
      <c r="S106" s="26" t="n">
        <v>0.08</v>
      </c>
      <c r="T106" s="26" t="n">
        <v>0.12</v>
      </c>
      <c r="U106" s="27" t="n">
        <v>6560.84</v>
      </c>
      <c r="V106" s="27">
        <f>IF(OR(U106="",I106="",I106=0),"",U106*10000000/I106)</f>
        <v/>
      </c>
      <c r="W106" s="23" t="n"/>
      <c r="X106" s="23" t="n"/>
      <c r="Y106" s="23" t="inlineStr">
        <is>
          <t>Cap rate 7.75% (SBD City premium); WACC operational 11.5%, UC/future 12.75%. Occupancy on completed 1.0 msf: committed 94.2%, in-place 67.8%. 1.0 msf under-construction + 1.5 msf future. MV split: completed INR 26,053.3mn + UC/future INR 39,555.0mn = 65,608.4mn. Texas Instruments key tenant upon completion. Remaining capex incl land INR 514.6mn. Land 22.4 acres. Valuation report pp.649-658.</t>
        </is>
      </c>
    </row>
    <row r="107" ht="44" customHeight="1" s="18">
      <c r="A107" s="20" t="inlineStr">
        <is>
          <t>Bagmane</t>
        </is>
      </c>
      <c r="B107" s="21" t="inlineStr">
        <is>
          <t>Bagmane Developers Private Limited (HoldCo/BDPL)</t>
        </is>
      </c>
      <c r="C107" s="22" t="inlineStr">
        <is>
          <t>Under Construction Luxury Hotel at Bagmane World Technology Centre</t>
        </is>
      </c>
      <c r="D107" s="20" t="inlineStr">
        <is>
          <t>Hotel</t>
        </is>
      </c>
      <c r="E107" s="20" t="inlineStr">
        <is>
          <t>Bengaluru</t>
        </is>
      </c>
      <c r="F107" s="21" t="inlineStr">
        <is>
          <t>Outer Ring Road (Mahadevapura)</t>
        </is>
      </c>
      <c r="G107" s="21" t="inlineStr">
        <is>
          <t>Outer Ring Road (ORR Southeast)</t>
        </is>
      </c>
      <c r="H107" s="23" t="inlineStr">
        <is>
          <t>Mahadevapura Village, K.R. Puram Hobli, Bengaluru East Taluk, Bengaluru Urban District, Karnataka 560 048</t>
        </is>
      </c>
      <c r="I107" s="24" t="n"/>
      <c r="J107" s="25" t="n"/>
      <c r="K107" s="25" t="n"/>
      <c r="L107" s="26" t="n"/>
      <c r="M107" s="26" t="n"/>
      <c r="N107" s="25" t="n"/>
      <c r="O107" s="25" t="n"/>
      <c r="P107" s="26">
        <f>IF(OR(N107="",O107="",O107=0),"",N107/O107-1)</f>
        <v/>
      </c>
      <c r="Q107" s="25" t="n"/>
      <c r="R107" s="24" t="n"/>
      <c r="S107" s="26" t="n">
        <v>0.07000000000000001</v>
      </c>
      <c r="T107" s="26" t="n">
        <v>0.13</v>
      </c>
      <c r="U107" s="27" t="n">
        <v>192.85</v>
      </c>
      <c r="V107" s="27">
        <f>IF(OR(U107="",I107="",I107=0),"",U107*10000000/I107)</f>
        <v/>
      </c>
      <c r="W107" s="23" t="n"/>
      <c r="X107" s="23" t="n"/>
      <c r="Y107" s="23" t="inlineStr">
        <is>
          <t>207 keys, under construction within BWTC. Cap rate 7.14%; WACC (UC/future) 13.00%. Part of 607-key hotel program. Valuation report pp.659-660 (Section 4.7).</t>
        </is>
      </c>
    </row>
    <row r="108" ht="44" customHeight="1" s="18">
      <c r="A108" s="20" t="inlineStr">
        <is>
          <t>Bagmane</t>
        </is>
      </c>
      <c r="B108" s="21" t="inlineStr">
        <is>
          <t>Bagmane Developers Private Limited (HoldCo/BDPL)</t>
        </is>
      </c>
      <c r="C108" s="22" t="inlineStr">
        <is>
          <t>Under Construction Upscale Hotel at Bagmane World Technology Centre</t>
        </is>
      </c>
      <c r="D108" s="20" t="inlineStr">
        <is>
          <t>Hotel</t>
        </is>
      </c>
      <c r="E108" s="20" t="inlineStr">
        <is>
          <t>Bengaluru</t>
        </is>
      </c>
      <c r="F108" s="21" t="inlineStr">
        <is>
          <t>Outer Ring Road (Mahadevapura)</t>
        </is>
      </c>
      <c r="G108" s="21" t="inlineStr">
        <is>
          <t>Outer Ring Road (ORR Southeast)</t>
        </is>
      </c>
      <c r="H108" s="23" t="inlineStr">
        <is>
          <t>Mahadevapura Village, K.R. Puram Hobli, Bengaluru East Taluk, Bengaluru Urban District, Karnataka 560 048</t>
        </is>
      </c>
      <c r="I108" s="24" t="n"/>
      <c r="J108" s="25" t="n"/>
      <c r="K108" s="25" t="n"/>
      <c r="L108" s="26" t="n"/>
      <c r="M108" s="26" t="n"/>
      <c r="N108" s="25" t="n"/>
      <c r="O108" s="25" t="n"/>
      <c r="P108" s="26">
        <f>IF(OR(N108="",O108="",O108=0),"",N108/O108-1)</f>
        <v/>
      </c>
      <c r="Q108" s="25" t="n"/>
      <c r="R108" s="24" t="n"/>
      <c r="S108" s="26" t="n">
        <v>0.07000000000000001</v>
      </c>
      <c r="T108" s="26" t="n">
        <v>0.13</v>
      </c>
      <c r="U108" s="27" t="n">
        <v>342.42</v>
      </c>
      <c r="V108" s="27">
        <f>IF(OR(U108="",I108="",I108=0),"",U108*10000000/I108)</f>
        <v/>
      </c>
      <c r="W108" s="23" t="n"/>
      <c r="X108" s="23" t="n"/>
      <c r="Y108" s="23" t="inlineStr">
        <is>
          <t>400 keys, under construction within BWTC. Cap rate 7.14%; WACC (UC/future) 13.00%. Part of 607-key hotel program. Valuation report pp.660-662 (Section 4.8).</t>
        </is>
      </c>
    </row>
    <row r="109" ht="86.65000000000001" customHeight="1" s="18">
      <c r="A109" s="20" t="inlineStr">
        <is>
          <t>Bagmane</t>
        </is>
      </c>
      <c r="B109" s="21" t="inlineStr">
        <is>
          <t>Bagmane Green Power LLP (BGP)</t>
        </is>
      </c>
      <c r="C109" s="22" t="inlineStr">
        <is>
          <t>Solar Assets (Chikkodi, Sedam, Yadgir operational; Chitradurga under construction)</t>
        </is>
      </c>
      <c r="D109" s="20" t="inlineStr">
        <is>
          <t>Solar</t>
        </is>
      </c>
      <c r="E109" s="20" t="inlineStr">
        <is>
          <t>Karnataka (Chikkodi, Sedam, Yadgir, Chitradurga)</t>
        </is>
      </c>
      <c r="F109" s="21" t="inlineStr">
        <is>
          <t>Chikkodi</t>
        </is>
      </c>
      <c r="G109" s="21" t="n"/>
      <c r="H109" s="23" t="inlineStr">
        <is>
          <t>Chikkodi, Sedam, Yadgir and Chitradurga, Karnataka, India</t>
        </is>
      </c>
      <c r="I109" s="24" t="n"/>
      <c r="J109" s="25" t="n"/>
      <c r="K109" s="25" t="n"/>
      <c r="L109" s="26" t="n"/>
      <c r="M109" s="26" t="n"/>
      <c r="N109" s="25" t="n"/>
      <c r="O109" s="25" t="n"/>
      <c r="P109" s="26">
        <f>IF(OR(N109="",O109="",O109=0),"",N109/O109-1)</f>
        <v/>
      </c>
      <c r="Q109" s="25" t="n"/>
      <c r="R109" s="24" t="n"/>
      <c r="S109" s="26" t="n"/>
      <c r="T109" s="26" t="n"/>
      <c r="U109" s="27" t="n">
        <v>761.79</v>
      </c>
      <c r="V109" s="27">
        <f>IF(OR(U109="",I109="",I109=0),"",U109*10000000/I109)</f>
        <v/>
      </c>
      <c r="W109" s="23" t="n"/>
      <c r="X109" s="23" t="n"/>
      <c r="Y109" s="23" t="inlineStr">
        <is>
          <t>Held by SPV Bagmane Green Power LLP. WACC operational 11.5%, UC/future 12.75%. Components: Chikkodi 28.0 MW DC = INR 1,613.5mn; Sedam 46.4 MW DC = INR 2,695.0mn; Yadgir 17.5 MW DC = INR 880.2mn (all operational); Chitradurga 72.5 MW DC = INR 2,429.2mn (under construction). Total 164.4 MW DC = INR 7,617.9mn. Supplies renewable power to portfolio. Valuation report pp.663-667 (Section 4.9).</t>
        </is>
      </c>
    </row>
  </sheetData>
  <autoFilter ref="A1:Y109"/>
  <hyperlinks>
    <hyperlink xmlns:r="http://schemas.openxmlformats.org/officeDocument/2006/relationships" ref="C2" location="page=8" display="Embassy Manyata" r:id="rId1"/>
    <hyperlink xmlns:r="http://schemas.openxmlformats.org/officeDocument/2006/relationships" ref="C3" location="page=8" display="Embassy TechVillage" r:id="rId2"/>
    <hyperlink xmlns:r="http://schemas.openxmlformats.org/officeDocument/2006/relationships" ref="C4" location="page=7" display="Embassy GolfLinks (incl. Pinehurst)" r:id="rId3"/>
    <hyperlink xmlns:r="http://schemas.openxmlformats.org/officeDocument/2006/relationships" ref="C5" location="page=7" display="Embassy One" r:id="rId4"/>
    <hyperlink xmlns:r="http://schemas.openxmlformats.org/officeDocument/2006/relationships" ref="C6" location="page=8" display="Embassy Business Hub" r:id="rId5"/>
    <hyperlink xmlns:r="http://schemas.openxmlformats.org/officeDocument/2006/relationships" ref="C7" location="page=7" display="Express Towers" r:id="rId6"/>
    <hyperlink xmlns:r="http://schemas.openxmlformats.org/officeDocument/2006/relationships" ref="C8" location="page=8" display="Embassy 247" r:id="rId7"/>
    <hyperlink xmlns:r="http://schemas.openxmlformats.org/officeDocument/2006/relationships" ref="C9" location="page=7" display="First International Financial Centre (FIFC)" r:id="rId8"/>
    <hyperlink xmlns:r="http://schemas.openxmlformats.org/officeDocument/2006/relationships" ref="C10" location="page=8" display="Embassy TechZone" r:id="rId9"/>
    <hyperlink xmlns:r="http://schemas.openxmlformats.org/officeDocument/2006/relationships" ref="C11" location="page=8" display="Embassy Quadron" r:id="rId10"/>
    <hyperlink xmlns:r="http://schemas.openxmlformats.org/officeDocument/2006/relationships" ref="C12" location="page=8" display="Embassy Qubix" r:id="rId11"/>
    <hyperlink xmlns:r="http://schemas.openxmlformats.org/officeDocument/2006/relationships" ref="C13" location="page=8" display="Embassy Oxygen" r:id="rId12"/>
    <hyperlink xmlns:r="http://schemas.openxmlformats.org/officeDocument/2006/relationships" ref="C14" location="page=8" display="Embassy Galaxy" r:id="rId13"/>
    <hyperlink xmlns:r="http://schemas.openxmlformats.org/officeDocument/2006/relationships" ref="C15" display="Hilton at Embassy GolfLinks" r:id="rId14"/>
    <hyperlink xmlns:r="http://schemas.openxmlformats.org/officeDocument/2006/relationships" ref="C16" location="page=8" display="Embassy Splendid Techzone" r:id="rId15"/>
    <hyperlink xmlns:r="http://schemas.openxmlformats.org/officeDocument/2006/relationships" ref="C17" display="Embassy Energy (Solar Park)" r:id="rId16"/>
    <hyperlink xmlns:r="http://schemas.openxmlformats.org/officeDocument/2006/relationships" ref="C18" location="page=7" display="Mindspace Madhapur (Sundew)" r:id="rId17"/>
    <hyperlink xmlns:r="http://schemas.openxmlformats.org/officeDocument/2006/relationships" ref="C19" location="page=7" display="Mindspace Madhapur (KRIT)" r:id="rId18"/>
    <hyperlink xmlns:r="http://schemas.openxmlformats.org/officeDocument/2006/relationships" ref="C20" location="page=7" display="Mindspace Madhapur (Intime)" r:id="rId19"/>
    <hyperlink xmlns:r="http://schemas.openxmlformats.org/officeDocument/2006/relationships" ref="C21" display="Mindspace Pocharam" r:id="rId20"/>
    <hyperlink xmlns:r="http://schemas.openxmlformats.org/officeDocument/2006/relationships" ref="C22" location="page=7" display="Commerzone Raidurg (Sustain)" r:id="rId21"/>
    <hyperlink xmlns:r="http://schemas.openxmlformats.org/officeDocument/2006/relationships" ref="C23" location="page=8" display="The Square, Financial District (Hyderabad)" r:id="rId22"/>
    <hyperlink xmlns:r="http://schemas.openxmlformats.org/officeDocument/2006/relationships" ref="C24" location="page=8" display="Mindspace Airoli East" r:id="rId23"/>
    <hyperlink xmlns:r="http://schemas.openxmlformats.org/officeDocument/2006/relationships" ref="C25" location="page=8" display="Mindspace Airoli West" r:id="rId24"/>
    <hyperlink xmlns:r="http://schemas.openxmlformats.org/officeDocument/2006/relationships" ref="C26" location="page=8" display="Paradigm Mindspace Malad" r:id="rId25"/>
    <hyperlink xmlns:r="http://schemas.openxmlformats.org/officeDocument/2006/relationships" ref="C27" display="The Square, BKC (Mumbai)" r:id="rId26"/>
    <hyperlink xmlns:r="http://schemas.openxmlformats.org/officeDocument/2006/relationships" ref="C28" location="page=7" display="The Square / Ascent, Worli" r:id="rId27"/>
    <hyperlink xmlns:r="http://schemas.openxmlformats.org/officeDocument/2006/relationships" ref="C29" location="page=8" display="Commerzone Yerwada (Pune)" r:id="rId28"/>
    <hyperlink xmlns:r="http://schemas.openxmlformats.org/officeDocument/2006/relationships" ref="C30" location="page=7" display="Gera Commerzone SEZ &amp; IT Park (Kharadi, Pune)" r:id="rId29"/>
    <hyperlink xmlns:r="http://schemas.openxmlformats.org/officeDocument/2006/relationships" ref="C31" location="page=8" display="The Square, Nagar Road (Pune)" r:id="rId30"/>
    <hyperlink xmlns:r="http://schemas.openxmlformats.org/officeDocument/2006/relationships" ref="C32" display="Pune IT Building, Kalyani Nagar" r:id="rId31"/>
    <hyperlink xmlns:r="http://schemas.openxmlformats.org/officeDocument/2006/relationships" ref="C33" location="page=7" display="Commerzone Porur (Chennai)" r:id="rId32"/>
    <hyperlink xmlns:r="http://schemas.openxmlformats.org/officeDocument/2006/relationships" ref="C34" location="page=7" display="The Square, Avenue 98 (BKC Annex)" r:id="rId33"/>
    <hyperlink xmlns:r="http://schemas.openxmlformats.org/officeDocument/2006/relationships" ref="C35" location="page=19" display="Candor Techspace G2" r:id="rId34"/>
    <hyperlink xmlns:r="http://schemas.openxmlformats.org/officeDocument/2006/relationships" ref="C36" location="page=23" display="Candor Techspace N1" r:id="rId35"/>
    <hyperlink xmlns:r="http://schemas.openxmlformats.org/officeDocument/2006/relationships" ref="C37" location="page=27" display="Candor Techspace N2" r:id="rId36"/>
    <hyperlink xmlns:r="http://schemas.openxmlformats.org/officeDocument/2006/relationships" ref="C38" location="page=31" display="Candor Techspace K1" r:id="rId37"/>
    <hyperlink xmlns:r="http://schemas.openxmlformats.org/officeDocument/2006/relationships" ref="C39" location="page=36" display="Kensington (A &amp; B)" r:id="rId38"/>
    <hyperlink xmlns:r="http://schemas.openxmlformats.org/officeDocument/2006/relationships" ref="C40" location="page=40" display="Candor Techspace G1" r:id="rId39"/>
    <hyperlink xmlns:r="http://schemas.openxmlformats.org/officeDocument/2006/relationships" ref="C41" location="page=44" display="Downtown Powai (Kairos)" r:id="rId40"/>
    <hyperlink xmlns:r="http://schemas.openxmlformats.org/officeDocument/2006/relationships" ref="C42" location="page=48" display="Worldmark Tower 1 (Worldmark New Delhi)" r:id="rId41"/>
    <hyperlink xmlns:r="http://schemas.openxmlformats.org/officeDocument/2006/relationships" ref="C43" location="page=52" display="Worldmark Tower 2 &amp; 3 (Worldmark New Delhi)" r:id="rId42"/>
    <hyperlink xmlns:r="http://schemas.openxmlformats.org/officeDocument/2006/relationships" ref="C44" location="page=58" display="Bharti Airtel Centre" r:id="rId43"/>
    <hyperlink xmlns:r="http://schemas.openxmlformats.org/officeDocument/2006/relationships" ref="C45" location="page=62" display="Worldmark Gurugram" r:id="rId44"/>
    <hyperlink xmlns:r="http://schemas.openxmlformats.org/officeDocument/2006/relationships" ref="C46" location="page=66" display="Pavilion Mall" r:id="rId45"/>
    <hyperlink xmlns:r="http://schemas.openxmlformats.org/officeDocument/2006/relationships" ref="C47" location="page=71" display="Ecoworld" r:id="rId46"/>
    <hyperlink xmlns:r="http://schemas.openxmlformats.org/officeDocument/2006/relationships" ref="C48" location="page=68" display="Nexus Select Citywalk" r:id="rId47"/>
    <hyperlink xmlns:r="http://schemas.openxmlformats.org/officeDocument/2006/relationships" ref="C49" location="page=7" display="Nexus Elante Complex" r:id="rId48"/>
    <hyperlink xmlns:r="http://schemas.openxmlformats.org/officeDocument/2006/relationships" ref="C50" location="page=7" display="Nexus Seawoods" r:id="rId49"/>
    <hyperlink xmlns:r="http://schemas.openxmlformats.org/officeDocument/2006/relationships" ref="C51" location="page=8" display="Nexus Ahmedabad One" r:id="rId50"/>
    <hyperlink xmlns:r="http://schemas.openxmlformats.org/officeDocument/2006/relationships" ref="C52" location="page=8" display="Nexus Hyderabad" r:id="rId51"/>
    <hyperlink xmlns:r="http://schemas.openxmlformats.org/officeDocument/2006/relationships" ref="C53" location="page=254" display="Nexus Koramangala" r:id="rId52"/>
    <hyperlink xmlns:r="http://schemas.openxmlformats.org/officeDocument/2006/relationships" ref="C54" location="page=8" display="Nexus Vijaya Complex" r:id="rId53"/>
    <hyperlink xmlns:r="http://schemas.openxmlformats.org/officeDocument/2006/relationships" ref="C55" location="page=8" display="Nexus Westend Complex" r:id="rId54"/>
    <hyperlink xmlns:r="http://schemas.openxmlformats.org/officeDocument/2006/relationships" ref="C56" location="page=8" display="Nexus Esplanade" r:id="rId55"/>
    <hyperlink xmlns:r="http://schemas.openxmlformats.org/officeDocument/2006/relationships" ref="C57" location="page=8" display="Nexus Amritsar" r:id="rId56"/>
    <hyperlink xmlns:r="http://schemas.openxmlformats.org/officeDocument/2006/relationships" ref="C58" location="page=8" display="Nexus Shantiniketan" r:id="rId57"/>
    <hyperlink xmlns:r="http://schemas.openxmlformats.org/officeDocument/2006/relationships" ref="C59" location="page=8" display="Nexus Whitefield Complex" r:id="rId58"/>
    <hyperlink xmlns:r="http://schemas.openxmlformats.org/officeDocument/2006/relationships" ref="C60" location="page=8" display="Nexus Celebration" r:id="rId59"/>
    <hyperlink xmlns:r="http://schemas.openxmlformats.org/officeDocument/2006/relationships" ref="C61" location="page=94" display="Fiza by Nexus" r:id="rId60"/>
    <hyperlink xmlns:r="http://schemas.openxmlformats.org/officeDocument/2006/relationships" ref="C62" location="page=8" display="Nexus Centre City" r:id="rId61"/>
    <hyperlink xmlns:r="http://schemas.openxmlformats.org/officeDocument/2006/relationships" ref="C63" location="page=8" display="Nexus Indore Central" r:id="rId62"/>
    <hyperlink xmlns:r="http://schemas.openxmlformats.org/officeDocument/2006/relationships" ref="C64" location="page=100" display="Karnataka Solar Park" r:id="rId63"/>
    <hyperlink xmlns:r="http://schemas.openxmlformats.org/officeDocument/2006/relationships" ref="C65" location="page=8" display="Nexus Vega City" r:id="rId64"/>
    <hyperlink xmlns:r="http://schemas.openxmlformats.org/officeDocument/2006/relationships" ref="C66" location="page=8" display="Nexus MBD Complex" r:id="rId65"/>
    <hyperlink xmlns:r="http://schemas.openxmlformats.org/officeDocument/2006/relationships" ref="C67" location="page=8" display="Treasure Island" r:id="rId66"/>
    <hyperlink xmlns:r="http://schemas.openxmlformats.org/officeDocument/2006/relationships" ref="C68" location="page=157" display="Sattva Knowledge City" r:id="rId67"/>
    <hyperlink xmlns:r="http://schemas.openxmlformats.org/officeDocument/2006/relationships" ref="C69" location="page=176" display="Sattva Knowledge Park" r:id="rId68"/>
    <hyperlink xmlns:r="http://schemas.openxmlformats.org/officeDocument/2006/relationships" ref="C70" location="page=191" display="Sattva Knowledge Capital" r:id="rId69"/>
    <hyperlink xmlns:r="http://schemas.openxmlformats.org/officeDocument/2006/relationships" ref="C71" location="page=206" display="One BKC" r:id="rId70"/>
    <hyperlink xmlns:r="http://schemas.openxmlformats.org/officeDocument/2006/relationships" ref="C72" location="page=222" display="One World Center" r:id="rId71"/>
    <hyperlink xmlns:r="http://schemas.openxmlformats.org/officeDocument/2006/relationships" ref="C73" location="page=238" display="One International Center" r:id="rId72"/>
    <hyperlink xmlns:r="http://schemas.openxmlformats.org/officeDocument/2006/relationships" ref="C74" location="page=254" display="One Unity Center" r:id="rId73"/>
    <hyperlink xmlns:r="http://schemas.openxmlformats.org/officeDocument/2006/relationships" ref="C75" location="page=270" display="Prima Bay" r:id="rId74"/>
    <hyperlink xmlns:r="http://schemas.openxmlformats.org/officeDocument/2006/relationships" ref="C76" location="page=286" display="Cessna Business Park" r:id="rId75"/>
    <hyperlink xmlns:r="http://schemas.openxmlformats.org/officeDocument/2006/relationships" ref="C77" location="page=305" display="Exora Business Park" r:id="rId76"/>
    <hyperlink xmlns:r="http://schemas.openxmlformats.org/officeDocument/2006/relationships" ref="C78" location="page=321" display="Sattva Global City" r:id="rId77"/>
    <hyperlink xmlns:r="http://schemas.openxmlformats.org/officeDocument/2006/relationships" ref="C79" location="page=340" display="Sattva Softzone" r:id="rId78"/>
    <hyperlink xmlns:r="http://schemas.openxmlformats.org/officeDocument/2006/relationships" ref="C80" location="page=357" display="Sattva Knowledge Court" r:id="rId79"/>
    <hyperlink xmlns:r="http://schemas.openxmlformats.org/officeDocument/2006/relationships" ref="C81" location="page=373" display="Sattva Techpoint" r:id="rId80"/>
    <hyperlink xmlns:r="http://schemas.openxmlformats.org/officeDocument/2006/relationships" ref="C82" location="page=389" display="One Trade Tower" r:id="rId81"/>
    <hyperlink xmlns:r="http://schemas.openxmlformats.org/officeDocument/2006/relationships" ref="C83" location="page=403" display="Sattva Horizon" r:id="rId82"/>
    <hyperlink xmlns:r="http://schemas.openxmlformats.org/officeDocument/2006/relationships" ref="C84" location="page=416" display="Sattva Touchstone" r:id="rId83"/>
    <hyperlink xmlns:r="http://schemas.openxmlformats.org/officeDocument/2006/relationships" ref="C85" location="page=432" display="Sattva Infozone" r:id="rId84"/>
    <hyperlink xmlns:r="http://schemas.openxmlformats.org/officeDocument/2006/relationships" ref="C86" location="page=448" display="Sattva Magnificia (I &amp; II)" r:id="rId85"/>
    <hyperlink xmlns:r="http://schemas.openxmlformats.org/officeDocument/2006/relationships" ref="C87" location="page=467" display="Sattva South Avenue" r:id="rId86"/>
    <hyperlink xmlns:r="http://schemas.openxmlformats.org/officeDocument/2006/relationships" ref="C88" location="page=482" display="Sattva Eminence" r:id="rId87"/>
    <hyperlink xmlns:r="http://schemas.openxmlformats.org/officeDocument/2006/relationships" ref="C89" location="page=497" display="Sattva Cosmo Lavelle" r:id="rId88"/>
    <hyperlink xmlns:r="http://schemas.openxmlformats.org/officeDocument/2006/relationships" ref="C90" location="page=512" display="Sattva Premia" r:id="rId89"/>
    <hyperlink xmlns:r="http://schemas.openxmlformats.org/officeDocument/2006/relationships" ref="C91" location="page=526" display="Sattva Supreme" r:id="rId90"/>
    <hyperlink xmlns:r="http://schemas.openxmlformats.org/officeDocument/2006/relationships" ref="C92" location="page=541" display="Sattva Endeavour" r:id="rId91"/>
    <hyperlink xmlns:r="http://schemas.openxmlformats.org/officeDocument/2006/relationships" ref="C93" location="page=554" display="Sattva Spectrum" r:id="rId92"/>
    <hyperlink xmlns:r="http://schemas.openxmlformats.org/officeDocument/2006/relationships" ref="C94" location="page=567" display="Kosmo One" r:id="rId93"/>
    <hyperlink xmlns:r="http://schemas.openxmlformats.org/officeDocument/2006/relationships" ref="C95" location="page=582" display="One Qube" r:id="rId94"/>
    <hyperlink xmlns:r="http://schemas.openxmlformats.org/officeDocument/2006/relationships" ref="C96" location="page=597" display="Fintech One" r:id="rId95"/>
    <hyperlink xmlns:r="http://schemas.openxmlformats.org/officeDocument/2006/relationships" ref="C97" location="page=612" display="One BKC Solar" r:id="rId96"/>
    <hyperlink xmlns:r="http://schemas.openxmlformats.org/officeDocument/2006/relationships" ref="C98" location="page=619" display="Prima Bay Solar" r:id="rId97"/>
    <hyperlink xmlns:r="http://schemas.openxmlformats.org/officeDocument/2006/relationships" ref="C99" location="page=626" display="Karnataka Solar I" r:id="rId98"/>
    <hyperlink xmlns:r="http://schemas.openxmlformats.org/officeDocument/2006/relationships" ref="C100" location="page=634" display="Karnataka Solar - II" r:id="rId99"/>
    <hyperlink xmlns:r="http://schemas.openxmlformats.org/officeDocument/2006/relationships" ref="C101" location="page=628" display="Bagmane World Technology Centre (BWTC)" r:id="rId100"/>
    <hyperlink xmlns:r="http://schemas.openxmlformats.org/officeDocument/2006/relationships" ref="C102" location="page=632" display="Bagmane Constellation Business Park (BCBP)" r:id="rId101"/>
    <hyperlink xmlns:r="http://schemas.openxmlformats.org/officeDocument/2006/relationships" ref="C103" location="page=637" display="Bagmane Rio Business Park" r:id="rId102"/>
    <hyperlink xmlns:r="http://schemas.openxmlformats.org/officeDocument/2006/relationships" ref="C104" location="page=641" display="Luxor @ Bagmane Capital Tech Park" r:id="rId103"/>
    <hyperlink xmlns:r="http://schemas.openxmlformats.org/officeDocument/2006/relationships" ref="C105" location="page=645" display="Bagmane Tech Park (BTP)" r:id="rId104"/>
    <hyperlink xmlns:r="http://schemas.openxmlformats.org/officeDocument/2006/relationships" ref="C106" location="page=649" display="Bagmane Cosmos Business Park" r:id="rId105"/>
    <hyperlink xmlns:r="http://schemas.openxmlformats.org/officeDocument/2006/relationships" ref="C107" location="page=659" display="Under Construction Luxury Hotel at Bagmane World Technology Centre" r:id="rId106"/>
    <hyperlink xmlns:r="http://schemas.openxmlformats.org/officeDocument/2006/relationships" ref="C108" location="page=660" display="Under Construction Upscale Hotel at Bagmane World Technology Centre" r:id="rId107"/>
    <hyperlink xmlns:r="http://schemas.openxmlformats.org/officeDocument/2006/relationships" ref="C109" location="page=663" display="Solar Assets (Chikkodi, Sedam, Yadgir operational; Chitradurga under construction)" r:id="rId10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44" activeCellId="0" sqref="H44"/>
    </sheetView>
  </sheetViews>
  <sheetFormatPr baseColWidth="8" defaultColWidth="8.60546875" defaultRowHeight="15" customHeight="0" zeroHeight="0" outlineLevelRow="0"/>
  <cols>
    <col width="14" customWidth="1" style="17" min="1" max="1"/>
    <col width="9" customWidth="1" style="17" min="2" max="2"/>
    <col width="8" customWidth="1" style="17" min="3" max="3"/>
    <col width="12" customWidth="1" style="17" min="4" max="4"/>
    <col width="14" customWidth="1" style="17" min="5" max="5"/>
    <col width="13" customWidth="1" style="17" min="6" max="6"/>
    <col width="12" customWidth="1" style="17" min="7" max="8"/>
    <col width="11" customWidth="1" style="17" min="9" max="9"/>
    <col width="10" customWidth="1" style="17" min="10" max="10"/>
  </cols>
  <sheetData>
    <row r="1" ht="27.75" customHeight="1" s="18">
      <c r="A1" s="28" t="inlineStr">
        <is>
          <t>City</t>
        </is>
      </c>
      <c r="B1" s="28" t="inlineStr">
        <is>
          <t>Type</t>
        </is>
      </c>
      <c r="C1" s="28" t="inlineStr">
        <is>
          <t># Assets</t>
        </is>
      </c>
      <c r="D1" s="28" t="inlineStr">
        <is>
          <t>Leasable (msf)</t>
        </is>
      </c>
      <c r="E1" s="28" t="inlineStr">
        <is>
          <t>Market value (INR cr)</t>
        </is>
      </c>
      <c r="F1" s="28" t="inlineStr">
        <is>
          <t>Avg value/sqft (INR)</t>
        </is>
      </c>
      <c r="G1" s="28" t="inlineStr">
        <is>
          <t>Avg market rent</t>
        </is>
      </c>
      <c r="H1" s="28" t="inlineStr">
        <is>
          <t>Avg in-place rent</t>
        </is>
      </c>
      <c r="I1" s="28" t="inlineStr">
        <is>
          <t>Avg reversion</t>
        </is>
      </c>
      <c r="J1" s="28" t="inlineStr">
        <is>
          <t>Avg cap rate</t>
        </is>
      </c>
    </row>
    <row r="2" ht="15" customHeight="1" s="18">
      <c r="A2" s="20" t="inlineStr">
        <is>
          <t>Ahmedabad</t>
        </is>
      </c>
      <c r="B2" s="20" t="inlineStr">
        <is>
          <t>Retail</t>
        </is>
      </c>
      <c r="C2" s="24">
        <f>COUNTIFS('Asset Register'!$E$2:$E$109,$A2,'Asset Register'!$D$2:$D$109,$B2)</f>
        <v/>
      </c>
      <c r="D2" s="25">
        <f>SUMIFS('Asset Register'!$J$2:$J$109,'Asset Register'!$E$2:$E$109,$A2,'Asset Register'!$D$2:$D$109,$B2)</f>
        <v/>
      </c>
      <c r="E2" s="27">
        <f>SUMIFS('Asset Register'!$U$2:$U$109,'Asset Register'!$E$2:$E$109,$A2,'Asset Register'!$D$2:$D$109,$B2)</f>
        <v/>
      </c>
      <c r="F2" s="27">
        <f>IFERROR(SUMIFS('Asset Register'!$U$2:$U$109,'Asset Register'!$E$2:$E$109,$A2,'Asset Register'!$D$2:$D$109,$B2)*10000000/SUMIFS('Asset Register'!$I$2:$I$109,'Asset Register'!$E$2:$E$109,$A2,'Asset Register'!$D$2:$D$109,$B2),"")</f>
        <v/>
      </c>
      <c r="G2" s="25">
        <f>IFERROR(AVERAGEIFS('Asset Register'!$N$2:$N$109,'Asset Register'!$E$2:$E$109,$A2,'Asset Register'!$D$2:$D$109,$B2),"")</f>
        <v/>
      </c>
      <c r="H2" s="25">
        <f>IFERROR(AVERAGEIFS('Asset Register'!$O$2:$O$109,'Asset Register'!$E$2:$E$109,$A2,'Asset Register'!$D$2:$D$109,$B2),"")</f>
        <v/>
      </c>
      <c r="I2" s="26">
        <f>IFERROR(AVERAGEIFS('Asset Register'!$P$2:$P$109,'Asset Register'!$E$2:$E$109,$A2,'Asset Register'!$D$2:$D$109,$B2),"")</f>
        <v/>
      </c>
      <c r="J2" s="26">
        <f>IFERROR(AVERAGEIFS('Asset Register'!$S$2:$S$109,'Asset Register'!$E$2:$E$109,$A2,'Asset Register'!$D$2:$D$109,$B2),"")</f>
        <v/>
      </c>
    </row>
    <row r="3" ht="15" customHeight="1" s="18">
      <c r="A3" s="20" t="inlineStr">
        <is>
          <t>Amritsar</t>
        </is>
      </c>
      <c r="B3" s="20" t="inlineStr">
        <is>
          <t>Retail</t>
        </is>
      </c>
      <c r="C3" s="24">
        <f>COUNTIFS('Asset Register'!$E$2:$E$109,$A3,'Asset Register'!$D$2:$D$109,$B3)</f>
        <v/>
      </c>
      <c r="D3" s="25">
        <f>SUMIFS('Asset Register'!$J$2:$J$109,'Asset Register'!$E$2:$E$109,$A3,'Asset Register'!$D$2:$D$109,$B3)</f>
        <v/>
      </c>
      <c r="E3" s="27">
        <f>SUMIFS('Asset Register'!$U$2:$U$109,'Asset Register'!$E$2:$E$109,$A3,'Asset Register'!$D$2:$D$109,$B3)</f>
        <v/>
      </c>
      <c r="F3" s="27">
        <f>IFERROR(SUMIFS('Asset Register'!$U$2:$U$109,'Asset Register'!$E$2:$E$109,$A3,'Asset Register'!$D$2:$D$109,$B3)*10000000/SUMIFS('Asset Register'!$I$2:$I$109,'Asset Register'!$E$2:$E$109,$A3,'Asset Register'!$D$2:$D$109,$B3),"")</f>
        <v/>
      </c>
      <c r="G3" s="25">
        <f>IFERROR(AVERAGEIFS('Asset Register'!$N$2:$N$109,'Asset Register'!$E$2:$E$109,$A3,'Asset Register'!$D$2:$D$109,$B3),"")</f>
        <v/>
      </c>
      <c r="H3" s="25">
        <f>IFERROR(AVERAGEIFS('Asset Register'!$O$2:$O$109,'Asset Register'!$E$2:$E$109,$A3,'Asset Register'!$D$2:$D$109,$B3),"")</f>
        <v/>
      </c>
      <c r="I3" s="26">
        <f>IFERROR(AVERAGEIFS('Asset Register'!$P$2:$P$109,'Asset Register'!$E$2:$E$109,$A3,'Asset Register'!$D$2:$D$109,$B3),"")</f>
        <v/>
      </c>
      <c r="J3" s="26">
        <f>IFERROR(AVERAGEIFS('Asset Register'!$S$2:$S$109,'Asset Register'!$E$2:$E$109,$A3,'Asset Register'!$D$2:$D$109,$B3),"")</f>
        <v/>
      </c>
    </row>
    <row r="4" ht="15" customHeight="1" s="18">
      <c r="A4" s="20" t="inlineStr">
        <is>
          <t>Bellary District, Karnataka</t>
        </is>
      </c>
      <c r="B4" s="20" t="inlineStr">
        <is>
          <t>Other</t>
        </is>
      </c>
      <c r="C4" s="24">
        <f>COUNTIFS('Asset Register'!$E$2:$E$109,$A4,'Asset Register'!$D$2:$D$109,$B4)</f>
        <v/>
      </c>
      <c r="D4" s="25">
        <f>SUMIFS('Asset Register'!$J$2:$J$109,'Asset Register'!$E$2:$E$109,$A4,'Asset Register'!$D$2:$D$109,$B4)</f>
        <v/>
      </c>
      <c r="E4" s="27">
        <f>SUMIFS('Asset Register'!$U$2:$U$109,'Asset Register'!$E$2:$E$109,$A4,'Asset Register'!$D$2:$D$109,$B4)</f>
        <v/>
      </c>
      <c r="F4" s="27">
        <f>IFERROR(SUMIFS('Asset Register'!$U$2:$U$109,'Asset Register'!$E$2:$E$109,$A4,'Asset Register'!$D$2:$D$109,$B4)*10000000/SUMIFS('Asset Register'!$I$2:$I$109,'Asset Register'!$E$2:$E$109,$A4,'Asset Register'!$D$2:$D$109,$B4),"")</f>
        <v/>
      </c>
      <c r="G4" s="25">
        <f>IFERROR(AVERAGEIFS('Asset Register'!$N$2:$N$109,'Asset Register'!$E$2:$E$109,$A4,'Asset Register'!$D$2:$D$109,$B4),"")</f>
        <v/>
      </c>
      <c r="H4" s="25">
        <f>IFERROR(AVERAGEIFS('Asset Register'!$O$2:$O$109,'Asset Register'!$E$2:$E$109,$A4,'Asset Register'!$D$2:$D$109,$B4),"")</f>
        <v/>
      </c>
      <c r="I4" s="26">
        <f>IFERROR(AVERAGEIFS('Asset Register'!$P$2:$P$109,'Asset Register'!$E$2:$E$109,$A4,'Asset Register'!$D$2:$D$109,$B4),"")</f>
        <v/>
      </c>
      <c r="J4" s="26">
        <f>IFERROR(AVERAGEIFS('Asset Register'!$S$2:$S$109,'Asset Register'!$E$2:$E$109,$A4,'Asset Register'!$D$2:$D$109,$B4),"")</f>
        <v/>
      </c>
    </row>
    <row r="5" ht="15" customHeight="1" s="18">
      <c r="A5" s="20" t="inlineStr">
        <is>
          <t>Bengaluru</t>
        </is>
      </c>
      <c r="B5" s="20" t="inlineStr">
        <is>
          <t>Hotel</t>
        </is>
      </c>
      <c r="C5" s="24">
        <f>COUNTIFS('Asset Register'!$E$2:$E$109,$A5,'Asset Register'!$D$2:$D$109,$B5)</f>
        <v/>
      </c>
      <c r="D5" s="25">
        <f>SUMIFS('Asset Register'!$J$2:$J$109,'Asset Register'!$E$2:$E$109,$A5,'Asset Register'!$D$2:$D$109,$B5)</f>
        <v/>
      </c>
      <c r="E5" s="27">
        <f>SUMIFS('Asset Register'!$U$2:$U$109,'Asset Register'!$E$2:$E$109,$A5,'Asset Register'!$D$2:$D$109,$B5)</f>
        <v/>
      </c>
      <c r="F5" s="27">
        <f>IFERROR(SUMIFS('Asset Register'!$U$2:$U$109,'Asset Register'!$E$2:$E$109,$A5,'Asset Register'!$D$2:$D$109,$B5)*10000000/SUMIFS('Asset Register'!$I$2:$I$109,'Asset Register'!$E$2:$E$109,$A5,'Asset Register'!$D$2:$D$109,$B5),"")</f>
        <v/>
      </c>
      <c r="G5" s="25">
        <f>IFERROR(AVERAGEIFS('Asset Register'!$N$2:$N$109,'Asset Register'!$E$2:$E$109,$A5,'Asset Register'!$D$2:$D$109,$B5),"")</f>
        <v/>
      </c>
      <c r="H5" s="25">
        <f>IFERROR(AVERAGEIFS('Asset Register'!$O$2:$O$109,'Asset Register'!$E$2:$E$109,$A5,'Asset Register'!$D$2:$D$109,$B5),"")</f>
        <v/>
      </c>
      <c r="I5" s="26">
        <f>IFERROR(AVERAGEIFS('Asset Register'!$P$2:$P$109,'Asset Register'!$E$2:$E$109,$A5,'Asset Register'!$D$2:$D$109,$B5),"")</f>
        <v/>
      </c>
      <c r="J5" s="26">
        <f>IFERROR(AVERAGEIFS('Asset Register'!$S$2:$S$109,'Asset Register'!$E$2:$E$109,$A5,'Asset Register'!$D$2:$D$109,$B5),"")</f>
        <v/>
      </c>
    </row>
    <row r="6" ht="15" customHeight="1" s="18">
      <c r="A6" s="20" t="inlineStr">
        <is>
          <t>Bengaluru</t>
        </is>
      </c>
      <c r="B6" s="20" t="inlineStr">
        <is>
          <t>Office</t>
        </is>
      </c>
      <c r="C6" s="24">
        <f>COUNTIFS('Asset Register'!$E$2:$E$109,$A6,'Asset Register'!$D$2:$D$109,$B6)</f>
        <v/>
      </c>
      <c r="D6" s="25">
        <f>SUMIFS('Asset Register'!$J$2:$J$109,'Asset Register'!$E$2:$E$109,$A6,'Asset Register'!$D$2:$D$109,$B6)</f>
        <v/>
      </c>
      <c r="E6" s="27">
        <f>SUMIFS('Asset Register'!$U$2:$U$109,'Asset Register'!$E$2:$E$109,$A6,'Asset Register'!$D$2:$D$109,$B6)</f>
        <v/>
      </c>
      <c r="F6" s="27">
        <f>IFERROR(SUMIFS('Asset Register'!$U$2:$U$109,'Asset Register'!$E$2:$E$109,$A6,'Asset Register'!$D$2:$D$109,$B6)*10000000/SUMIFS('Asset Register'!$I$2:$I$109,'Asset Register'!$E$2:$E$109,$A6,'Asset Register'!$D$2:$D$109,$B6),"")</f>
        <v/>
      </c>
      <c r="G6" s="25">
        <f>IFERROR(AVERAGEIFS('Asset Register'!$N$2:$N$109,'Asset Register'!$E$2:$E$109,$A6,'Asset Register'!$D$2:$D$109,$B6),"")</f>
        <v/>
      </c>
      <c r="H6" s="25">
        <f>IFERROR(AVERAGEIFS('Asset Register'!$O$2:$O$109,'Asset Register'!$E$2:$E$109,$A6,'Asset Register'!$D$2:$D$109,$B6),"")</f>
        <v/>
      </c>
      <c r="I6" s="26">
        <f>IFERROR(AVERAGEIFS('Asset Register'!$P$2:$P$109,'Asset Register'!$E$2:$E$109,$A6,'Asset Register'!$D$2:$D$109,$B6),"")</f>
        <v/>
      </c>
      <c r="J6" s="26">
        <f>IFERROR(AVERAGEIFS('Asset Register'!$S$2:$S$109,'Asset Register'!$E$2:$E$109,$A6,'Asset Register'!$D$2:$D$109,$B6),"")</f>
        <v/>
      </c>
    </row>
    <row r="7" ht="15" customHeight="1" s="18">
      <c r="A7" s="20" t="inlineStr">
        <is>
          <t>Bengaluru</t>
        </is>
      </c>
      <c r="B7" s="20" t="inlineStr">
        <is>
          <t>Retail</t>
        </is>
      </c>
      <c r="C7" s="24">
        <f>COUNTIFS('Asset Register'!$E$2:$E$109,$A7,'Asset Register'!$D$2:$D$109,$B7)</f>
        <v/>
      </c>
      <c r="D7" s="25">
        <f>SUMIFS('Asset Register'!$J$2:$J$109,'Asset Register'!$E$2:$E$109,$A7,'Asset Register'!$D$2:$D$109,$B7)</f>
        <v/>
      </c>
      <c r="E7" s="27">
        <f>SUMIFS('Asset Register'!$U$2:$U$109,'Asset Register'!$E$2:$E$109,$A7,'Asset Register'!$D$2:$D$109,$B7)</f>
        <v/>
      </c>
      <c r="F7" s="27">
        <f>IFERROR(SUMIFS('Asset Register'!$U$2:$U$109,'Asset Register'!$E$2:$E$109,$A7,'Asset Register'!$D$2:$D$109,$B7)*10000000/SUMIFS('Asset Register'!$I$2:$I$109,'Asset Register'!$E$2:$E$109,$A7,'Asset Register'!$D$2:$D$109,$B7),"")</f>
        <v/>
      </c>
      <c r="G7" s="25">
        <f>IFERROR(AVERAGEIFS('Asset Register'!$N$2:$N$109,'Asset Register'!$E$2:$E$109,$A7,'Asset Register'!$D$2:$D$109,$B7),"")</f>
        <v/>
      </c>
      <c r="H7" s="25">
        <f>IFERROR(AVERAGEIFS('Asset Register'!$O$2:$O$109,'Asset Register'!$E$2:$E$109,$A7,'Asset Register'!$D$2:$D$109,$B7),"")</f>
        <v/>
      </c>
      <c r="I7" s="26">
        <f>IFERROR(AVERAGEIFS('Asset Register'!$P$2:$P$109,'Asset Register'!$E$2:$E$109,$A7,'Asset Register'!$D$2:$D$109,$B7),"")</f>
        <v/>
      </c>
      <c r="J7" s="26">
        <f>IFERROR(AVERAGEIFS('Asset Register'!$S$2:$S$109,'Asset Register'!$E$2:$E$109,$A7,'Asset Register'!$D$2:$D$109,$B7),"")</f>
        <v/>
      </c>
    </row>
    <row r="8" ht="15" customHeight="1" s="18">
      <c r="A8" s="20" t="inlineStr">
        <is>
          <t>Bhubaneswar</t>
        </is>
      </c>
      <c r="B8" s="20" t="inlineStr">
        <is>
          <t>Retail</t>
        </is>
      </c>
      <c r="C8" s="24">
        <f>COUNTIFS('Asset Register'!$E$2:$E$109,$A8,'Asset Register'!$D$2:$D$109,$B8)</f>
        <v/>
      </c>
      <c r="D8" s="25">
        <f>SUMIFS('Asset Register'!$J$2:$J$109,'Asset Register'!$E$2:$E$109,$A8,'Asset Register'!$D$2:$D$109,$B8)</f>
        <v/>
      </c>
      <c r="E8" s="27">
        <f>SUMIFS('Asset Register'!$U$2:$U$109,'Asset Register'!$E$2:$E$109,$A8,'Asset Register'!$D$2:$D$109,$B8)</f>
        <v/>
      </c>
      <c r="F8" s="27">
        <f>IFERROR(SUMIFS('Asset Register'!$U$2:$U$109,'Asset Register'!$E$2:$E$109,$A8,'Asset Register'!$D$2:$D$109,$B8)*10000000/SUMIFS('Asset Register'!$I$2:$I$109,'Asset Register'!$E$2:$E$109,$A8,'Asset Register'!$D$2:$D$109,$B8),"")</f>
        <v/>
      </c>
      <c r="G8" s="25">
        <f>IFERROR(AVERAGEIFS('Asset Register'!$N$2:$N$109,'Asset Register'!$E$2:$E$109,$A8,'Asset Register'!$D$2:$D$109,$B8),"")</f>
        <v/>
      </c>
      <c r="H8" s="25">
        <f>IFERROR(AVERAGEIFS('Asset Register'!$O$2:$O$109,'Asset Register'!$E$2:$E$109,$A8,'Asset Register'!$D$2:$D$109,$B8),"")</f>
        <v/>
      </c>
      <c r="I8" s="26">
        <f>IFERROR(AVERAGEIFS('Asset Register'!$P$2:$P$109,'Asset Register'!$E$2:$E$109,$A8,'Asset Register'!$D$2:$D$109,$B8),"")</f>
        <v/>
      </c>
      <c r="J8" s="26">
        <f>IFERROR(AVERAGEIFS('Asset Register'!$S$2:$S$109,'Asset Register'!$E$2:$E$109,$A8,'Asset Register'!$D$2:$D$109,$B8),"")</f>
        <v/>
      </c>
    </row>
    <row r="9" ht="15" customHeight="1" s="18">
      <c r="A9" s="20" t="inlineStr">
        <is>
          <t>Chandigarh</t>
        </is>
      </c>
      <c r="B9" s="20" t="inlineStr">
        <is>
          <t>Retail</t>
        </is>
      </c>
      <c r="C9" s="24">
        <f>COUNTIFS('Asset Register'!$E$2:$E$109,$A9,'Asset Register'!$D$2:$D$109,$B9)</f>
        <v/>
      </c>
      <c r="D9" s="25">
        <f>SUMIFS('Asset Register'!$J$2:$J$109,'Asset Register'!$E$2:$E$109,$A9,'Asset Register'!$D$2:$D$109,$B9)</f>
        <v/>
      </c>
      <c r="E9" s="27">
        <f>SUMIFS('Asset Register'!$U$2:$U$109,'Asset Register'!$E$2:$E$109,$A9,'Asset Register'!$D$2:$D$109,$B9)</f>
        <v/>
      </c>
      <c r="F9" s="27">
        <f>IFERROR(SUMIFS('Asset Register'!$U$2:$U$109,'Asset Register'!$E$2:$E$109,$A9,'Asset Register'!$D$2:$D$109,$B9)*10000000/SUMIFS('Asset Register'!$I$2:$I$109,'Asset Register'!$E$2:$E$109,$A9,'Asset Register'!$D$2:$D$109,$B9),"")</f>
        <v/>
      </c>
      <c r="G9" s="25">
        <f>IFERROR(AVERAGEIFS('Asset Register'!$N$2:$N$109,'Asset Register'!$E$2:$E$109,$A9,'Asset Register'!$D$2:$D$109,$B9),"")</f>
        <v/>
      </c>
      <c r="H9" s="25">
        <f>IFERROR(AVERAGEIFS('Asset Register'!$O$2:$O$109,'Asset Register'!$E$2:$E$109,$A9,'Asset Register'!$D$2:$D$109,$B9),"")</f>
        <v/>
      </c>
      <c r="I9" s="26">
        <f>IFERROR(AVERAGEIFS('Asset Register'!$P$2:$P$109,'Asset Register'!$E$2:$E$109,$A9,'Asset Register'!$D$2:$D$109,$B9),"")</f>
        <v/>
      </c>
      <c r="J9" s="26">
        <f>IFERROR(AVERAGEIFS('Asset Register'!$S$2:$S$109,'Asset Register'!$E$2:$E$109,$A9,'Asset Register'!$D$2:$D$109,$B9),"")</f>
        <v/>
      </c>
    </row>
    <row r="10" ht="15" customHeight="1" s="18">
      <c r="A10" s="20" t="inlineStr">
        <is>
          <t>Chennai</t>
        </is>
      </c>
      <c r="B10" s="20" t="inlineStr">
        <is>
          <t>Office</t>
        </is>
      </c>
      <c r="C10" s="24">
        <f>COUNTIFS('Asset Register'!$E$2:$E$109,$A10,'Asset Register'!$D$2:$D$109,$B10)</f>
        <v/>
      </c>
      <c r="D10" s="25">
        <f>SUMIFS('Asset Register'!$J$2:$J$109,'Asset Register'!$E$2:$E$109,$A10,'Asset Register'!$D$2:$D$109,$B10)</f>
        <v/>
      </c>
      <c r="E10" s="27">
        <f>SUMIFS('Asset Register'!$U$2:$U$109,'Asset Register'!$E$2:$E$109,$A10,'Asset Register'!$D$2:$D$109,$B10)</f>
        <v/>
      </c>
      <c r="F10" s="27">
        <f>IFERROR(SUMIFS('Asset Register'!$U$2:$U$109,'Asset Register'!$E$2:$E$109,$A10,'Asset Register'!$D$2:$D$109,$B10)*10000000/SUMIFS('Asset Register'!$I$2:$I$109,'Asset Register'!$E$2:$E$109,$A10,'Asset Register'!$D$2:$D$109,$B10),"")</f>
        <v/>
      </c>
      <c r="G10" s="25">
        <f>IFERROR(AVERAGEIFS('Asset Register'!$N$2:$N$109,'Asset Register'!$E$2:$E$109,$A10,'Asset Register'!$D$2:$D$109,$B10),"")</f>
        <v/>
      </c>
      <c r="H10" s="25">
        <f>IFERROR(AVERAGEIFS('Asset Register'!$O$2:$O$109,'Asset Register'!$E$2:$E$109,$A10,'Asset Register'!$D$2:$D$109,$B10),"")</f>
        <v/>
      </c>
      <c r="I10" s="26">
        <f>IFERROR(AVERAGEIFS('Asset Register'!$P$2:$P$109,'Asset Register'!$E$2:$E$109,$A10,'Asset Register'!$D$2:$D$109,$B10),"")</f>
        <v/>
      </c>
      <c r="J10" s="26">
        <f>IFERROR(AVERAGEIFS('Asset Register'!$S$2:$S$109,'Asset Register'!$E$2:$E$109,$A10,'Asset Register'!$D$2:$D$109,$B10),"")</f>
        <v/>
      </c>
    </row>
    <row r="11" ht="15" customHeight="1" s="18">
      <c r="A11" s="20" t="inlineStr">
        <is>
          <t>Chennai</t>
        </is>
      </c>
      <c r="B11" s="20" t="inlineStr">
        <is>
          <t>Retail</t>
        </is>
      </c>
      <c r="C11" s="24">
        <f>COUNTIFS('Asset Register'!$E$2:$E$109,$A11,'Asset Register'!$D$2:$D$109,$B11)</f>
        <v/>
      </c>
      <c r="D11" s="25">
        <f>SUMIFS('Asset Register'!$J$2:$J$109,'Asset Register'!$E$2:$E$109,$A11,'Asset Register'!$D$2:$D$109,$B11)</f>
        <v/>
      </c>
      <c r="E11" s="27">
        <f>SUMIFS('Asset Register'!$U$2:$U$109,'Asset Register'!$E$2:$E$109,$A11,'Asset Register'!$D$2:$D$109,$B11)</f>
        <v/>
      </c>
      <c r="F11" s="27">
        <f>IFERROR(SUMIFS('Asset Register'!$U$2:$U$109,'Asset Register'!$E$2:$E$109,$A11,'Asset Register'!$D$2:$D$109,$B11)*10000000/SUMIFS('Asset Register'!$I$2:$I$109,'Asset Register'!$E$2:$E$109,$A11,'Asset Register'!$D$2:$D$109,$B11),"")</f>
        <v/>
      </c>
      <c r="G11" s="25">
        <f>IFERROR(AVERAGEIFS('Asset Register'!$N$2:$N$109,'Asset Register'!$E$2:$E$109,$A11,'Asset Register'!$D$2:$D$109,$B11),"")</f>
        <v/>
      </c>
      <c r="H11" s="25">
        <f>IFERROR(AVERAGEIFS('Asset Register'!$O$2:$O$109,'Asset Register'!$E$2:$E$109,$A11,'Asset Register'!$D$2:$D$109,$B11),"")</f>
        <v/>
      </c>
      <c r="I11" s="26">
        <f>IFERROR(AVERAGEIFS('Asset Register'!$P$2:$P$109,'Asset Register'!$E$2:$E$109,$A11,'Asset Register'!$D$2:$D$109,$B11),"")</f>
        <v/>
      </c>
      <c r="J11" s="26">
        <f>IFERROR(AVERAGEIFS('Asset Register'!$S$2:$S$109,'Asset Register'!$E$2:$E$109,$A11,'Asset Register'!$D$2:$D$109,$B11),"")</f>
        <v/>
      </c>
    </row>
    <row r="12" ht="15" customHeight="1" s="18">
      <c r="A12" s="20" t="inlineStr">
        <is>
          <t>Chitradurga, Karnataka</t>
        </is>
      </c>
      <c r="B12" s="20" t="inlineStr">
        <is>
          <t>Solar</t>
        </is>
      </c>
      <c r="C12" s="24">
        <f>COUNTIFS('Asset Register'!$E$2:$E$109,$A12,'Asset Register'!$D$2:$D$109,$B12)</f>
        <v/>
      </c>
      <c r="D12" s="25">
        <f>SUMIFS('Asset Register'!$J$2:$J$109,'Asset Register'!$E$2:$E$109,$A12,'Asset Register'!$D$2:$D$109,$B12)</f>
        <v/>
      </c>
      <c r="E12" s="27">
        <f>SUMIFS('Asset Register'!$U$2:$U$109,'Asset Register'!$E$2:$E$109,$A12,'Asset Register'!$D$2:$D$109,$B12)</f>
        <v/>
      </c>
      <c r="F12" s="27">
        <f>IFERROR(SUMIFS('Asset Register'!$U$2:$U$109,'Asset Register'!$E$2:$E$109,$A12,'Asset Register'!$D$2:$D$109,$B12)*10000000/SUMIFS('Asset Register'!$I$2:$I$109,'Asset Register'!$E$2:$E$109,$A12,'Asset Register'!$D$2:$D$109,$B12),"")</f>
        <v/>
      </c>
      <c r="G12" s="25">
        <f>IFERROR(AVERAGEIFS('Asset Register'!$N$2:$N$109,'Asset Register'!$E$2:$E$109,$A12,'Asset Register'!$D$2:$D$109,$B12),"")</f>
        <v/>
      </c>
      <c r="H12" s="25">
        <f>IFERROR(AVERAGEIFS('Asset Register'!$O$2:$O$109,'Asset Register'!$E$2:$E$109,$A12,'Asset Register'!$D$2:$D$109,$B12),"")</f>
        <v/>
      </c>
      <c r="I12" s="26">
        <f>IFERROR(AVERAGEIFS('Asset Register'!$P$2:$P$109,'Asset Register'!$E$2:$E$109,$A12,'Asset Register'!$D$2:$D$109,$B12),"")</f>
        <v/>
      </c>
      <c r="J12" s="26">
        <f>IFERROR(AVERAGEIFS('Asset Register'!$S$2:$S$109,'Asset Register'!$E$2:$E$109,$A12,'Asset Register'!$D$2:$D$109,$B12),"")</f>
        <v/>
      </c>
    </row>
    <row r="13" ht="15" customHeight="1" s="18">
      <c r="A13" s="20" t="inlineStr">
        <is>
          <t>Dhule, Maharashtra</t>
        </is>
      </c>
      <c r="B13" s="20" t="inlineStr">
        <is>
          <t>Solar</t>
        </is>
      </c>
      <c r="C13" s="24">
        <f>COUNTIFS('Asset Register'!$E$2:$E$109,$A13,'Asset Register'!$D$2:$D$109,$B13)</f>
        <v/>
      </c>
      <c r="D13" s="25">
        <f>SUMIFS('Asset Register'!$J$2:$J$109,'Asset Register'!$E$2:$E$109,$A13,'Asset Register'!$D$2:$D$109,$B13)</f>
        <v/>
      </c>
      <c r="E13" s="27">
        <f>SUMIFS('Asset Register'!$U$2:$U$109,'Asset Register'!$E$2:$E$109,$A13,'Asset Register'!$D$2:$D$109,$B13)</f>
        <v/>
      </c>
      <c r="F13" s="27">
        <f>IFERROR(SUMIFS('Asset Register'!$U$2:$U$109,'Asset Register'!$E$2:$E$109,$A13,'Asset Register'!$D$2:$D$109,$B13)*10000000/SUMIFS('Asset Register'!$I$2:$I$109,'Asset Register'!$E$2:$E$109,$A13,'Asset Register'!$D$2:$D$109,$B13),"")</f>
        <v/>
      </c>
      <c r="G13" s="25">
        <f>IFERROR(AVERAGEIFS('Asset Register'!$N$2:$N$109,'Asset Register'!$E$2:$E$109,$A13,'Asset Register'!$D$2:$D$109,$B13),"")</f>
        <v/>
      </c>
      <c r="H13" s="25">
        <f>IFERROR(AVERAGEIFS('Asset Register'!$O$2:$O$109,'Asset Register'!$E$2:$E$109,$A13,'Asset Register'!$D$2:$D$109,$B13),"")</f>
        <v/>
      </c>
      <c r="I13" s="26">
        <f>IFERROR(AVERAGEIFS('Asset Register'!$P$2:$P$109,'Asset Register'!$E$2:$E$109,$A13,'Asset Register'!$D$2:$D$109,$B13),"")</f>
        <v/>
      </c>
      <c r="J13" s="26">
        <f>IFERROR(AVERAGEIFS('Asset Register'!$S$2:$S$109,'Asset Register'!$E$2:$E$109,$A13,'Asset Register'!$D$2:$D$109,$B13),"")</f>
        <v/>
      </c>
    </row>
    <row r="14" ht="15" customHeight="1" s="18">
      <c r="A14" s="20" t="inlineStr">
        <is>
          <t>GIFT City, Ahmedabad</t>
        </is>
      </c>
      <c r="B14" s="20" t="inlineStr">
        <is>
          <t>Office</t>
        </is>
      </c>
      <c r="C14" s="24">
        <f>COUNTIFS('Asset Register'!$E$2:$E$109,$A14,'Asset Register'!$D$2:$D$109,$B14)</f>
        <v/>
      </c>
      <c r="D14" s="25">
        <f>SUMIFS('Asset Register'!$J$2:$J$109,'Asset Register'!$E$2:$E$109,$A14,'Asset Register'!$D$2:$D$109,$B14)</f>
        <v/>
      </c>
      <c r="E14" s="27">
        <f>SUMIFS('Asset Register'!$U$2:$U$109,'Asset Register'!$E$2:$E$109,$A14,'Asset Register'!$D$2:$D$109,$B14)</f>
        <v/>
      </c>
      <c r="F14" s="27">
        <f>IFERROR(SUMIFS('Asset Register'!$U$2:$U$109,'Asset Register'!$E$2:$E$109,$A14,'Asset Register'!$D$2:$D$109,$B14)*10000000/SUMIFS('Asset Register'!$I$2:$I$109,'Asset Register'!$E$2:$E$109,$A14,'Asset Register'!$D$2:$D$109,$B14),"")</f>
        <v/>
      </c>
      <c r="G14" s="25">
        <f>IFERROR(AVERAGEIFS('Asset Register'!$N$2:$N$109,'Asset Register'!$E$2:$E$109,$A14,'Asset Register'!$D$2:$D$109,$B14),"")</f>
        <v/>
      </c>
      <c r="H14" s="25">
        <f>IFERROR(AVERAGEIFS('Asset Register'!$O$2:$O$109,'Asset Register'!$E$2:$E$109,$A14,'Asset Register'!$D$2:$D$109,$B14),"")</f>
        <v/>
      </c>
      <c r="I14" s="26">
        <f>IFERROR(AVERAGEIFS('Asset Register'!$P$2:$P$109,'Asset Register'!$E$2:$E$109,$A14,'Asset Register'!$D$2:$D$109,$B14),"")</f>
        <v/>
      </c>
      <c r="J14" s="26">
        <f>IFERROR(AVERAGEIFS('Asset Register'!$S$2:$S$109,'Asset Register'!$E$2:$E$109,$A14,'Asset Register'!$D$2:$D$109,$B14),"")</f>
        <v/>
      </c>
    </row>
    <row r="15" ht="15" customHeight="1" s="18">
      <c r="A15" s="20" t="inlineStr">
        <is>
          <t>Gurugram</t>
        </is>
      </c>
      <c r="B15" s="20" t="inlineStr">
        <is>
          <t>Office</t>
        </is>
      </c>
      <c r="C15" s="24">
        <f>COUNTIFS('Asset Register'!$E$2:$E$109,$A15,'Asset Register'!$D$2:$D$109,$B15)</f>
        <v/>
      </c>
      <c r="D15" s="25">
        <f>SUMIFS('Asset Register'!$J$2:$J$109,'Asset Register'!$E$2:$E$109,$A15,'Asset Register'!$D$2:$D$109,$B15)</f>
        <v/>
      </c>
      <c r="E15" s="27">
        <f>SUMIFS('Asset Register'!$U$2:$U$109,'Asset Register'!$E$2:$E$109,$A15,'Asset Register'!$D$2:$D$109,$B15)</f>
        <v/>
      </c>
      <c r="F15" s="27">
        <f>IFERROR(SUMIFS('Asset Register'!$U$2:$U$109,'Asset Register'!$E$2:$E$109,$A15,'Asset Register'!$D$2:$D$109,$B15)*10000000/SUMIFS('Asset Register'!$I$2:$I$109,'Asset Register'!$E$2:$E$109,$A15,'Asset Register'!$D$2:$D$109,$B15),"")</f>
        <v/>
      </c>
      <c r="G15" s="25">
        <f>IFERROR(AVERAGEIFS('Asset Register'!$N$2:$N$109,'Asset Register'!$E$2:$E$109,$A15,'Asset Register'!$D$2:$D$109,$B15),"")</f>
        <v/>
      </c>
      <c r="H15" s="25">
        <f>IFERROR(AVERAGEIFS('Asset Register'!$O$2:$O$109,'Asset Register'!$E$2:$E$109,$A15,'Asset Register'!$D$2:$D$109,$B15),"")</f>
        <v/>
      </c>
      <c r="I15" s="26">
        <f>IFERROR(AVERAGEIFS('Asset Register'!$P$2:$P$109,'Asset Register'!$E$2:$E$109,$A15,'Asset Register'!$D$2:$D$109,$B15),"")</f>
        <v/>
      </c>
      <c r="J15" s="26">
        <f>IFERROR(AVERAGEIFS('Asset Register'!$S$2:$S$109,'Asset Register'!$E$2:$E$109,$A15,'Asset Register'!$D$2:$D$109,$B15),"")</f>
        <v/>
      </c>
    </row>
    <row r="16" ht="15" customHeight="1" s="18">
      <c r="A16" s="20" t="inlineStr">
        <is>
          <t>Gurugram</t>
        </is>
      </c>
      <c r="B16" s="20" t="inlineStr">
        <is>
          <t>Retail</t>
        </is>
      </c>
      <c r="C16" s="24">
        <f>COUNTIFS('Asset Register'!$E$2:$E$109,$A16,'Asset Register'!$D$2:$D$109,$B16)</f>
        <v/>
      </c>
      <c r="D16" s="25">
        <f>SUMIFS('Asset Register'!$J$2:$J$109,'Asset Register'!$E$2:$E$109,$A16,'Asset Register'!$D$2:$D$109,$B16)</f>
        <v/>
      </c>
      <c r="E16" s="27">
        <f>SUMIFS('Asset Register'!$U$2:$U$109,'Asset Register'!$E$2:$E$109,$A16,'Asset Register'!$D$2:$D$109,$B16)</f>
        <v/>
      </c>
      <c r="F16" s="27">
        <f>IFERROR(SUMIFS('Asset Register'!$U$2:$U$109,'Asset Register'!$E$2:$E$109,$A16,'Asset Register'!$D$2:$D$109,$B16)*10000000/SUMIFS('Asset Register'!$I$2:$I$109,'Asset Register'!$E$2:$E$109,$A16,'Asset Register'!$D$2:$D$109,$B16),"")</f>
        <v/>
      </c>
      <c r="G16" s="25">
        <f>IFERROR(AVERAGEIFS('Asset Register'!$N$2:$N$109,'Asset Register'!$E$2:$E$109,$A16,'Asset Register'!$D$2:$D$109,$B16),"")</f>
        <v/>
      </c>
      <c r="H16" s="25">
        <f>IFERROR(AVERAGEIFS('Asset Register'!$O$2:$O$109,'Asset Register'!$E$2:$E$109,$A16,'Asset Register'!$D$2:$D$109,$B16),"")</f>
        <v/>
      </c>
      <c r="I16" s="26">
        <f>IFERROR(AVERAGEIFS('Asset Register'!$P$2:$P$109,'Asset Register'!$E$2:$E$109,$A16,'Asset Register'!$D$2:$D$109,$B16),"")</f>
        <v/>
      </c>
      <c r="J16" s="26">
        <f>IFERROR(AVERAGEIFS('Asset Register'!$S$2:$S$109,'Asset Register'!$E$2:$E$109,$A16,'Asset Register'!$D$2:$D$109,$B16),"")</f>
        <v/>
      </c>
    </row>
    <row r="17" ht="15" customHeight="1" s="18">
      <c r="A17" s="20" t="inlineStr">
        <is>
          <t>Hyderabad</t>
        </is>
      </c>
      <c r="B17" s="20" t="inlineStr">
        <is>
          <t>Office</t>
        </is>
      </c>
      <c r="C17" s="24">
        <f>COUNTIFS('Asset Register'!$E$2:$E$109,$A17,'Asset Register'!$D$2:$D$109,$B17)</f>
        <v/>
      </c>
      <c r="D17" s="25">
        <f>SUMIFS('Asset Register'!$J$2:$J$109,'Asset Register'!$E$2:$E$109,$A17,'Asset Register'!$D$2:$D$109,$B17)</f>
        <v/>
      </c>
      <c r="E17" s="27">
        <f>SUMIFS('Asset Register'!$U$2:$U$109,'Asset Register'!$E$2:$E$109,$A17,'Asset Register'!$D$2:$D$109,$B17)</f>
        <v/>
      </c>
      <c r="F17" s="27">
        <f>IFERROR(SUMIFS('Asset Register'!$U$2:$U$109,'Asset Register'!$E$2:$E$109,$A17,'Asset Register'!$D$2:$D$109,$B17)*10000000/SUMIFS('Asset Register'!$I$2:$I$109,'Asset Register'!$E$2:$E$109,$A17,'Asset Register'!$D$2:$D$109,$B17),"")</f>
        <v/>
      </c>
      <c r="G17" s="25">
        <f>IFERROR(AVERAGEIFS('Asset Register'!$N$2:$N$109,'Asset Register'!$E$2:$E$109,$A17,'Asset Register'!$D$2:$D$109,$B17),"")</f>
        <v/>
      </c>
      <c r="H17" s="25">
        <f>IFERROR(AVERAGEIFS('Asset Register'!$O$2:$O$109,'Asset Register'!$E$2:$E$109,$A17,'Asset Register'!$D$2:$D$109,$B17),"")</f>
        <v/>
      </c>
      <c r="I17" s="26">
        <f>IFERROR(AVERAGEIFS('Asset Register'!$P$2:$P$109,'Asset Register'!$E$2:$E$109,$A17,'Asset Register'!$D$2:$D$109,$B17),"")</f>
        <v/>
      </c>
      <c r="J17" s="26">
        <f>IFERROR(AVERAGEIFS('Asset Register'!$S$2:$S$109,'Asset Register'!$E$2:$E$109,$A17,'Asset Register'!$D$2:$D$109,$B17),"")</f>
        <v/>
      </c>
    </row>
    <row r="18" ht="15" customHeight="1" s="18">
      <c r="A18" s="20" t="inlineStr">
        <is>
          <t>Hyderabad</t>
        </is>
      </c>
      <c r="B18" s="20" t="inlineStr">
        <is>
          <t>Other</t>
        </is>
      </c>
      <c r="C18" s="24">
        <f>COUNTIFS('Asset Register'!$E$2:$E$109,$A18,'Asset Register'!$D$2:$D$109,$B18)</f>
        <v/>
      </c>
      <c r="D18" s="25">
        <f>SUMIFS('Asset Register'!$J$2:$J$109,'Asset Register'!$E$2:$E$109,$A18,'Asset Register'!$D$2:$D$109,$B18)</f>
        <v/>
      </c>
      <c r="E18" s="27">
        <f>SUMIFS('Asset Register'!$U$2:$U$109,'Asset Register'!$E$2:$E$109,$A18,'Asset Register'!$D$2:$D$109,$B18)</f>
        <v/>
      </c>
      <c r="F18" s="27">
        <f>IFERROR(SUMIFS('Asset Register'!$U$2:$U$109,'Asset Register'!$E$2:$E$109,$A18,'Asset Register'!$D$2:$D$109,$B18)*10000000/SUMIFS('Asset Register'!$I$2:$I$109,'Asset Register'!$E$2:$E$109,$A18,'Asset Register'!$D$2:$D$109,$B18),"")</f>
        <v/>
      </c>
      <c r="G18" s="25">
        <f>IFERROR(AVERAGEIFS('Asset Register'!$N$2:$N$109,'Asset Register'!$E$2:$E$109,$A18,'Asset Register'!$D$2:$D$109,$B18),"")</f>
        <v/>
      </c>
      <c r="H18" s="25">
        <f>IFERROR(AVERAGEIFS('Asset Register'!$O$2:$O$109,'Asset Register'!$E$2:$E$109,$A18,'Asset Register'!$D$2:$D$109,$B18),"")</f>
        <v/>
      </c>
      <c r="I18" s="26">
        <f>IFERROR(AVERAGEIFS('Asset Register'!$P$2:$P$109,'Asset Register'!$E$2:$E$109,$A18,'Asset Register'!$D$2:$D$109,$B18),"")</f>
        <v/>
      </c>
      <c r="J18" s="26">
        <f>IFERROR(AVERAGEIFS('Asset Register'!$S$2:$S$109,'Asset Register'!$E$2:$E$109,$A18,'Asset Register'!$D$2:$D$109,$B18),"")</f>
        <v/>
      </c>
    </row>
    <row r="19" ht="15" customHeight="1" s="18">
      <c r="A19" s="20" t="inlineStr">
        <is>
          <t>Hyderabad</t>
        </is>
      </c>
      <c r="B19" s="20" t="inlineStr">
        <is>
          <t>Retail</t>
        </is>
      </c>
      <c r="C19" s="24">
        <f>COUNTIFS('Asset Register'!$E$2:$E$109,$A19,'Asset Register'!$D$2:$D$109,$B19)</f>
        <v/>
      </c>
      <c r="D19" s="25">
        <f>SUMIFS('Asset Register'!$J$2:$J$109,'Asset Register'!$E$2:$E$109,$A19,'Asset Register'!$D$2:$D$109,$B19)</f>
        <v/>
      </c>
      <c r="E19" s="27">
        <f>SUMIFS('Asset Register'!$U$2:$U$109,'Asset Register'!$E$2:$E$109,$A19,'Asset Register'!$D$2:$D$109,$B19)</f>
        <v/>
      </c>
      <c r="F19" s="27">
        <f>IFERROR(SUMIFS('Asset Register'!$U$2:$U$109,'Asset Register'!$E$2:$E$109,$A19,'Asset Register'!$D$2:$D$109,$B19)*10000000/SUMIFS('Asset Register'!$I$2:$I$109,'Asset Register'!$E$2:$E$109,$A19,'Asset Register'!$D$2:$D$109,$B19),"")</f>
        <v/>
      </c>
      <c r="G19" s="25">
        <f>IFERROR(AVERAGEIFS('Asset Register'!$N$2:$N$109,'Asset Register'!$E$2:$E$109,$A19,'Asset Register'!$D$2:$D$109,$B19),"")</f>
        <v/>
      </c>
      <c r="H19" s="25">
        <f>IFERROR(AVERAGEIFS('Asset Register'!$O$2:$O$109,'Asset Register'!$E$2:$E$109,$A19,'Asset Register'!$D$2:$D$109,$B19),"")</f>
        <v/>
      </c>
      <c r="I19" s="26">
        <f>IFERROR(AVERAGEIFS('Asset Register'!$P$2:$P$109,'Asset Register'!$E$2:$E$109,$A19,'Asset Register'!$D$2:$D$109,$B19),"")</f>
        <v/>
      </c>
      <c r="J19" s="26">
        <f>IFERROR(AVERAGEIFS('Asset Register'!$S$2:$S$109,'Asset Register'!$E$2:$E$109,$A19,'Asset Register'!$D$2:$D$109,$B19),"")</f>
        <v/>
      </c>
    </row>
    <row r="20" ht="15" customHeight="1" s="18">
      <c r="A20" s="20" t="inlineStr">
        <is>
          <t>Indore</t>
        </is>
      </c>
      <c r="B20" s="20" t="inlineStr">
        <is>
          <t>Retail</t>
        </is>
      </c>
      <c r="C20" s="24">
        <f>COUNTIFS('Asset Register'!$E$2:$E$109,$A20,'Asset Register'!$D$2:$D$109,$B20)</f>
        <v/>
      </c>
      <c r="D20" s="25">
        <f>SUMIFS('Asset Register'!$J$2:$J$109,'Asset Register'!$E$2:$E$109,$A20,'Asset Register'!$D$2:$D$109,$B20)</f>
        <v/>
      </c>
      <c r="E20" s="27">
        <f>SUMIFS('Asset Register'!$U$2:$U$109,'Asset Register'!$E$2:$E$109,$A20,'Asset Register'!$D$2:$D$109,$B20)</f>
        <v/>
      </c>
      <c r="F20" s="27">
        <f>IFERROR(SUMIFS('Asset Register'!$U$2:$U$109,'Asset Register'!$E$2:$E$109,$A20,'Asset Register'!$D$2:$D$109,$B20)*10000000/SUMIFS('Asset Register'!$I$2:$I$109,'Asset Register'!$E$2:$E$109,$A20,'Asset Register'!$D$2:$D$109,$B20),"")</f>
        <v/>
      </c>
      <c r="G20" s="25">
        <f>IFERROR(AVERAGEIFS('Asset Register'!$N$2:$N$109,'Asset Register'!$E$2:$E$109,$A20,'Asset Register'!$D$2:$D$109,$B20),"")</f>
        <v/>
      </c>
      <c r="H20" s="25">
        <f>IFERROR(AVERAGEIFS('Asset Register'!$O$2:$O$109,'Asset Register'!$E$2:$E$109,$A20,'Asset Register'!$D$2:$D$109,$B20),"")</f>
        <v/>
      </c>
      <c r="I20" s="26">
        <f>IFERROR(AVERAGEIFS('Asset Register'!$P$2:$P$109,'Asset Register'!$E$2:$E$109,$A20,'Asset Register'!$D$2:$D$109,$B20),"")</f>
        <v/>
      </c>
      <c r="J20" s="26">
        <f>IFERROR(AVERAGEIFS('Asset Register'!$S$2:$S$109,'Asset Register'!$E$2:$E$109,$A20,'Asset Register'!$D$2:$D$109,$B20),"")</f>
        <v/>
      </c>
    </row>
    <row r="21" ht="15" customHeight="1" s="18">
      <c r="A21" s="20" t="inlineStr">
        <is>
          <t>Karnataka (Chikkodi, Sedam, Yadgir, Chitradurga)</t>
        </is>
      </c>
      <c r="B21" s="20" t="inlineStr">
        <is>
          <t>Solar</t>
        </is>
      </c>
      <c r="C21" s="24">
        <f>COUNTIFS('Asset Register'!$E$2:$E$109,$A21,'Asset Register'!$D$2:$D$109,$B21)</f>
        <v/>
      </c>
      <c r="D21" s="25">
        <f>SUMIFS('Asset Register'!$J$2:$J$109,'Asset Register'!$E$2:$E$109,$A21,'Asset Register'!$D$2:$D$109,$B21)</f>
        <v/>
      </c>
      <c r="E21" s="27">
        <f>SUMIFS('Asset Register'!$U$2:$U$109,'Asset Register'!$E$2:$E$109,$A21,'Asset Register'!$D$2:$D$109,$B21)</f>
        <v/>
      </c>
      <c r="F21" s="27">
        <f>IFERROR(SUMIFS('Asset Register'!$U$2:$U$109,'Asset Register'!$E$2:$E$109,$A21,'Asset Register'!$D$2:$D$109,$B21)*10000000/SUMIFS('Asset Register'!$I$2:$I$109,'Asset Register'!$E$2:$E$109,$A21,'Asset Register'!$D$2:$D$109,$B21),"")</f>
        <v/>
      </c>
      <c r="G21" s="25">
        <f>IFERROR(AVERAGEIFS('Asset Register'!$N$2:$N$109,'Asset Register'!$E$2:$E$109,$A21,'Asset Register'!$D$2:$D$109,$B21),"")</f>
        <v/>
      </c>
      <c r="H21" s="25">
        <f>IFERROR(AVERAGEIFS('Asset Register'!$O$2:$O$109,'Asset Register'!$E$2:$E$109,$A21,'Asset Register'!$D$2:$D$109,$B21),"")</f>
        <v/>
      </c>
      <c r="I21" s="26">
        <f>IFERROR(AVERAGEIFS('Asset Register'!$P$2:$P$109,'Asset Register'!$E$2:$E$109,$A21,'Asset Register'!$D$2:$D$109,$B21),"")</f>
        <v/>
      </c>
      <c r="J21" s="26">
        <f>IFERROR(AVERAGEIFS('Asset Register'!$S$2:$S$109,'Asset Register'!$E$2:$E$109,$A21,'Asset Register'!$D$2:$D$109,$B21),"")</f>
        <v/>
      </c>
    </row>
    <row r="22" ht="15" customHeight="1" s="18">
      <c r="A22" s="20" t="inlineStr">
        <is>
          <t>Kolkata</t>
        </is>
      </c>
      <c r="B22" s="20" t="inlineStr">
        <is>
          <t>Office</t>
        </is>
      </c>
      <c r="C22" s="24">
        <f>COUNTIFS('Asset Register'!$E$2:$E$109,$A22,'Asset Register'!$D$2:$D$109,$B22)</f>
        <v/>
      </c>
      <c r="D22" s="25">
        <f>SUMIFS('Asset Register'!$J$2:$J$109,'Asset Register'!$E$2:$E$109,$A22,'Asset Register'!$D$2:$D$109,$B22)</f>
        <v/>
      </c>
      <c r="E22" s="27">
        <f>SUMIFS('Asset Register'!$U$2:$U$109,'Asset Register'!$E$2:$E$109,$A22,'Asset Register'!$D$2:$D$109,$B22)</f>
        <v/>
      </c>
      <c r="F22" s="27">
        <f>IFERROR(SUMIFS('Asset Register'!$U$2:$U$109,'Asset Register'!$E$2:$E$109,$A22,'Asset Register'!$D$2:$D$109,$B22)*10000000/SUMIFS('Asset Register'!$I$2:$I$109,'Asset Register'!$E$2:$E$109,$A22,'Asset Register'!$D$2:$D$109,$B22),"")</f>
        <v/>
      </c>
      <c r="G22" s="25">
        <f>IFERROR(AVERAGEIFS('Asset Register'!$N$2:$N$109,'Asset Register'!$E$2:$E$109,$A22,'Asset Register'!$D$2:$D$109,$B22),"")</f>
        <v/>
      </c>
      <c r="H22" s="25">
        <f>IFERROR(AVERAGEIFS('Asset Register'!$O$2:$O$109,'Asset Register'!$E$2:$E$109,$A22,'Asset Register'!$D$2:$D$109,$B22),"")</f>
        <v/>
      </c>
      <c r="I22" s="26">
        <f>IFERROR(AVERAGEIFS('Asset Register'!$P$2:$P$109,'Asset Register'!$E$2:$E$109,$A22,'Asset Register'!$D$2:$D$109,$B22),"")</f>
        <v/>
      </c>
      <c r="J22" s="26">
        <f>IFERROR(AVERAGEIFS('Asset Register'!$S$2:$S$109,'Asset Register'!$E$2:$E$109,$A22,'Asset Register'!$D$2:$D$109,$B22),"")</f>
        <v/>
      </c>
    </row>
    <row r="23" ht="15" customHeight="1" s="18">
      <c r="A23" s="20" t="inlineStr">
        <is>
          <t>Ludhiana</t>
        </is>
      </c>
      <c r="B23" s="20" t="inlineStr">
        <is>
          <t>Retail</t>
        </is>
      </c>
      <c r="C23" s="24">
        <f>COUNTIFS('Asset Register'!$E$2:$E$109,$A23,'Asset Register'!$D$2:$D$109,$B23)</f>
        <v/>
      </c>
      <c r="D23" s="25">
        <f>SUMIFS('Asset Register'!$J$2:$J$109,'Asset Register'!$E$2:$E$109,$A23,'Asset Register'!$D$2:$D$109,$B23)</f>
        <v/>
      </c>
      <c r="E23" s="27">
        <f>SUMIFS('Asset Register'!$U$2:$U$109,'Asset Register'!$E$2:$E$109,$A23,'Asset Register'!$D$2:$D$109,$B23)</f>
        <v/>
      </c>
      <c r="F23" s="27">
        <f>IFERROR(SUMIFS('Asset Register'!$U$2:$U$109,'Asset Register'!$E$2:$E$109,$A23,'Asset Register'!$D$2:$D$109,$B23)*10000000/SUMIFS('Asset Register'!$I$2:$I$109,'Asset Register'!$E$2:$E$109,$A23,'Asset Register'!$D$2:$D$109,$B23),"")</f>
        <v/>
      </c>
      <c r="G23" s="25">
        <f>IFERROR(AVERAGEIFS('Asset Register'!$N$2:$N$109,'Asset Register'!$E$2:$E$109,$A23,'Asset Register'!$D$2:$D$109,$B23),"")</f>
        <v/>
      </c>
      <c r="H23" s="25">
        <f>IFERROR(AVERAGEIFS('Asset Register'!$O$2:$O$109,'Asset Register'!$E$2:$E$109,$A23,'Asset Register'!$D$2:$D$109,$B23),"")</f>
        <v/>
      </c>
      <c r="I23" s="26">
        <f>IFERROR(AVERAGEIFS('Asset Register'!$P$2:$P$109,'Asset Register'!$E$2:$E$109,$A23,'Asset Register'!$D$2:$D$109,$B23),"")</f>
        <v/>
      </c>
      <c r="J23" s="26">
        <f>IFERROR(AVERAGEIFS('Asset Register'!$S$2:$S$109,'Asset Register'!$E$2:$E$109,$A23,'Asset Register'!$D$2:$D$109,$B23),"")</f>
        <v/>
      </c>
    </row>
    <row r="24" ht="15" customHeight="1" s="18">
      <c r="A24" s="20" t="inlineStr">
        <is>
          <t>Mangaluru</t>
        </is>
      </c>
      <c r="B24" s="20" t="inlineStr">
        <is>
          <t>Retail</t>
        </is>
      </c>
      <c r="C24" s="24">
        <f>COUNTIFS('Asset Register'!$E$2:$E$109,$A24,'Asset Register'!$D$2:$D$109,$B24)</f>
        <v/>
      </c>
      <c r="D24" s="25">
        <f>SUMIFS('Asset Register'!$J$2:$J$109,'Asset Register'!$E$2:$E$109,$A24,'Asset Register'!$D$2:$D$109,$B24)</f>
        <v/>
      </c>
      <c r="E24" s="27">
        <f>SUMIFS('Asset Register'!$U$2:$U$109,'Asset Register'!$E$2:$E$109,$A24,'Asset Register'!$D$2:$D$109,$B24)</f>
        <v/>
      </c>
      <c r="F24" s="27">
        <f>IFERROR(SUMIFS('Asset Register'!$U$2:$U$109,'Asset Register'!$E$2:$E$109,$A24,'Asset Register'!$D$2:$D$109,$B24)*10000000/SUMIFS('Asset Register'!$I$2:$I$109,'Asset Register'!$E$2:$E$109,$A24,'Asset Register'!$D$2:$D$109,$B24),"")</f>
        <v/>
      </c>
      <c r="G24" s="25">
        <f>IFERROR(AVERAGEIFS('Asset Register'!$N$2:$N$109,'Asset Register'!$E$2:$E$109,$A24,'Asset Register'!$D$2:$D$109,$B24),"")</f>
        <v/>
      </c>
      <c r="H24" s="25">
        <f>IFERROR(AVERAGEIFS('Asset Register'!$O$2:$O$109,'Asset Register'!$E$2:$E$109,$A24,'Asset Register'!$D$2:$D$109,$B24),"")</f>
        <v/>
      </c>
      <c r="I24" s="26">
        <f>IFERROR(AVERAGEIFS('Asset Register'!$P$2:$P$109,'Asset Register'!$E$2:$E$109,$A24,'Asset Register'!$D$2:$D$109,$B24),"")</f>
        <v/>
      </c>
      <c r="J24" s="26">
        <f>IFERROR(AVERAGEIFS('Asset Register'!$S$2:$S$109,'Asset Register'!$E$2:$E$109,$A24,'Asset Register'!$D$2:$D$109,$B24),"")</f>
        <v/>
      </c>
    </row>
    <row r="25" ht="15" customHeight="1" s="18">
      <c r="A25" s="20" t="inlineStr">
        <is>
          <t>Mumbai</t>
        </is>
      </c>
      <c r="B25" s="20" t="inlineStr">
        <is>
          <t>Office</t>
        </is>
      </c>
      <c r="C25" s="24">
        <f>COUNTIFS('Asset Register'!$E$2:$E$109,$A25,'Asset Register'!$D$2:$D$109,$B25)</f>
        <v/>
      </c>
      <c r="D25" s="25">
        <f>SUMIFS('Asset Register'!$J$2:$J$109,'Asset Register'!$E$2:$E$109,$A25,'Asset Register'!$D$2:$D$109,$B25)</f>
        <v/>
      </c>
      <c r="E25" s="27">
        <f>SUMIFS('Asset Register'!$U$2:$U$109,'Asset Register'!$E$2:$E$109,$A25,'Asset Register'!$D$2:$D$109,$B25)</f>
        <v/>
      </c>
      <c r="F25" s="27">
        <f>IFERROR(SUMIFS('Asset Register'!$U$2:$U$109,'Asset Register'!$E$2:$E$109,$A25,'Asset Register'!$D$2:$D$109,$B25)*10000000/SUMIFS('Asset Register'!$I$2:$I$109,'Asset Register'!$E$2:$E$109,$A25,'Asset Register'!$D$2:$D$109,$B25),"")</f>
        <v/>
      </c>
      <c r="G25" s="25">
        <f>IFERROR(AVERAGEIFS('Asset Register'!$N$2:$N$109,'Asset Register'!$E$2:$E$109,$A25,'Asset Register'!$D$2:$D$109,$B25),"")</f>
        <v/>
      </c>
      <c r="H25" s="25">
        <f>IFERROR(AVERAGEIFS('Asset Register'!$O$2:$O$109,'Asset Register'!$E$2:$E$109,$A25,'Asset Register'!$D$2:$D$109,$B25),"")</f>
        <v/>
      </c>
      <c r="I25" s="26">
        <f>IFERROR(AVERAGEIFS('Asset Register'!$P$2:$P$109,'Asset Register'!$E$2:$E$109,$A25,'Asset Register'!$D$2:$D$109,$B25),"")</f>
        <v/>
      </c>
      <c r="J25" s="26">
        <f>IFERROR(AVERAGEIFS('Asset Register'!$S$2:$S$109,'Asset Register'!$E$2:$E$109,$A25,'Asset Register'!$D$2:$D$109,$B25),"")</f>
        <v/>
      </c>
    </row>
    <row r="26" ht="15" customHeight="1" s="18">
      <c r="A26" s="20" t="inlineStr">
        <is>
          <t>Mysuru</t>
        </is>
      </c>
      <c r="B26" s="20" t="inlineStr">
        <is>
          <t>Retail</t>
        </is>
      </c>
      <c r="C26" s="24">
        <f>COUNTIFS('Asset Register'!$E$2:$E$109,$A26,'Asset Register'!$D$2:$D$109,$B26)</f>
        <v/>
      </c>
      <c r="D26" s="25">
        <f>SUMIFS('Asset Register'!$J$2:$J$109,'Asset Register'!$E$2:$E$109,$A26,'Asset Register'!$D$2:$D$109,$B26)</f>
        <v/>
      </c>
      <c r="E26" s="27">
        <f>SUMIFS('Asset Register'!$U$2:$U$109,'Asset Register'!$E$2:$E$109,$A26,'Asset Register'!$D$2:$D$109,$B26)</f>
        <v/>
      </c>
      <c r="F26" s="27">
        <f>IFERROR(SUMIFS('Asset Register'!$U$2:$U$109,'Asset Register'!$E$2:$E$109,$A26,'Asset Register'!$D$2:$D$109,$B26)*10000000/SUMIFS('Asset Register'!$I$2:$I$109,'Asset Register'!$E$2:$E$109,$A26,'Asset Register'!$D$2:$D$109,$B26),"")</f>
        <v/>
      </c>
      <c r="G26" s="25">
        <f>IFERROR(AVERAGEIFS('Asset Register'!$N$2:$N$109,'Asset Register'!$E$2:$E$109,$A26,'Asset Register'!$D$2:$D$109,$B26),"")</f>
        <v/>
      </c>
      <c r="H26" s="25">
        <f>IFERROR(AVERAGEIFS('Asset Register'!$O$2:$O$109,'Asset Register'!$E$2:$E$109,$A26,'Asset Register'!$D$2:$D$109,$B26),"")</f>
        <v/>
      </c>
      <c r="I26" s="26">
        <f>IFERROR(AVERAGEIFS('Asset Register'!$P$2:$P$109,'Asset Register'!$E$2:$E$109,$A26,'Asset Register'!$D$2:$D$109,$B26),"")</f>
        <v/>
      </c>
      <c r="J26" s="26">
        <f>IFERROR(AVERAGEIFS('Asset Register'!$S$2:$S$109,'Asset Register'!$E$2:$E$109,$A26,'Asset Register'!$D$2:$D$109,$B26),"")</f>
        <v/>
      </c>
    </row>
    <row r="27" ht="15" customHeight="1" s="18">
      <c r="A27" s="20" t="inlineStr">
        <is>
          <t>Navi Mumbai</t>
        </is>
      </c>
      <c r="B27" s="20" t="inlineStr">
        <is>
          <t>Office</t>
        </is>
      </c>
      <c r="C27" s="24">
        <f>COUNTIFS('Asset Register'!$E$2:$E$109,$A27,'Asset Register'!$D$2:$D$109,$B27)</f>
        <v/>
      </c>
      <c r="D27" s="25">
        <f>SUMIFS('Asset Register'!$J$2:$J$109,'Asset Register'!$E$2:$E$109,$A27,'Asset Register'!$D$2:$D$109,$B27)</f>
        <v/>
      </c>
      <c r="E27" s="27">
        <f>SUMIFS('Asset Register'!$U$2:$U$109,'Asset Register'!$E$2:$E$109,$A27,'Asset Register'!$D$2:$D$109,$B27)</f>
        <v/>
      </c>
      <c r="F27" s="27">
        <f>IFERROR(SUMIFS('Asset Register'!$U$2:$U$109,'Asset Register'!$E$2:$E$109,$A27,'Asset Register'!$D$2:$D$109,$B27)*10000000/SUMIFS('Asset Register'!$I$2:$I$109,'Asset Register'!$E$2:$E$109,$A27,'Asset Register'!$D$2:$D$109,$B27),"")</f>
        <v/>
      </c>
      <c r="G27" s="25">
        <f>IFERROR(AVERAGEIFS('Asset Register'!$N$2:$N$109,'Asset Register'!$E$2:$E$109,$A27,'Asset Register'!$D$2:$D$109,$B27),"")</f>
        <v/>
      </c>
      <c r="H27" s="25">
        <f>IFERROR(AVERAGEIFS('Asset Register'!$O$2:$O$109,'Asset Register'!$E$2:$E$109,$A27,'Asset Register'!$D$2:$D$109,$B27),"")</f>
        <v/>
      </c>
      <c r="I27" s="26">
        <f>IFERROR(AVERAGEIFS('Asset Register'!$P$2:$P$109,'Asset Register'!$E$2:$E$109,$A27,'Asset Register'!$D$2:$D$109,$B27),"")</f>
        <v/>
      </c>
      <c r="J27" s="26">
        <f>IFERROR(AVERAGEIFS('Asset Register'!$S$2:$S$109,'Asset Register'!$E$2:$E$109,$A27,'Asset Register'!$D$2:$D$109,$B27),"")</f>
        <v/>
      </c>
    </row>
    <row r="28" ht="15" customHeight="1" s="18">
      <c r="A28" s="20" t="inlineStr">
        <is>
          <t>Navi Mumbai</t>
        </is>
      </c>
      <c r="B28" s="20" t="inlineStr">
        <is>
          <t>Retail</t>
        </is>
      </c>
      <c r="C28" s="24">
        <f>COUNTIFS('Asset Register'!$E$2:$E$109,$A28,'Asset Register'!$D$2:$D$109,$B28)</f>
        <v/>
      </c>
      <c r="D28" s="25">
        <f>SUMIFS('Asset Register'!$J$2:$J$109,'Asset Register'!$E$2:$E$109,$A28,'Asset Register'!$D$2:$D$109,$B28)</f>
        <v/>
      </c>
      <c r="E28" s="27">
        <f>SUMIFS('Asset Register'!$U$2:$U$109,'Asset Register'!$E$2:$E$109,$A28,'Asset Register'!$D$2:$D$109,$B28)</f>
        <v/>
      </c>
      <c r="F28" s="27">
        <f>IFERROR(SUMIFS('Asset Register'!$U$2:$U$109,'Asset Register'!$E$2:$E$109,$A28,'Asset Register'!$D$2:$D$109,$B28)*10000000/SUMIFS('Asset Register'!$I$2:$I$109,'Asset Register'!$E$2:$E$109,$A28,'Asset Register'!$D$2:$D$109,$B28),"")</f>
        <v/>
      </c>
      <c r="G28" s="25">
        <f>IFERROR(AVERAGEIFS('Asset Register'!$N$2:$N$109,'Asset Register'!$E$2:$E$109,$A28,'Asset Register'!$D$2:$D$109,$B28),"")</f>
        <v/>
      </c>
      <c r="H28" s="25">
        <f>IFERROR(AVERAGEIFS('Asset Register'!$O$2:$O$109,'Asset Register'!$E$2:$E$109,$A28,'Asset Register'!$D$2:$D$109,$B28),"")</f>
        <v/>
      </c>
      <c r="I28" s="26">
        <f>IFERROR(AVERAGEIFS('Asset Register'!$P$2:$P$109,'Asset Register'!$E$2:$E$109,$A28,'Asset Register'!$D$2:$D$109,$B28),"")</f>
        <v/>
      </c>
      <c r="J28" s="26">
        <f>IFERROR(AVERAGEIFS('Asset Register'!$S$2:$S$109,'Asset Register'!$E$2:$E$109,$A28,'Asset Register'!$D$2:$D$109,$B28),"")</f>
        <v/>
      </c>
    </row>
    <row r="29" ht="15" customHeight="1" s="18">
      <c r="A29" s="20" t="inlineStr">
        <is>
          <t>New Delhi</t>
        </is>
      </c>
      <c r="B29" s="20" t="inlineStr">
        <is>
          <t>Retail</t>
        </is>
      </c>
      <c r="C29" s="24">
        <f>COUNTIFS('Asset Register'!$E$2:$E$109,$A29,'Asset Register'!$D$2:$D$109,$B29)</f>
        <v/>
      </c>
      <c r="D29" s="25">
        <f>SUMIFS('Asset Register'!$J$2:$J$109,'Asset Register'!$E$2:$E$109,$A29,'Asset Register'!$D$2:$D$109,$B29)</f>
        <v/>
      </c>
      <c r="E29" s="27">
        <f>SUMIFS('Asset Register'!$U$2:$U$109,'Asset Register'!$E$2:$E$109,$A29,'Asset Register'!$D$2:$D$109,$B29)</f>
        <v/>
      </c>
      <c r="F29" s="27">
        <f>IFERROR(SUMIFS('Asset Register'!$U$2:$U$109,'Asset Register'!$E$2:$E$109,$A29,'Asset Register'!$D$2:$D$109,$B29)*10000000/SUMIFS('Asset Register'!$I$2:$I$109,'Asset Register'!$E$2:$E$109,$A29,'Asset Register'!$D$2:$D$109,$B29),"")</f>
        <v/>
      </c>
      <c r="G29" s="25">
        <f>IFERROR(AVERAGEIFS('Asset Register'!$N$2:$N$109,'Asset Register'!$E$2:$E$109,$A29,'Asset Register'!$D$2:$D$109,$B29),"")</f>
        <v/>
      </c>
      <c r="H29" s="25">
        <f>IFERROR(AVERAGEIFS('Asset Register'!$O$2:$O$109,'Asset Register'!$E$2:$E$109,$A29,'Asset Register'!$D$2:$D$109,$B29),"")</f>
        <v/>
      </c>
      <c r="I29" s="26">
        <f>IFERROR(AVERAGEIFS('Asset Register'!$P$2:$P$109,'Asset Register'!$E$2:$E$109,$A29,'Asset Register'!$D$2:$D$109,$B29),"")</f>
        <v/>
      </c>
      <c r="J29" s="26">
        <f>IFERROR(AVERAGEIFS('Asset Register'!$S$2:$S$109,'Asset Register'!$E$2:$E$109,$A29,'Asset Register'!$D$2:$D$109,$B29),"")</f>
        <v/>
      </c>
    </row>
    <row r="30" ht="15" customHeight="1" s="18">
      <c r="A30" s="20" t="inlineStr">
        <is>
          <t>Noida</t>
        </is>
      </c>
      <c r="B30" s="20" t="inlineStr">
        <is>
          <t>Office</t>
        </is>
      </c>
      <c r="C30" s="24">
        <f>COUNTIFS('Asset Register'!$E$2:$E$109,$A30,'Asset Register'!$D$2:$D$109,$B30)</f>
        <v/>
      </c>
      <c r="D30" s="25">
        <f>SUMIFS('Asset Register'!$J$2:$J$109,'Asset Register'!$E$2:$E$109,$A30,'Asset Register'!$D$2:$D$109,$B30)</f>
        <v/>
      </c>
      <c r="E30" s="27">
        <f>SUMIFS('Asset Register'!$U$2:$U$109,'Asset Register'!$E$2:$E$109,$A30,'Asset Register'!$D$2:$D$109,$B30)</f>
        <v/>
      </c>
      <c r="F30" s="27">
        <f>IFERROR(SUMIFS('Asset Register'!$U$2:$U$109,'Asset Register'!$E$2:$E$109,$A30,'Asset Register'!$D$2:$D$109,$B30)*10000000/SUMIFS('Asset Register'!$I$2:$I$109,'Asset Register'!$E$2:$E$109,$A30,'Asset Register'!$D$2:$D$109,$B30),"")</f>
        <v/>
      </c>
      <c r="G30" s="25">
        <f>IFERROR(AVERAGEIFS('Asset Register'!$N$2:$N$109,'Asset Register'!$E$2:$E$109,$A30,'Asset Register'!$D$2:$D$109,$B30),"")</f>
        <v/>
      </c>
      <c r="H30" s="25">
        <f>IFERROR(AVERAGEIFS('Asset Register'!$O$2:$O$109,'Asset Register'!$E$2:$E$109,$A30,'Asset Register'!$D$2:$D$109,$B30),"")</f>
        <v/>
      </c>
      <c r="I30" s="26">
        <f>IFERROR(AVERAGEIFS('Asset Register'!$P$2:$P$109,'Asset Register'!$E$2:$E$109,$A30,'Asset Register'!$D$2:$D$109,$B30),"")</f>
        <v/>
      </c>
      <c r="J30" s="26">
        <f>IFERROR(AVERAGEIFS('Asset Register'!$S$2:$S$109,'Asset Register'!$E$2:$E$109,$A30,'Asset Register'!$D$2:$D$109,$B30),"")</f>
        <v/>
      </c>
    </row>
    <row r="31" ht="15" customHeight="1" s="18">
      <c r="A31" s="20" t="inlineStr">
        <is>
          <t>Pune</t>
        </is>
      </c>
      <c r="B31" s="20" t="inlineStr">
        <is>
          <t>Office</t>
        </is>
      </c>
      <c r="C31" s="24">
        <f>COUNTIFS('Asset Register'!$E$2:$E$109,$A31,'Asset Register'!$D$2:$D$109,$B31)</f>
        <v/>
      </c>
      <c r="D31" s="25">
        <f>SUMIFS('Asset Register'!$J$2:$J$109,'Asset Register'!$E$2:$E$109,$A31,'Asset Register'!$D$2:$D$109,$B31)</f>
        <v/>
      </c>
      <c r="E31" s="27">
        <f>SUMIFS('Asset Register'!$U$2:$U$109,'Asset Register'!$E$2:$E$109,$A31,'Asset Register'!$D$2:$D$109,$B31)</f>
        <v/>
      </c>
      <c r="F31" s="27">
        <f>IFERROR(SUMIFS('Asset Register'!$U$2:$U$109,'Asset Register'!$E$2:$E$109,$A31,'Asset Register'!$D$2:$D$109,$B31)*10000000/SUMIFS('Asset Register'!$I$2:$I$109,'Asset Register'!$E$2:$E$109,$A31,'Asset Register'!$D$2:$D$109,$B31),"")</f>
        <v/>
      </c>
      <c r="G31" s="25">
        <f>IFERROR(AVERAGEIFS('Asset Register'!$N$2:$N$109,'Asset Register'!$E$2:$E$109,$A31,'Asset Register'!$D$2:$D$109,$B31),"")</f>
        <v/>
      </c>
      <c r="H31" s="25">
        <f>IFERROR(AVERAGEIFS('Asset Register'!$O$2:$O$109,'Asset Register'!$E$2:$E$109,$A31,'Asset Register'!$D$2:$D$109,$B31),"")</f>
        <v/>
      </c>
      <c r="I31" s="26">
        <f>IFERROR(AVERAGEIFS('Asset Register'!$P$2:$P$109,'Asset Register'!$E$2:$E$109,$A31,'Asset Register'!$D$2:$D$109,$B31),"")</f>
        <v/>
      </c>
      <c r="J31" s="26">
        <f>IFERROR(AVERAGEIFS('Asset Register'!$S$2:$S$109,'Asset Register'!$E$2:$E$109,$A31,'Asset Register'!$D$2:$D$109,$B31),"")</f>
        <v/>
      </c>
    </row>
    <row r="32" ht="15" customHeight="1" s="18">
      <c r="A32" s="20" t="inlineStr">
        <is>
          <t>Pune</t>
        </is>
      </c>
      <c r="B32" s="20" t="inlineStr">
        <is>
          <t>Retail</t>
        </is>
      </c>
      <c r="C32" s="24">
        <f>COUNTIFS('Asset Register'!$E$2:$E$109,$A32,'Asset Register'!$D$2:$D$109,$B32)</f>
        <v/>
      </c>
      <c r="D32" s="25">
        <f>SUMIFS('Asset Register'!$J$2:$J$109,'Asset Register'!$E$2:$E$109,$A32,'Asset Register'!$D$2:$D$109,$B32)</f>
        <v/>
      </c>
      <c r="E32" s="27">
        <f>SUMIFS('Asset Register'!$U$2:$U$109,'Asset Register'!$E$2:$E$109,$A32,'Asset Register'!$D$2:$D$109,$B32)</f>
        <v/>
      </c>
      <c r="F32" s="27">
        <f>IFERROR(SUMIFS('Asset Register'!$U$2:$U$109,'Asset Register'!$E$2:$E$109,$A32,'Asset Register'!$D$2:$D$109,$B32)*10000000/SUMIFS('Asset Register'!$I$2:$I$109,'Asset Register'!$E$2:$E$109,$A32,'Asset Register'!$D$2:$D$109,$B32),"")</f>
        <v/>
      </c>
      <c r="G32" s="25">
        <f>IFERROR(AVERAGEIFS('Asset Register'!$N$2:$N$109,'Asset Register'!$E$2:$E$109,$A32,'Asset Register'!$D$2:$D$109,$B32),"")</f>
        <v/>
      </c>
      <c r="H32" s="25">
        <f>IFERROR(AVERAGEIFS('Asset Register'!$O$2:$O$109,'Asset Register'!$E$2:$E$109,$A32,'Asset Register'!$D$2:$D$109,$B32),"")</f>
        <v/>
      </c>
      <c r="I32" s="26">
        <f>IFERROR(AVERAGEIFS('Asset Register'!$P$2:$P$109,'Asset Register'!$E$2:$E$109,$A32,'Asset Register'!$D$2:$D$109,$B32),"")</f>
        <v/>
      </c>
      <c r="J32" s="26">
        <f>IFERROR(AVERAGEIFS('Asset Register'!$S$2:$S$109,'Asset Register'!$E$2:$E$109,$A32,'Asset Register'!$D$2:$D$109,$B32),"")</f>
        <v/>
      </c>
    </row>
    <row r="33" ht="15" customHeight="1" s="18">
      <c r="A33" s="20" t="inlineStr">
        <is>
          <t>Udaipur</t>
        </is>
      </c>
      <c r="B33" s="20" t="inlineStr">
        <is>
          <t>Retail</t>
        </is>
      </c>
      <c r="C33" s="24">
        <f>COUNTIFS('Asset Register'!$E$2:$E$109,$A33,'Asset Register'!$D$2:$D$109,$B33)</f>
        <v/>
      </c>
      <c r="D33" s="25">
        <f>SUMIFS('Asset Register'!$J$2:$J$109,'Asset Register'!$E$2:$E$109,$A33,'Asset Register'!$D$2:$D$109,$B33)</f>
        <v/>
      </c>
      <c r="E33" s="27">
        <f>SUMIFS('Asset Register'!$U$2:$U$109,'Asset Register'!$E$2:$E$109,$A33,'Asset Register'!$D$2:$D$109,$B33)</f>
        <v/>
      </c>
      <c r="F33" s="27">
        <f>IFERROR(SUMIFS('Asset Register'!$U$2:$U$109,'Asset Register'!$E$2:$E$109,$A33,'Asset Register'!$D$2:$D$109,$B33)*10000000/SUMIFS('Asset Register'!$I$2:$I$109,'Asset Register'!$E$2:$E$109,$A33,'Asset Register'!$D$2:$D$109,$B33),"")</f>
        <v/>
      </c>
      <c r="G33" s="25">
        <f>IFERROR(AVERAGEIFS('Asset Register'!$N$2:$N$109,'Asset Register'!$E$2:$E$109,$A33,'Asset Register'!$D$2:$D$109,$B33),"")</f>
        <v/>
      </c>
      <c r="H33" s="25">
        <f>IFERROR(AVERAGEIFS('Asset Register'!$O$2:$O$109,'Asset Register'!$E$2:$E$109,$A33,'Asset Register'!$D$2:$D$109,$B33),"")</f>
        <v/>
      </c>
      <c r="I33" s="26">
        <f>IFERROR(AVERAGEIFS('Asset Register'!$P$2:$P$109,'Asset Register'!$E$2:$E$109,$A33,'Asset Register'!$D$2:$D$109,$B33),"")</f>
        <v/>
      </c>
      <c r="J33" s="26">
        <f>IFERROR(AVERAGEIFS('Asset Register'!$S$2:$S$109,'Asset Register'!$E$2:$E$109,$A33,'Asset Register'!$D$2:$D$109,$B33),"")</f>
        <v/>
      </c>
    </row>
    <row r="34" ht="15" customHeight="1" s="18">
      <c r="A34" s="20" t="inlineStr">
        <is>
          <t>Vijayapura</t>
        </is>
      </c>
      <c r="B34" s="20" t="inlineStr">
        <is>
          <t>Solar</t>
        </is>
      </c>
      <c r="C34" s="24">
        <f>COUNTIFS('Asset Register'!$E$2:$E$109,$A34,'Asset Register'!$D$2:$D$109,$B34)</f>
        <v/>
      </c>
      <c r="D34" s="25">
        <f>SUMIFS('Asset Register'!$J$2:$J$109,'Asset Register'!$E$2:$E$109,$A34,'Asset Register'!$D$2:$D$109,$B34)</f>
        <v/>
      </c>
      <c r="E34" s="27">
        <f>SUMIFS('Asset Register'!$U$2:$U$109,'Asset Register'!$E$2:$E$109,$A34,'Asset Register'!$D$2:$D$109,$B34)</f>
        <v/>
      </c>
      <c r="F34" s="27">
        <f>IFERROR(SUMIFS('Asset Register'!$U$2:$U$109,'Asset Register'!$E$2:$E$109,$A34,'Asset Register'!$D$2:$D$109,$B34)*10000000/SUMIFS('Asset Register'!$I$2:$I$109,'Asset Register'!$E$2:$E$109,$A34,'Asset Register'!$D$2:$D$109,$B34),"")</f>
        <v/>
      </c>
      <c r="G34" s="25">
        <f>IFERROR(AVERAGEIFS('Asset Register'!$N$2:$N$109,'Asset Register'!$E$2:$E$109,$A34,'Asset Register'!$D$2:$D$109,$B34),"")</f>
        <v/>
      </c>
      <c r="H34" s="25">
        <f>IFERROR(AVERAGEIFS('Asset Register'!$O$2:$O$109,'Asset Register'!$E$2:$E$109,$A34,'Asset Register'!$D$2:$D$109,$B34),"")</f>
        <v/>
      </c>
      <c r="I34" s="26">
        <f>IFERROR(AVERAGEIFS('Asset Register'!$P$2:$P$109,'Asset Register'!$E$2:$E$109,$A34,'Asset Register'!$D$2:$D$109,$B34),"")</f>
        <v/>
      </c>
      <c r="J34" s="26">
        <f>IFERROR(AVERAGEIFS('Asset Register'!$S$2:$S$109,'Asset Register'!$E$2:$E$109,$A34,'Asset Register'!$D$2:$D$109,$B34),"")</f>
        <v/>
      </c>
    </row>
  </sheetData>
  <autoFilter ref="A1:J34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0546875" defaultRowHeight="15" customHeight="0" zeroHeight="0" outlineLevelRow="0"/>
  <cols>
    <col width="12" customWidth="1" style="17" min="1" max="1"/>
    <col width="8" customWidth="1" style="17" min="2" max="2"/>
    <col width="12" customWidth="1" style="17" min="3" max="3"/>
    <col width="16" customWidth="1" style="17" min="4" max="4"/>
    <col width="14" customWidth="1" style="17" min="5" max="5"/>
    <col width="12" customWidth="1" style="17" min="6" max="7"/>
    <col width="10" customWidth="1" style="17" min="8" max="8"/>
  </cols>
  <sheetData>
    <row r="1" ht="22.65" customHeight="1" s="18">
      <c r="A1" s="28" t="inlineStr">
        <is>
          <t>REIT</t>
        </is>
      </c>
      <c r="B1" s="28" t="inlineStr">
        <is>
          <t># Assets</t>
        </is>
      </c>
      <c r="C1" s="28" t="inlineStr">
        <is>
          <t>Leasable (msf)</t>
        </is>
      </c>
      <c r="D1" s="28" t="inlineStr">
        <is>
          <t>Portfolio value (INR cr)</t>
        </is>
      </c>
      <c r="E1" s="28" t="inlineStr">
        <is>
          <t>Avg value/sqft (INR)</t>
        </is>
      </c>
      <c r="F1" s="28" t="inlineStr">
        <is>
          <t>Avg market rent</t>
        </is>
      </c>
      <c r="G1" s="28" t="inlineStr">
        <is>
          <t>Avg in-place rent</t>
        </is>
      </c>
      <c r="H1" s="28" t="inlineStr">
        <is>
          <t>Avg cap rate</t>
        </is>
      </c>
    </row>
    <row r="2" ht="15" customHeight="1" s="18">
      <c r="A2" s="20" t="inlineStr">
        <is>
          <t>Embassy</t>
        </is>
      </c>
      <c r="B2" s="24">
        <f>COUNTIFS('Asset Register'!$A$2:$A$109,$A2)</f>
        <v/>
      </c>
      <c r="C2" s="25">
        <f>SUMIFS('Asset Register'!$J$2:$J$109,'Asset Register'!$A$2:$A$109,$A2)</f>
        <v/>
      </c>
      <c r="D2" s="27">
        <f>SUMIFS('Asset Register'!$U$2:$U$109,'Asset Register'!$A$2:$A$109,$A2)</f>
        <v/>
      </c>
      <c r="E2" s="27">
        <f>IFERROR(SUMIFS('Asset Register'!$U$2:$U$109,'Asset Register'!$A$2:$A$109,$A2)*10000000/SUMIFS('Asset Register'!$I$2:$I$109,'Asset Register'!$A$2:$A$109,$A2),"")</f>
        <v/>
      </c>
      <c r="F2" s="25">
        <f>IFERROR(AVERAGEIFS('Asset Register'!$N$2:$N$109,'Asset Register'!$A$2:$A$109,$A2),"")</f>
        <v/>
      </c>
      <c r="G2" s="25">
        <f>IFERROR(AVERAGEIFS('Asset Register'!$O$2:$O$109,'Asset Register'!$A$2:$A$109,$A2),"")</f>
        <v/>
      </c>
      <c r="H2" s="26">
        <f>IFERROR(AVERAGEIFS('Asset Register'!$S$2:$S$109,'Asset Register'!$A$2:$A$109,$A2),"")</f>
        <v/>
      </c>
    </row>
    <row r="3" ht="15" customHeight="1" s="18">
      <c r="A3" s="20" t="inlineStr">
        <is>
          <t>Mindspace</t>
        </is>
      </c>
      <c r="B3" s="24">
        <f>COUNTIFS('Asset Register'!$A$2:$A$109,$A3)</f>
        <v/>
      </c>
      <c r="C3" s="25">
        <f>SUMIFS('Asset Register'!$J$2:$J$109,'Asset Register'!$A$2:$A$109,$A3)</f>
        <v/>
      </c>
      <c r="D3" s="27">
        <f>SUMIFS('Asset Register'!$U$2:$U$109,'Asset Register'!$A$2:$A$109,$A3)</f>
        <v/>
      </c>
      <c r="E3" s="27">
        <f>IFERROR(SUMIFS('Asset Register'!$U$2:$U$109,'Asset Register'!$A$2:$A$109,$A3)*10000000/SUMIFS('Asset Register'!$I$2:$I$109,'Asset Register'!$A$2:$A$109,$A3),"")</f>
        <v/>
      </c>
      <c r="F3" s="25">
        <f>IFERROR(AVERAGEIFS('Asset Register'!$N$2:$N$109,'Asset Register'!$A$2:$A$109,$A3),"")</f>
        <v/>
      </c>
      <c r="G3" s="25">
        <f>IFERROR(AVERAGEIFS('Asset Register'!$O$2:$O$109,'Asset Register'!$A$2:$A$109,$A3),"")</f>
        <v/>
      </c>
      <c r="H3" s="26">
        <f>IFERROR(AVERAGEIFS('Asset Register'!$S$2:$S$109,'Asset Register'!$A$2:$A$109,$A3),"")</f>
        <v/>
      </c>
    </row>
    <row r="4" ht="15" customHeight="1" s="18">
      <c r="A4" s="20" t="inlineStr">
        <is>
          <t>Brookfield</t>
        </is>
      </c>
      <c r="B4" s="24">
        <f>COUNTIFS('Asset Register'!$A$2:$A$109,$A4)</f>
        <v/>
      </c>
      <c r="C4" s="25">
        <f>SUMIFS('Asset Register'!$J$2:$J$109,'Asset Register'!$A$2:$A$109,$A4)</f>
        <v/>
      </c>
      <c r="D4" s="27">
        <f>SUMIFS('Asset Register'!$U$2:$U$109,'Asset Register'!$A$2:$A$109,$A4)</f>
        <v/>
      </c>
      <c r="E4" s="27">
        <f>IFERROR(SUMIFS('Asset Register'!$U$2:$U$109,'Asset Register'!$A$2:$A$109,$A4)*10000000/SUMIFS('Asset Register'!$I$2:$I$109,'Asset Register'!$A$2:$A$109,$A4),"")</f>
        <v/>
      </c>
      <c r="F4" s="25">
        <f>IFERROR(AVERAGEIFS('Asset Register'!$N$2:$N$109,'Asset Register'!$A$2:$A$109,$A4),"")</f>
        <v/>
      </c>
      <c r="G4" s="25">
        <f>IFERROR(AVERAGEIFS('Asset Register'!$O$2:$O$109,'Asset Register'!$A$2:$A$109,$A4),"")</f>
        <v/>
      </c>
      <c r="H4" s="26">
        <f>IFERROR(AVERAGEIFS('Asset Register'!$S$2:$S$109,'Asset Register'!$A$2:$A$109,$A4),"")</f>
        <v/>
      </c>
    </row>
    <row r="5" ht="15" customHeight="1" s="18">
      <c r="A5" s="20" t="inlineStr">
        <is>
          <t>Nexus</t>
        </is>
      </c>
      <c r="B5" s="24">
        <f>COUNTIFS('Asset Register'!$A$2:$A$109,$A5)</f>
        <v/>
      </c>
      <c r="C5" s="25">
        <f>SUMIFS('Asset Register'!$J$2:$J$109,'Asset Register'!$A$2:$A$109,$A5)</f>
        <v/>
      </c>
      <c r="D5" s="27">
        <f>SUMIFS('Asset Register'!$U$2:$U$109,'Asset Register'!$A$2:$A$109,$A5)</f>
        <v/>
      </c>
      <c r="E5" s="27">
        <f>IFERROR(SUMIFS('Asset Register'!$U$2:$U$109,'Asset Register'!$A$2:$A$109,$A5)*10000000/SUMIFS('Asset Register'!$I$2:$I$109,'Asset Register'!$A$2:$A$109,$A5),"")</f>
        <v/>
      </c>
      <c r="F5" s="25">
        <f>IFERROR(AVERAGEIFS('Asset Register'!$N$2:$N$109,'Asset Register'!$A$2:$A$109,$A5),"")</f>
        <v/>
      </c>
      <c r="G5" s="25">
        <f>IFERROR(AVERAGEIFS('Asset Register'!$O$2:$O$109,'Asset Register'!$A$2:$A$109,$A5),"")</f>
        <v/>
      </c>
      <c r="H5" s="26">
        <f>IFERROR(AVERAGEIFS('Asset Register'!$S$2:$S$109,'Asset Register'!$A$2:$A$109,$A5),"")</f>
        <v/>
      </c>
    </row>
    <row r="6" ht="15" customHeight="1" s="18">
      <c r="A6" s="20" t="inlineStr">
        <is>
          <t>KRT</t>
        </is>
      </c>
      <c r="B6" s="24">
        <f>COUNTIFS('Asset Register'!$A$2:$A$109,$A6)</f>
        <v/>
      </c>
      <c r="C6" s="25">
        <f>SUMIFS('Asset Register'!$J$2:$J$109,'Asset Register'!$A$2:$A$109,$A6)</f>
        <v/>
      </c>
      <c r="D6" s="27">
        <f>SUMIFS('Asset Register'!$U$2:$U$109,'Asset Register'!$A$2:$A$109,$A6)</f>
        <v/>
      </c>
      <c r="E6" s="27">
        <f>IFERROR(SUMIFS('Asset Register'!$U$2:$U$109,'Asset Register'!$A$2:$A$109,$A6)*10000000/SUMIFS('Asset Register'!$I$2:$I$109,'Asset Register'!$A$2:$A$109,$A6),"")</f>
        <v/>
      </c>
      <c r="F6" s="25">
        <f>IFERROR(AVERAGEIFS('Asset Register'!$N$2:$N$109,'Asset Register'!$A$2:$A$109,$A6),"")</f>
        <v/>
      </c>
      <c r="G6" s="25">
        <f>IFERROR(AVERAGEIFS('Asset Register'!$O$2:$O$109,'Asset Register'!$A$2:$A$109,$A6),"")</f>
        <v/>
      </c>
      <c r="H6" s="26">
        <f>IFERROR(AVERAGEIFS('Asset Register'!$S$2:$S$109,'Asset Register'!$A$2:$A$109,$A6),"")</f>
        <v/>
      </c>
    </row>
    <row r="7" ht="15" customHeight="1" s="18">
      <c r="A7" s="20" t="inlineStr">
        <is>
          <t>Bagmane</t>
        </is>
      </c>
      <c r="B7" s="24">
        <f>COUNTIFS('Asset Register'!$A$2:$A$109,$A7)</f>
        <v/>
      </c>
      <c r="C7" s="25">
        <f>SUMIFS('Asset Register'!$J$2:$J$109,'Asset Register'!$A$2:$A$109,$A7)</f>
        <v/>
      </c>
      <c r="D7" s="27">
        <f>SUMIFS('Asset Register'!$U$2:$U$109,'Asset Register'!$A$2:$A$109,$A7)</f>
        <v/>
      </c>
      <c r="E7" s="27">
        <f>IFERROR(SUMIFS('Asset Register'!$U$2:$U$109,'Asset Register'!$A$2:$A$109,$A7)*10000000/SUMIFS('Asset Register'!$I$2:$I$109,'Asset Register'!$A$2:$A$109,$A7),"")</f>
        <v/>
      </c>
      <c r="F7" s="25">
        <f>IFERROR(AVERAGEIFS('Asset Register'!$N$2:$N$109,'Asset Register'!$A$2:$A$109,$A7),"")</f>
        <v/>
      </c>
      <c r="G7" s="25">
        <f>IFERROR(AVERAGEIFS('Asset Register'!$O$2:$O$109,'Asset Register'!$A$2:$A$109,$A7),"")</f>
        <v/>
      </c>
      <c r="H7" s="26">
        <f>IFERROR(AVERAGEIFS('Asset Register'!$S$2:$S$109,'Asset Register'!$A$2:$A$109,$A7),"")</f>
        <v/>
      </c>
    </row>
    <row r="8" ht="15" customHeight="1" s="18">
      <c r="A8" s="29" t="inlineStr">
        <is>
          <t>TOTAL</t>
        </is>
      </c>
      <c r="B8" s="24">
        <f>SUM(B2:B7)</f>
        <v/>
      </c>
      <c r="C8" s="25">
        <f>SUM(C2:C7)</f>
        <v/>
      </c>
      <c r="D8" s="27">
        <f>SUM(D2:D7)</f>
        <v/>
      </c>
      <c r="E8" s="27" t="n"/>
      <c r="F8" s="25" t="n"/>
      <c r="G8" s="25" t="n"/>
      <c r="H8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X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0546875" defaultRowHeight="15" customHeight="0" zeroHeight="0" outlineLevelRow="0"/>
  <cols>
    <col width="30" customWidth="1" style="17" min="1" max="1"/>
    <col width="26" customWidth="1" style="17" min="2" max="2"/>
    <col width="9" customWidth="1" style="17" min="3" max="3"/>
    <col width="13" customWidth="1" style="17" min="4" max="4"/>
    <col width="22" customWidth="1" style="17" min="5" max="5"/>
    <col width="24" customWidth="1" style="17" min="6" max="6"/>
    <col width="30" customWidth="1" style="17" min="7" max="7"/>
    <col width="12" customWidth="1" style="17" min="8" max="8"/>
    <col width="11" customWidth="1" style="17" min="9" max="10"/>
    <col width="10" customWidth="1" style="17" min="11" max="12"/>
    <col width="12" customWidth="1" style="17" min="13" max="14"/>
    <col width="11" customWidth="1" style="17" min="15" max="15"/>
    <col width="9" customWidth="1" style="17" min="16" max="16"/>
    <col width="8" customWidth="1" style="17" min="17" max="18"/>
    <col width="9" customWidth="1" style="17" min="19" max="19"/>
    <col width="13" customWidth="1" style="17" min="20" max="20"/>
    <col width="12" customWidth="1" style="17" min="21" max="21"/>
    <col width="30" customWidth="1" style="17" min="22" max="22"/>
    <col width="26" customWidth="1" style="17" min="23" max="23"/>
    <col width="46" customWidth="1" style="17" min="24" max="24"/>
  </cols>
  <sheetData>
    <row r="1" ht="15" customHeight="1" s="18">
      <c r="A1" s="30" t="inlineStr">
        <is>
          <t>Embassy - Asset-level detail  (valuation 31 Mar 2026;  16 assets)</t>
        </is>
      </c>
    </row>
    <row r="3" ht="30" customHeight="1" s="18">
      <c r="A3" s="19" t="inlineStr">
        <is>
          <t>SPV / Holding entity</t>
        </is>
      </c>
      <c r="B3" s="19" t="inlineStr">
        <is>
          <t>Property / Asset</t>
        </is>
      </c>
      <c r="C3" s="19" t="inlineStr">
        <is>
          <t>Type</t>
        </is>
      </c>
      <c r="D3" s="19" t="inlineStr">
        <is>
          <t>City</t>
        </is>
      </c>
      <c r="E3" s="19" t="inlineStr">
        <is>
          <t>Locality / Area</t>
        </is>
      </c>
      <c r="F3" s="19" t="inlineStr">
        <is>
          <t>Micro-market (valuer)</t>
        </is>
      </c>
      <c r="G3" s="19" t="inlineStr">
        <is>
          <t>Address</t>
        </is>
      </c>
      <c r="H3" s="19" t="inlineStr">
        <is>
          <t>Leasable (sq ft)</t>
        </is>
      </c>
      <c r="I3" s="19" t="inlineStr">
        <is>
          <t>Leasable (msf)</t>
        </is>
      </c>
      <c r="J3" s="19" t="inlineStr">
        <is>
          <t>Completed (msf)</t>
        </is>
      </c>
      <c r="K3" s="19" t="inlineStr">
        <is>
          <t>Committed occ.</t>
        </is>
      </c>
      <c r="L3" s="19" t="inlineStr">
        <is>
          <t>In-place occ.</t>
        </is>
      </c>
      <c r="M3" s="19" t="inlineStr">
        <is>
          <t>Market rent /sqft/mo</t>
        </is>
      </c>
      <c r="N3" s="19" t="inlineStr">
        <is>
          <t>In-place rent /sqft/mo</t>
        </is>
      </c>
      <c r="O3" s="19" t="inlineStr">
        <is>
          <t>Rent reversion</t>
        </is>
      </c>
      <c r="P3" s="19" t="inlineStr">
        <is>
          <t>WALE (yrs)</t>
        </is>
      </c>
      <c r="Q3" s="19" t="inlineStr">
        <is>
          <t>Tenants</t>
        </is>
      </c>
      <c r="R3" s="19" t="inlineStr">
        <is>
          <t>Cap rate</t>
        </is>
      </c>
      <c r="S3" s="19" t="inlineStr">
        <is>
          <t>Discount rate</t>
        </is>
      </c>
      <c r="T3" s="19" t="inlineStr">
        <is>
          <t>Market value (INR cr)</t>
        </is>
      </c>
      <c r="U3" s="19" t="inlineStr">
        <is>
          <t>Value/sqft (INR)</t>
        </is>
      </c>
      <c r="V3" s="19" t="inlineStr">
        <is>
          <t>Mgmt fee (valuation DCF)</t>
        </is>
      </c>
      <c r="W3" s="19" t="inlineStr">
        <is>
          <t>Insurance (valuation DCF)</t>
        </is>
      </c>
      <c r="X3" s="19" t="inlineStr">
        <is>
          <t>Notes / source</t>
        </is>
      </c>
    </row>
    <row r="4" ht="97.3" customHeight="1" s="18">
      <c r="A4" s="21" t="inlineStr">
        <is>
          <t>Manyata Promoters Private Limited (MPPL)</t>
        </is>
      </c>
      <c r="B4" s="22" t="inlineStr">
        <is>
          <t>Embassy Manyata</t>
        </is>
      </c>
      <c r="C4" s="20" t="inlineStr">
        <is>
          <t>Office</t>
        </is>
      </c>
      <c r="D4" s="20" t="inlineStr">
        <is>
          <t>Bengaluru</t>
        </is>
      </c>
      <c r="E4" s="21" t="inlineStr">
        <is>
          <t>Nagawara / Hebbal</t>
        </is>
      </c>
      <c r="F4" s="21" t="inlineStr">
        <is>
          <t>Peripheral North (Outer Ring Road / Hebbal stretch)</t>
        </is>
      </c>
      <c r="G4" s="23" t="inlineStr">
        <is>
          <t>Along Outer Ring Road, Nagawara, Bengaluru, Karnataka; land approx. 119.15 acres</t>
        </is>
      </c>
      <c r="H4" s="24" t="n">
        <v>17200000</v>
      </c>
      <c r="I4" s="25" t="n">
        <v>17.2</v>
      </c>
      <c r="J4" s="25" t="n">
        <v>14.6</v>
      </c>
      <c r="K4" s="26" t="n"/>
      <c r="L4" s="26" t="n">
        <v>0.9399999999999999</v>
      </c>
      <c r="M4" s="25" t="n">
        <v>105</v>
      </c>
      <c r="N4" s="25" t="n">
        <v>95</v>
      </c>
      <c r="O4" s="26">
        <f>IF(OR(M4="",N4="",N4=0),"",M4/N4-1)</f>
        <v/>
      </c>
      <c r="P4" s="25" t="n">
        <v>8.800000000000001</v>
      </c>
      <c r="Q4" s="24" t="n"/>
      <c r="R4" s="26" t="n">
        <v>0.08</v>
      </c>
      <c r="S4" s="26" t="n">
        <v>0.12</v>
      </c>
      <c r="T4" s="27" t="n">
        <v>27868.9</v>
      </c>
      <c r="U4" s="27">
        <f>IF(OR(T4="",H4="",H4=0),"",T4*10000000/H4)</f>
        <v/>
      </c>
      <c r="V4" s="23" t="inlineStr">
        <is>
          <t>Property Management Fees = 3% of Total Income (lease rentals, parking, fitout, other operating income)</t>
        </is>
      </c>
      <c r="W4" s="23" t="inlineStr">
        <is>
          <t>INR 0.3/sqft/mo; property tax &amp; insurance escalated 3% p.a.</t>
        </is>
      </c>
      <c r="X4" s="23" t="inlineStr">
        <is>
          <t>Mixed-use: completed office 14.6 msf + UC/proposed office 2.6 msf + Hotel (5-star 266 keys, 3-star 353 keys). Value split: completed 242,591 + UC/proposed 17,026 + hotel 19,072. Cap rate 8% office/retail, 7.14% hospitality; discount rate 11.5% operational office, 12.75% UC, 11.90% hospitality (reported field uses office cap 8% / operational discount ~11.5-12.75, rounded to 12). Retail mkt rent 105, anchor 94.5. Blocks M3A/M3B on leasehold land from EPDPL. Source lines ~9433-10476, value summary L4237.</t>
        </is>
      </c>
    </row>
    <row r="5" ht="76" customHeight="1" s="18">
      <c r="A5" s="21" t="inlineStr">
        <is>
          <t>Vikas Telecom Private Limited (VTPL) &amp; Sarla Infrastructure Private Limited (SIPL)</t>
        </is>
      </c>
      <c r="B5" s="22" t="inlineStr">
        <is>
          <t>Embassy TechVillage</t>
        </is>
      </c>
      <c r="C5" s="20" t="inlineStr">
        <is>
          <t>Office</t>
        </is>
      </c>
      <c r="D5" s="20" t="inlineStr">
        <is>
          <t>Bengaluru</t>
        </is>
      </c>
      <c r="E5" s="21" t="inlineStr">
        <is>
          <t>Bellandur</t>
        </is>
      </c>
      <c r="F5" s="21" t="inlineStr">
        <is>
          <t>Outer Ring Road (Sarjapura-Marathahalli), Bellandur-Marathahalli</t>
        </is>
      </c>
      <c r="G5" s="23" t="inlineStr">
        <is>
          <t>Devarabeesanahalli Village &amp; Kariyamanna Agrahara Village, Varthur Hobli, Bengaluru East Taluk, Karnataka; land approx. 84.05 acres under purview</t>
        </is>
      </c>
      <c r="H5" s="24" t="n">
        <v>9700000</v>
      </c>
      <c r="I5" s="25" t="n">
        <v>9.699999999999999</v>
      </c>
      <c r="J5" s="25" t="n">
        <v>9.199999999999999</v>
      </c>
      <c r="K5" s="26" t="n"/>
      <c r="L5" s="26" t="n">
        <v>0.95</v>
      </c>
      <c r="M5" s="25" t="n">
        <v>105</v>
      </c>
      <c r="N5" s="25" t="n">
        <v>90</v>
      </c>
      <c r="O5" s="26">
        <f>IF(OR(M5="",N5="",N5=0),"",M5/N5-1)</f>
        <v/>
      </c>
      <c r="P5" s="25" t="n">
        <v>9.5</v>
      </c>
      <c r="Q5" s="24" t="n"/>
      <c r="R5" s="26" t="n">
        <v>0.08</v>
      </c>
      <c r="S5" s="26" t="n">
        <v>0.12</v>
      </c>
      <c r="T5" s="27" t="n">
        <v>16624.6</v>
      </c>
      <c r="U5" s="27">
        <f>IF(OR(T5="",H5="",H5=0),"",T5*10000000/H5)</f>
        <v/>
      </c>
      <c r="V5" s="23" t="inlineStr">
        <is>
          <t>Property Management Fees = 3% of Total Income</t>
        </is>
      </c>
      <c r="W5" s="23" t="inlineStr">
        <is>
          <t>INR 0.21/sqft/mo</t>
        </is>
      </c>
      <c r="X5" s="23" t="inlineStr">
        <is>
          <t>Mixed-use: completed office 9.2 msf + UC office 0.4 msf + 2 UC hotels (5-star 311 keys, 3-star 207 keys). Value split: completed 153,974 + UC/proposed 4,258 + hotel 8,014. Cap 8% office/retail, 7.14% hospitality; discount 11.5% operational, 12.75% UC office, 13.25% UC hotel. Retail mkt rent 90. SIPL portion (1.2 msf, Block 9) BTS to JP Morgan. Source lines ~10477-11428.</t>
        </is>
      </c>
    </row>
    <row r="6" ht="108" customHeight="1" s="18">
      <c r="A6" s="21" t="inlineStr">
        <is>
          <t>GolfLinks Software Park Private Limited (GLSP, 50% JV) + Eleanor Realty Holdings India Private Limited (ERHIPL, Pinehurst 100%)</t>
        </is>
      </c>
      <c r="B6" s="22" t="inlineStr">
        <is>
          <t>Embassy GolfLinks (incl. Pinehurst)</t>
        </is>
      </c>
      <c r="C6" s="20" t="inlineStr">
        <is>
          <t>Office</t>
        </is>
      </c>
      <c r="D6" s="20" t="inlineStr">
        <is>
          <t>Bengaluru</t>
        </is>
      </c>
      <c r="E6" s="21" t="inlineStr">
        <is>
          <t>Domlur</t>
        </is>
      </c>
      <c r="F6" s="21" t="inlineStr">
        <is>
          <t>Suburban East (Intermediate Ring Road, near CBD)</t>
        </is>
      </c>
      <c r="G6" s="23" t="inlineStr">
        <is>
          <t>Challaghatta Village, Varthur Hobli, Mahadevapura, Bengaluru East Taluk 560071; land approx. 37.1 acres</t>
        </is>
      </c>
      <c r="H6" s="24" t="n">
        <v>3400000</v>
      </c>
      <c r="I6" s="25" t="n">
        <v>3.4</v>
      </c>
      <c r="J6" s="25" t="n">
        <v>3.4</v>
      </c>
      <c r="K6" s="26" t="n"/>
      <c r="L6" s="26" t="n">
        <v>1</v>
      </c>
      <c r="M6" s="25" t="n">
        <v>170</v>
      </c>
      <c r="N6" s="25" t="n">
        <v>160</v>
      </c>
      <c r="O6" s="26">
        <f>IF(OR(M6="",N6="",N6=0),"",M6/N6-1)</f>
        <v/>
      </c>
      <c r="P6" s="25" t="n">
        <v>10</v>
      </c>
      <c r="Q6" s="24" t="n"/>
      <c r="R6" s="26" t="n">
        <v>0.08</v>
      </c>
      <c r="S6" s="26" t="n">
        <v>0.12</v>
      </c>
      <c r="T6" s="27" t="n">
        <v>5129.8</v>
      </c>
      <c r="U6" s="27">
        <f>IF(OR(T6="",H6="",H6=0),"",T6*10000000/H6)</f>
        <v/>
      </c>
      <c r="V6" s="23" t="inlineStr">
        <is>
          <t>Property Management Fees = 3% of Total Income (both GolfLinks and Pinehurst)</t>
        </is>
      </c>
      <c r="W6" s="23" t="inlineStr">
        <is>
          <t>GolfLinks INR 0.3/sqft/mo; Pinehurst INR 0.5/sqft/mo</t>
        </is>
      </c>
      <c r="X6" s="23" t="inlineStr">
        <is>
          <t>100% property value = GolfLinks 84,937 + Pinehurst 8,829 = 93,766; REIT economic interest = 50% of GolfLinks + 100% Pinehurst = 51,298 (this is the share-of-total value shown in the portfolio summary). Cap 7.75% office/retail; discount 11.5% operational. Pinehurst (0.3 msf) acquired via 100% Eleanor Realty stake Q3 FY2026: mkt rent 180, in-place 167 (192 as of 1-Apr-2026). GolfLinks office mkt rent 170, in-place 160; retail mkt rent 55. cap_rate field records 7.75 rounded to 8. Source lines ~11429-12099; summary L4288.</t>
        </is>
      </c>
    </row>
    <row r="7" ht="86.65000000000001" customHeight="1" s="18">
      <c r="A7" s="21" t="inlineStr">
        <is>
          <t>Quadron Business Park Private Limited (QBPL)</t>
        </is>
      </c>
      <c r="B7" s="22" t="inlineStr">
        <is>
          <t>Embassy One</t>
        </is>
      </c>
      <c r="C7" s="20" t="inlineStr">
        <is>
          <t>Office</t>
        </is>
      </c>
      <c r="D7" s="20" t="inlineStr">
        <is>
          <t>Bengaluru</t>
        </is>
      </c>
      <c r="E7" s="21" t="inlineStr">
        <is>
          <t>Bellary Road (Mekhri Circle)</t>
        </is>
      </c>
      <c r="F7" s="21" t="inlineStr">
        <is>
          <t>Peripheral North (between Hebbal and off-CBD)</t>
        </is>
      </c>
      <c r="G7" s="23" t="inlineStr">
        <is>
          <t>Embassy One, Bellary Road, Ganga Nagar, Bengaluru, Karnataka; land approx. 5.6 acres (3.2 acres under valuation scope)</t>
        </is>
      </c>
      <c r="H7" s="24" t="n">
        <v>300000</v>
      </c>
      <c r="I7" s="25" t="n">
        <v>0.3</v>
      </c>
      <c r="J7" s="25" t="n">
        <v>0.3</v>
      </c>
      <c r="K7" s="26" t="n"/>
      <c r="L7" s="26" t="n">
        <v>1</v>
      </c>
      <c r="M7" s="25" t="n">
        <v>151</v>
      </c>
      <c r="N7" s="25" t="n">
        <v>151</v>
      </c>
      <c r="O7" s="26">
        <f>IF(OR(M7="",N7="",N7=0),"",M7/N7-1)</f>
        <v/>
      </c>
      <c r="P7" s="25" t="n">
        <v>7.6</v>
      </c>
      <c r="Q7" s="24" t="n"/>
      <c r="R7" s="26" t="n">
        <v>0.08</v>
      </c>
      <c r="S7" s="26" t="n">
        <v>0.12</v>
      </c>
      <c r="T7" s="27" t="n">
        <v>1572</v>
      </c>
      <c r="U7" s="27">
        <f>IF(OR(T7="",H7="",H7=0),"",T7*10000000/H7)</f>
        <v/>
      </c>
      <c r="V7" s="23" t="inlineStr">
        <is>
          <t>Property Management Fees = 3% of Total Income</t>
        </is>
      </c>
      <c r="W7" s="23" t="inlineStr">
        <is>
          <t>INR 0.4/sqft/mo</t>
        </is>
      </c>
      <c r="X7" s="23" t="inlineStr">
        <is>
          <t>Mixed-use: completed office 0.3 msf (Pinnacle tower) + Four Seasons hotel 230 keys (5-star). Value split: office 5,902 + hotel 9,818 = 15,720. Cap 7.75% office, 7.14% hospitality (recorded 8, rounded); discount 11.5% operational, 11.90% hospitality. Office mkt rent = in-place 151 (incl. car park). Residential apartments excluded. Vacancy provision 5%. SPV Quadron Business Park Pvt Ltd (same SPV that owns Embassy Quadron Pune). Source lines ~12100-12800.</t>
        </is>
      </c>
    </row>
    <row r="8" ht="97.3" customHeight="1" s="18">
      <c r="A8" s="21" t="inlineStr">
        <is>
          <t>Embassy Construction Private Limited (ECPL)</t>
        </is>
      </c>
      <c r="B8" s="22" t="inlineStr">
        <is>
          <t>Embassy Business Hub</t>
        </is>
      </c>
      <c r="C8" s="20" t="inlineStr">
        <is>
          <t>Office</t>
        </is>
      </c>
      <c r="D8" s="20" t="inlineStr">
        <is>
          <t>Bengaluru</t>
        </is>
      </c>
      <c r="E8" s="21" t="inlineStr">
        <is>
          <t>Yelahanka</t>
        </is>
      </c>
      <c r="F8" s="21" t="inlineStr">
        <is>
          <t>Peripheral North / North Bengaluru (Yelahanka-Devanahalli)</t>
        </is>
      </c>
      <c r="G8" s="23" t="inlineStr">
        <is>
          <t>Sy. No. 25/2, 25/3 &amp; 26, Venkatala Village, Bellary Road (NH-44), Yelahanka, Bengaluru North, Karnataka; JDA land approx. 13 acres</t>
        </is>
      </c>
      <c r="H8" s="24" t="n">
        <v>1400000</v>
      </c>
      <c r="I8" s="25" t="n">
        <v>1.4</v>
      </c>
      <c r="J8" s="25" t="n">
        <v>0.4</v>
      </c>
      <c r="K8" s="26" t="n"/>
      <c r="L8" s="26" t="n"/>
      <c r="M8" s="25" t="n">
        <v>69</v>
      </c>
      <c r="N8" s="25" t="n">
        <v>58</v>
      </c>
      <c r="O8" s="26">
        <f>IF(OR(M8="",N8="",N8=0),"",M8/N8-1)</f>
        <v/>
      </c>
      <c r="P8" s="25" t="n"/>
      <c r="Q8" s="24" t="n">
        <v>1</v>
      </c>
      <c r="R8" s="26" t="n">
        <v>0.08</v>
      </c>
      <c r="S8" s="26" t="n">
        <v>0.12</v>
      </c>
      <c r="T8" s="27" t="n">
        <v>722.4</v>
      </c>
      <c r="U8" s="27">
        <f>IF(OR(T8="",H8="",H8=0),"",T8*10000000/H8)</f>
        <v/>
      </c>
      <c r="V8" s="23" t="inlineStr">
        <is>
          <t>Property Management Fees = 3% of Total Income</t>
        </is>
      </c>
      <c r="W8" s="23" t="inlineStr">
        <is>
          <t>INR 0.25/sqft/mo</t>
        </is>
      </c>
      <c r="X8" s="23" t="inlineStr">
        <is>
          <t>REIT share (developer share under JDA) approx. 1.4 msf: Phase I completed 0.4 msf (single tenant Philips India, lease to Nov 2038) + Phase II UC 1.0 msf (completion FY2028). Value split: Phase I 4,652 + Phase II UC 2,572 = 7,224. Cap 8%; discount 11.5% Phase I operational, 12.75% Phase II UC. SPV named from consolidated AR/FS (ECPL) - valuation report showed only JDA ownership, no explicit Entity line. Phase II pending dev cost INR 6,569 Mn. Source lines ~12802-13413; AR L1275/7021.</t>
        </is>
      </c>
    </row>
    <row r="9" ht="54.65" customHeight="1" s="18">
      <c r="A9" s="21" t="inlineStr">
        <is>
          <t>Indian Express Newspapers (Mumbai) Private Limited (IENMPL)</t>
        </is>
      </c>
      <c r="B9" s="22" t="inlineStr">
        <is>
          <t>Express Towers</t>
        </is>
      </c>
      <c r="C9" s="20" t="inlineStr">
        <is>
          <t>Office</t>
        </is>
      </c>
      <c r="D9" s="20" t="inlineStr">
        <is>
          <t>Mumbai</t>
        </is>
      </c>
      <c r="E9" s="21" t="inlineStr">
        <is>
          <t>Nariman Point</t>
        </is>
      </c>
      <c r="F9" s="21" t="inlineStr">
        <is>
          <t>South Mumbai CBD (Nariman Point)</t>
        </is>
      </c>
      <c r="G9" s="23" t="inlineStr">
        <is>
          <t>Plot No. 236, Block III of Backbay Reclamation Estate, Barrister Rajni Patel Marg, Nariman Point, Mumbai; land approx. 1.5 acres (freehold)</t>
        </is>
      </c>
      <c r="H9" s="24" t="n">
        <v>500000</v>
      </c>
      <c r="I9" s="25" t="n">
        <v>0.5</v>
      </c>
      <c r="J9" s="25" t="n">
        <v>0.5</v>
      </c>
      <c r="K9" s="26" t="n"/>
      <c r="L9" s="26" t="n">
        <v>1</v>
      </c>
      <c r="M9" s="25" t="n">
        <v>350</v>
      </c>
      <c r="N9" s="25" t="n">
        <v>296</v>
      </c>
      <c r="O9" s="26">
        <f>IF(OR(M9="",N9="",N9=0),"",M9/N9-1)</f>
        <v/>
      </c>
      <c r="P9" s="25" t="n">
        <v>4</v>
      </c>
      <c r="Q9" s="24" t="n"/>
      <c r="R9" s="26" t="n">
        <v>0.08</v>
      </c>
      <c r="S9" s="26" t="n">
        <v>0.12</v>
      </c>
      <c r="T9" s="27" t="n">
        <v>2449.9</v>
      </c>
      <c r="U9" s="27">
        <f>IF(OR(T9="",H9="",H9=0),"",T9*10000000/H9)</f>
        <v/>
      </c>
      <c r="V9" s="23" t="inlineStr">
        <is>
          <t>Property Management Fees = 3% of Total Income</t>
        </is>
      </c>
      <c r="W9" s="23" t="inlineStr">
        <is>
          <t>INR 0.4/sqft/mo</t>
        </is>
      </c>
      <c r="X9" s="23" t="inlineStr">
        <is>
          <t>Completed office 0.5 msf (= total). Cap 7.5% (recorded 8, rounded); discount 11.5% operational. Office mkt rent revised 300-&gt;350; in-place 296. Age ~56 yrs, LEED Platinum. Acquisition price INR 18,385 Mn (related party). Source lines ~13414-13934.</t>
        </is>
      </c>
    </row>
    <row r="10" ht="54.65" customHeight="1" s="18">
      <c r="A10" s="21" t="inlineStr">
        <is>
          <t>Vikhroli Corporate Park Private Limited (VCPPL)</t>
        </is>
      </c>
      <c r="B10" s="22" t="inlineStr">
        <is>
          <t>Embassy 247</t>
        </is>
      </c>
      <c r="C10" s="20" t="inlineStr">
        <is>
          <t>Office</t>
        </is>
      </c>
      <c r="D10" s="20" t="inlineStr">
        <is>
          <t>Mumbai</t>
        </is>
      </c>
      <c r="E10" s="21" t="inlineStr">
        <is>
          <t>Vikhroli West</t>
        </is>
      </c>
      <c r="F10" s="21" t="inlineStr">
        <is>
          <t>Eastern Suburbs (Vikhroli West)</t>
        </is>
      </c>
      <c r="G10" s="23" t="inlineStr">
        <is>
          <t>Hariyali Village, Kurla Taluka, Lal Bahadur Shastri (LBS) Road, Gandhi Nagar, Vikhroli West, Mumbai; land approx. 7.3 acres (freehold)</t>
        </is>
      </c>
      <c r="H10" s="24" t="n">
        <v>1200000</v>
      </c>
      <c r="I10" s="25" t="n">
        <v>1.2</v>
      </c>
      <c r="J10" s="25" t="n">
        <v>1.2</v>
      </c>
      <c r="K10" s="26" t="n"/>
      <c r="L10" s="26" t="n">
        <v>1</v>
      </c>
      <c r="M10" s="25" t="n">
        <v>135</v>
      </c>
      <c r="N10" s="25" t="n">
        <v>118</v>
      </c>
      <c r="O10" s="26">
        <f>IF(OR(M10="",N10="",N10=0),"",M10/N10-1)</f>
        <v/>
      </c>
      <c r="P10" s="25" t="n">
        <v>3.1</v>
      </c>
      <c r="Q10" s="24" t="n"/>
      <c r="R10" s="26" t="n">
        <v>0.08</v>
      </c>
      <c r="S10" s="26" t="n">
        <v>0.12</v>
      </c>
      <c r="T10" s="27" t="n">
        <v>2243.7</v>
      </c>
      <c r="U10" s="27">
        <f>IF(OR(T10="",H10="",H10=0),"",T10*10000000/H10)</f>
        <v/>
      </c>
      <c r="V10" s="23" t="inlineStr">
        <is>
          <t>Property Management Fees = 3% of Total Income</t>
        </is>
      </c>
      <c r="W10" s="23" t="inlineStr">
        <is>
          <t>INR 0.3/sqft/mo</t>
        </is>
      </c>
      <c r="X10" s="23" t="inlineStr">
        <is>
          <t>Completed office 1.2 msf (3 towers A/B/C). Cap 8%; discount 11.5% operational. Office mkt rent revised 121-&gt;135; retail mkt rent 250; in-place 118. LEED Platinum. Acquisition price INR 16,727 Mn (related party). Source lines ~13935-14458.</t>
        </is>
      </c>
    </row>
    <row r="11" ht="76" customHeight="1" s="18">
      <c r="A11" s="21" t="inlineStr">
        <is>
          <t>Earnest Towers Private Limited (ETPL)</t>
        </is>
      </c>
      <c r="B11" s="22" t="inlineStr">
        <is>
          <t>First International Financial Centre (FIFC)</t>
        </is>
      </c>
      <c r="C11" s="20" t="inlineStr">
        <is>
          <t>Office</t>
        </is>
      </c>
      <c r="D11" s="20" t="inlineStr">
        <is>
          <t>Mumbai</t>
        </is>
      </c>
      <c r="E11" s="21" t="inlineStr">
        <is>
          <t>Bandra Kurla Complex</t>
        </is>
      </c>
      <c r="F11" s="21" t="inlineStr">
        <is>
          <t>Bandra Kurla Complex (BKC) / Secondary Business District, G Block</t>
        </is>
      </c>
      <c r="G11" s="23" t="inlineStr">
        <is>
          <t>Plot No. C-54 &amp; C-55, G Block, BKC Road, Bandra Kurla Complex, Mumbai 400 051; leasehold land from MMRDA, approx. 2.0 acres</t>
        </is>
      </c>
      <c r="H11" s="24" t="n">
        <v>400000</v>
      </c>
      <c r="I11" s="25" t="n">
        <v>0.4</v>
      </c>
      <c r="J11" s="25" t="n">
        <v>0.4</v>
      </c>
      <c r="K11" s="26" t="n"/>
      <c r="L11" s="26" t="n">
        <v>1</v>
      </c>
      <c r="M11" s="25" t="n">
        <v>350</v>
      </c>
      <c r="N11" s="25" t="n">
        <v>325</v>
      </c>
      <c r="O11" s="26">
        <f>IF(OR(M11="",N11="",N11=0),"",M11/N11-1)</f>
        <v/>
      </c>
      <c r="P11" s="25" t="n">
        <v>3.5</v>
      </c>
      <c r="Q11" s="24" t="n"/>
      <c r="R11" s="26" t="n">
        <v>0.08</v>
      </c>
      <c r="S11" s="26" t="n">
        <v>0.12</v>
      </c>
      <c r="T11" s="27" t="n">
        <v>1840.6</v>
      </c>
      <c r="U11" s="27">
        <f>IF(OR(T11="",H11="",H11=0),"",T11*10000000/H11)</f>
        <v/>
      </c>
      <c r="V11" s="23" t="inlineStr">
        <is>
          <t>Property Management Fees = 3% of Total Income</t>
        </is>
      </c>
      <c r="W11" s="23" t="inlineStr">
        <is>
          <t>INR 0.1/sqft/mo</t>
        </is>
      </c>
      <c r="X11" s="23" t="inlineStr">
        <is>
          <t>Leasehold interest in ~226,663 sqft (2 basements, part ground+1st, entire 2nd-7th floors) with 54.2% undivided land share. Cap 7.5% (recorded 8, rounded); discount 11.5% operational. Office mkt rent revised 320-&gt;350; retail mkt rent revised 350-&gt;425; in-place 325. High property tax INR 12.0/sqft/mo. LEED Platinum. Acquisition price INR 14,614 Mn. Source lines ~14459-15003.</t>
        </is>
      </c>
    </row>
    <row r="12" ht="76" customHeight="1" s="18">
      <c r="A12" s="21" t="inlineStr">
        <is>
          <t>Embassy Pune TechZone Private Limited (EPTPL)</t>
        </is>
      </c>
      <c r="B12" s="22" t="inlineStr">
        <is>
          <t>Embassy TechZone</t>
        </is>
      </c>
      <c r="C12" s="20" t="inlineStr">
        <is>
          <t>Office</t>
        </is>
      </c>
      <c r="D12" s="20" t="inlineStr">
        <is>
          <t>Pune</t>
        </is>
      </c>
      <c r="E12" s="21" t="inlineStr">
        <is>
          <t>Hinjewadi Phase 2</t>
        </is>
      </c>
      <c r="F12" s="21" t="inlineStr">
        <is>
          <t>PBD West / Hinjewadi Phase 2</t>
        </is>
      </c>
      <c r="G12" s="23" t="inlineStr">
        <is>
          <t>Plot No. 3A, Hinjewadi Phase 2 Road, Hinjewadi Rajiv Gandhi Infotech Park, Hinjewadi, Pune, Maharashtra 411057; land approx. 67.5 acres (leasehold)</t>
        </is>
      </c>
      <c r="H12" s="24" t="n">
        <v>5500000</v>
      </c>
      <c r="I12" s="25" t="n">
        <v>5.5</v>
      </c>
      <c r="J12" s="25" t="n">
        <v>3</v>
      </c>
      <c r="K12" s="26" t="n"/>
      <c r="L12" s="26" t="n">
        <v>0.77</v>
      </c>
      <c r="M12" s="25" t="n">
        <v>50</v>
      </c>
      <c r="N12" s="25" t="n">
        <v>54</v>
      </c>
      <c r="O12" s="26">
        <f>IF(OR(M12="",N12="",N12=0),"",M12/N12-1)</f>
        <v/>
      </c>
      <c r="P12" s="25" t="n">
        <v>5.6</v>
      </c>
      <c r="Q12" s="24" t="n"/>
      <c r="R12" s="26" t="n">
        <v>0.08</v>
      </c>
      <c r="S12" s="26" t="n">
        <v>0.12</v>
      </c>
      <c r="T12" s="27" t="n">
        <v>2592.4</v>
      </c>
      <c r="U12" s="27">
        <f>IF(OR(T12="",H12="",H12=0),"",T12*10000000/H12)</f>
        <v/>
      </c>
      <c r="V12" s="23" t="inlineStr">
        <is>
          <t>Property Management Fees = 3% of Total Income; Asset Mgmt fee booked below NOI</t>
        </is>
      </c>
      <c r="W12" s="23" t="inlineStr">
        <is>
          <t>INR 0.2/sqft/mo</t>
        </is>
      </c>
      <c r="X12" s="23" t="inlineStr">
        <is>
          <t>Mixed-use: completed office 3.0 msf + UC/proposed office 2.4 msf + 116-key hotel. Value split: completed 23,235 + UC/proposed 2,450 + hotel 239. Cap 8.25% office (recorded 8, rounded), 7.14% hospitality; discount 11.5% operational, 12.75% UC office, 13.25% UC hotel. Occupancy may fall to 73% if a domestic tech tenant exits 1-Apr-2026. Acquisition price INR 20,720 Mn. Source lines ~15004-15839.</t>
        </is>
      </c>
    </row>
    <row r="13" ht="54.65" customHeight="1" s="18">
      <c r="A13" s="21" t="inlineStr">
        <is>
          <t>Quadron Business Park Private Limited (QBPL)</t>
        </is>
      </c>
      <c r="B13" s="22" t="inlineStr">
        <is>
          <t>Embassy Quadron</t>
        </is>
      </c>
      <c r="C13" s="20" t="inlineStr">
        <is>
          <t>Office</t>
        </is>
      </c>
      <c r="D13" s="20" t="inlineStr">
        <is>
          <t>Pune</t>
        </is>
      </c>
      <c r="E13" s="21" t="inlineStr">
        <is>
          <t>Hinjewadi Phase 2</t>
        </is>
      </c>
      <c r="F13" s="21" t="inlineStr">
        <is>
          <t>PBD West / Hinjewadi Phase 2</t>
        </is>
      </c>
      <c r="G13" s="23" t="inlineStr">
        <is>
          <t>Plot No. 28, Hinjewadi Phase 2 Road, Hinjewadi Rajiv Gandhi Infotech Park, Pimpri-Chinchwad, Pune, Maharashtra 411057; land approx. 25.5 acres (leasehold)</t>
        </is>
      </c>
      <c r="H13" s="24" t="n">
        <v>1900000</v>
      </c>
      <c r="I13" s="25" t="n">
        <v>1.9</v>
      </c>
      <c r="J13" s="25" t="n">
        <v>1.9</v>
      </c>
      <c r="K13" s="26" t="n"/>
      <c r="L13" s="26" t="n">
        <v>0.24</v>
      </c>
      <c r="M13" s="25" t="n">
        <v>46</v>
      </c>
      <c r="N13" s="25" t="n">
        <v>56</v>
      </c>
      <c r="O13" s="26">
        <f>IF(OR(M13="",N13="",N13=0),"",M13/N13-1)</f>
        <v/>
      </c>
      <c r="P13" s="25" t="n">
        <v>4.3</v>
      </c>
      <c r="Q13" s="24" t="n"/>
      <c r="R13" s="26" t="n">
        <v>0.08</v>
      </c>
      <c r="S13" s="26" t="n">
        <v>0.12</v>
      </c>
      <c r="T13" s="27" t="n">
        <v>1003.9</v>
      </c>
      <c r="U13" s="27">
        <f>IF(OR(T13="",H13="",H13=0),"",T13*10000000/H13)</f>
        <v/>
      </c>
      <c r="V13" s="23" t="inlineStr">
        <is>
          <t>Property Management Fees = 3% of Total Income; Asset Mgmt fee below NOI</t>
        </is>
      </c>
      <c r="W13" s="23" t="inlineStr">
        <is>
          <t>INR 0.2/sqft/mo</t>
        </is>
      </c>
      <c r="X13" s="23" t="inlineStr">
        <is>
          <t>Completed office 1.9 msf (all completed, no UC). Cap 8.25% (recorded 8, rounded); discount 11.5% operational. Very low occupancy 24%. Office mkt rent 46, in-place 56. Same SPV as Embassy One (Bengaluru). Acquisition price INR 13,961 Mn. Source lines ~15840-16388.</t>
        </is>
      </c>
    </row>
    <row r="14" ht="54.65" customHeight="1" s="18">
      <c r="A14" s="21" t="inlineStr">
        <is>
          <t>Qubix Business Park Private Limited (QBPPL)</t>
        </is>
      </c>
      <c r="B14" s="22" t="inlineStr">
        <is>
          <t>Embassy Qubix</t>
        </is>
      </c>
      <c r="C14" s="20" t="inlineStr">
        <is>
          <t>Office</t>
        </is>
      </c>
      <c r="D14" s="20" t="inlineStr">
        <is>
          <t>Pune</t>
        </is>
      </c>
      <c r="E14" s="21" t="inlineStr">
        <is>
          <t>Hinjewadi Phase 1</t>
        </is>
      </c>
      <c r="F14" s="21" t="inlineStr">
        <is>
          <t>PBD West / Hinjewadi Phase 1</t>
        </is>
      </c>
      <c r="G14" s="23" t="inlineStr">
        <is>
          <t>Blue Ridge Township, Phase 1, Hinjewadi Rajiv Gandhi Infotech Park, Pimpri-Chinchwad, Pune, Maharashtra 411057; land approx. 25.2 acres (freehold)</t>
        </is>
      </c>
      <c r="H14" s="24" t="n">
        <v>1500000</v>
      </c>
      <c r="I14" s="25" t="n">
        <v>1.5</v>
      </c>
      <c r="J14" s="25" t="n">
        <v>1.5</v>
      </c>
      <c r="K14" s="26" t="n"/>
      <c r="L14" s="26" t="n">
        <v>0.78</v>
      </c>
      <c r="M14" s="25" t="n">
        <v>50</v>
      </c>
      <c r="N14" s="25" t="n">
        <v>51</v>
      </c>
      <c r="O14" s="26">
        <f>IF(OR(M14="",N14="",N14=0),"",M14/N14-1)</f>
        <v/>
      </c>
      <c r="P14" s="25" t="n">
        <v>4.2</v>
      </c>
      <c r="Q14" s="24" t="n"/>
      <c r="R14" s="26" t="n">
        <v>0.08</v>
      </c>
      <c r="S14" s="26" t="n">
        <v>0.12</v>
      </c>
      <c r="T14" s="27" t="n">
        <v>1048.3</v>
      </c>
      <c r="U14" s="27">
        <f>IF(OR(T14="",H14="",H14=0),"",T14*10000000/H14)</f>
        <v/>
      </c>
      <c r="V14" s="23" t="inlineStr">
        <is>
          <t>Property Management Fees = 3% of Total Income; Asset Mgmt fee below NOI</t>
        </is>
      </c>
      <c r="W14" s="23" t="inlineStr">
        <is>
          <t>INR 0.3/sqft/mo</t>
        </is>
      </c>
      <c r="X14" s="23" t="inlineStr">
        <is>
          <t>Completed office 1.5 msf (5 SEZ + 1 Non-SEZ block). Cap 8.25% (recorded 8, rounded); discount 11.5% operational. Only freehold Pune asset. Office mkt rent 50, in-place 51. Acquisition price INR 9,868 Mn. Source lines ~16389-16936.</t>
        </is>
      </c>
    </row>
    <row r="15" ht="54.65" customHeight="1" s="18">
      <c r="A15" s="21" t="inlineStr">
        <is>
          <t>Oxygen Business Park Private Limited (OBPPL)</t>
        </is>
      </c>
      <c r="B15" s="22" t="inlineStr">
        <is>
          <t>Embassy Oxygen</t>
        </is>
      </c>
      <c r="C15" s="20" t="inlineStr">
        <is>
          <t>Office</t>
        </is>
      </c>
      <c r="D15" s="20" t="inlineStr">
        <is>
          <t>Noida</t>
        </is>
      </c>
      <c r="E15" s="21" t="inlineStr">
        <is>
          <t>Noida-Greater Noida Expressway</t>
        </is>
      </c>
      <c r="F15" s="21" t="inlineStr">
        <is>
          <t>Noida-Greater Noida Expressway (Sector 144)</t>
        </is>
      </c>
      <c r="G15" s="23" t="inlineStr">
        <is>
          <t>Plot No. 7, Sector-144, Noida, Uttar Pradesh; land approx. 24.8 acres, leasehold from NOIDA Authority</t>
        </is>
      </c>
      <c r="H15" s="24" t="n">
        <v>3300000</v>
      </c>
      <c r="I15" s="25" t="n">
        <v>3.3</v>
      </c>
      <c r="J15" s="25" t="n">
        <v>3.3</v>
      </c>
      <c r="K15" s="26" t="n"/>
      <c r="L15" s="26" t="n">
        <v>0.9</v>
      </c>
      <c r="M15" s="25" t="n">
        <v>59</v>
      </c>
      <c r="N15" s="25" t="n">
        <v>57</v>
      </c>
      <c r="O15" s="26">
        <f>IF(OR(M15="",N15="",N15=0),"",M15/N15-1)</f>
        <v/>
      </c>
      <c r="P15" s="25" t="n">
        <v>9.1</v>
      </c>
      <c r="Q15" s="24" t="n"/>
      <c r="R15" s="26" t="n">
        <v>0.08</v>
      </c>
      <c r="S15" s="26" t="n">
        <v>0.12</v>
      </c>
      <c r="T15" s="27" t="n">
        <v>2951.8</v>
      </c>
      <c r="U15" s="27">
        <f>IF(OR(T15="",H15="",H15=0),"",T15*10000000/H15)</f>
        <v/>
      </c>
      <c r="V15" s="23" t="inlineStr">
        <is>
          <t>Property Management Fees = 3% of Total Income (booked below NOI)</t>
        </is>
      </c>
      <c r="W15" s="23" t="inlineStr">
        <is>
          <t>INR 0.22/sqft/mo; plus Land Lease Payment INR 0.38/sqft/mo (in lieu of property tax)</t>
        </is>
      </c>
      <c r="X15" s="23" t="inlineStr">
        <is>
          <t>Completed office 3.3 msf (10 buildings incl food court). Cap 8%; discount 11.5% operational. Office mkt rent 59 (incl parking), in-place 57; retail mkt rent 85. Seismic Zone IV. Acquisition price INR 18,258 Mn. Source lines ~16937-17515.</t>
        </is>
      </c>
    </row>
    <row r="16" ht="54.65" customHeight="1" s="18">
      <c r="A16" s="21" t="inlineStr">
        <is>
          <t>Galaxy Square Private Limited (GSPL)</t>
        </is>
      </c>
      <c r="B16" s="22" t="inlineStr">
        <is>
          <t>Embassy Galaxy</t>
        </is>
      </c>
      <c r="C16" s="20" t="inlineStr">
        <is>
          <t>Office</t>
        </is>
      </c>
      <c r="D16" s="20" t="inlineStr">
        <is>
          <t>Noida</t>
        </is>
      </c>
      <c r="E16" s="21" t="inlineStr">
        <is>
          <t>Noida Sector 62</t>
        </is>
      </c>
      <c r="F16" s="21" t="inlineStr">
        <is>
          <t>Noida Sector 62</t>
        </is>
      </c>
      <c r="G16" s="23" t="inlineStr">
        <is>
          <t>A-44 &amp; 45, Sector-62, Noida, Uttar Pradesh; land approx. 9.9 acres, leasehold from NOIDA Authority</t>
        </is>
      </c>
      <c r="H16" s="24" t="n">
        <v>1400000</v>
      </c>
      <c r="I16" s="25" t="n">
        <v>1.4</v>
      </c>
      <c r="J16" s="25" t="n">
        <v>1.4</v>
      </c>
      <c r="K16" s="26" t="n"/>
      <c r="L16" s="26" t="n">
        <v>1</v>
      </c>
      <c r="M16" s="25" t="n">
        <v>51</v>
      </c>
      <c r="N16" s="25" t="n">
        <v>46</v>
      </c>
      <c r="O16" s="26">
        <f>IF(OR(M16="",N16="",N16=0),"",M16/N16-1)</f>
        <v/>
      </c>
      <c r="P16" s="25" t="n">
        <v>9.5</v>
      </c>
      <c r="Q16" s="24" t="n"/>
      <c r="R16" s="26" t="n">
        <v>0.08</v>
      </c>
      <c r="S16" s="26" t="n">
        <v>0.12</v>
      </c>
      <c r="T16" s="27" t="n">
        <v>1131.1</v>
      </c>
      <c r="U16" s="27">
        <f>IF(OR(T16="",H16="",H16=0),"",T16*10000000/H16)</f>
        <v/>
      </c>
      <c r="V16" s="23" t="inlineStr">
        <is>
          <t>Property Management Fees = 3% of Total Income (below NOI)</t>
        </is>
      </c>
      <c r="W16" s="23" t="inlineStr">
        <is>
          <t>INR 0.27/sqft/mo; Land Lease Payment INR 0.34/sqft/mo</t>
        </is>
      </c>
      <c r="X16" s="23" t="inlineStr">
        <is>
          <t>Completed office 1.4 msf (5 Non-SEZ blocks). Rent roll ~99.6% occupied. Cap 8%; discount 11.5% operational. Office mkt rent 51 (incl parking), in-place 46; retail mkt rent 85. LEED Platinum. Acquisition price INR 8,122 Mn. Source lines ~17516-18059.</t>
        </is>
      </c>
    </row>
    <row r="17" ht="76" customHeight="1" s="18">
      <c r="A17" s="21" t="inlineStr">
        <is>
          <t>Umbel Properties Private Limited (UPPL)</t>
        </is>
      </c>
      <c r="B17" s="22" t="inlineStr">
        <is>
          <t>Hilton at Embassy GolfLinks</t>
        </is>
      </c>
      <c r="C17" s="20" t="inlineStr">
        <is>
          <t>Hotel</t>
        </is>
      </c>
      <c r="D17" s="20" t="inlineStr">
        <is>
          <t>Bengaluru</t>
        </is>
      </c>
      <c r="E17" s="21" t="inlineStr">
        <is>
          <t>Domlur</t>
        </is>
      </c>
      <c r="F17" s="21" t="inlineStr">
        <is>
          <t>Suburban East (inside Embassy GolfLinks Business Park, Intermediate Ring Road)</t>
        </is>
      </c>
      <c r="G17" s="23" t="inlineStr">
        <is>
          <t>Challaghatta Village, Varthur Hobli, Bengaluru East Taluk 560071; land approx. 3.6 acres (freehold)</t>
        </is>
      </c>
      <c r="H17" s="24" t="n">
        <v>500000</v>
      </c>
      <c r="I17" s="25" t="n">
        <v>0.5</v>
      </c>
      <c r="J17" s="25" t="n">
        <v>0.5</v>
      </c>
      <c r="K17" s="26" t="n"/>
      <c r="L17" s="26" t="n">
        <v>0.72</v>
      </c>
      <c r="M17" s="25" t="n"/>
      <c r="N17" s="25" t="n"/>
      <c r="O17" s="26">
        <f>IF(OR(M17="",N17="",N17=0),"",M17/N17-1)</f>
        <v/>
      </c>
      <c r="P17" s="25" t="n"/>
      <c r="Q17" s="24" t="n"/>
      <c r="R17" s="26" t="n">
        <v>0.07000000000000001</v>
      </c>
      <c r="S17" s="26" t="n">
        <v>0.12</v>
      </c>
      <c r="T17" s="27" t="n">
        <v>887.6</v>
      </c>
      <c r="U17" s="27">
        <f>IF(OR(T17="",H17="",H17=0),"",T17*10000000/H17)</f>
        <v/>
      </c>
      <c r="V17" s="23" t="inlineStr">
        <is>
          <t>Base Management Fee 2% of Total Revenue; Management Incentive Fee 5.5% of Gross Operating Profit; FF&amp;E reserve 2%</t>
        </is>
      </c>
      <c r="W17" s="23" t="n"/>
      <c r="X17" s="23" t="inlineStr">
        <is>
          <t>247-key 5-star hotel (developed area ~0.5 msf). Stabilized occupancy 72% (FY2026); ADR INR 15,000/room/night +5% YoY from Oct 2026; F&amp;B revenue 40% of rooms revenue. Cap rate 7.14% derived via EV/EBITDA 14x (recorded 7, rounded); discount rate 11.90% (recorded 12, rounded). No psf rent (hotel). Acquisition price INR 4,766 Mn. Source lines ~18060-18516.</t>
        </is>
      </c>
    </row>
    <row r="18" ht="86.65000000000001" customHeight="1" s="18">
      <c r="A18" s="21" t="inlineStr">
        <is>
          <t>ESNP Property Builders and Developers Private Limited (ESNP)</t>
        </is>
      </c>
      <c r="B18" s="22" t="inlineStr">
        <is>
          <t>Embassy Splendid Techzone</t>
        </is>
      </c>
      <c r="C18" s="20" t="inlineStr">
        <is>
          <t>Office</t>
        </is>
      </c>
      <c r="D18" s="20" t="inlineStr">
        <is>
          <t>Chennai</t>
        </is>
      </c>
      <c r="E18" s="21" t="inlineStr">
        <is>
          <t>Pallavaram</t>
        </is>
      </c>
      <c r="F18" s="21" t="inlineStr">
        <is>
          <t>Suburban South (Pallavaram-Thoraipakkam Road)</t>
        </is>
      </c>
      <c r="G18" s="23" t="inlineStr">
        <is>
          <t>Pallavaram-Thoraipakkam (PTR) Road, Pallavaram, Chennai, Tamil Nadu; land approx. 25.37 acres (leasehold from SNP)</t>
        </is>
      </c>
      <c r="H18" s="24" t="n">
        <v>5100000</v>
      </c>
      <c r="I18" s="25" t="n">
        <v>5.1</v>
      </c>
      <c r="J18" s="25" t="n">
        <v>2.5</v>
      </c>
      <c r="K18" s="26" t="n"/>
      <c r="L18" s="26" t="n">
        <v>0.84</v>
      </c>
      <c r="M18" s="25" t="n">
        <v>75</v>
      </c>
      <c r="N18" s="25" t="n">
        <v>73</v>
      </c>
      <c r="O18" s="26">
        <f>IF(OR(M18="",N18="",N18=0),"",M18/N18-1)</f>
        <v/>
      </c>
      <c r="P18" s="25" t="n">
        <v>11.5</v>
      </c>
      <c r="Q18" s="24" t="n"/>
      <c r="R18" s="26" t="n">
        <v>0.08</v>
      </c>
      <c r="S18" s="26" t="n">
        <v>0.12</v>
      </c>
      <c r="T18" s="27" t="n">
        <v>2058.7</v>
      </c>
      <c r="U18" s="27">
        <f>IF(OR(T18="",H18="",H18=0),"",T18*10000000/H18)</f>
        <v/>
      </c>
      <c r="V18" s="23" t="inlineStr">
        <is>
          <t>Property Management Fees = 3% of Total Income (below NOI)</t>
        </is>
      </c>
      <c r="W18" s="23" t="inlineStr">
        <is>
          <t>INR 0.13/sqft/mo</t>
        </is>
      </c>
      <c r="X18" s="23" t="inlineStr">
        <is>
          <t>Mixed-use (IT/ITeS SEZ/Non-SEZ): completed 2.5 msf + UC/proposed 2.6 msf. Value split: completed 15,556 + UC 5,031 = 20,587. Cap 8% office/retail; discount 11.5% operational office. Office mkt rent 75 (incl parking), in-place 73; retail mkt rent 25. Land freehold of SNP granting leasehold to ESNP (30 yrs from 9-Nov-2016, renewable). Pending dev cost ~INR 8,083 Mn. Acquisition price INR 11,853 Mn. Source lines ~18517-19186.</t>
        </is>
      </c>
    </row>
    <row r="19" ht="129.3" customHeight="1" s="18">
      <c r="A19" s="21" t="inlineStr">
        <is>
          <t>Embassy Energy Private Limited (EEPL)</t>
        </is>
      </c>
      <c r="B19" s="22" t="inlineStr">
        <is>
          <t>Embassy Energy (Solar Park)</t>
        </is>
      </c>
      <c r="C19" s="20" t="inlineStr">
        <is>
          <t>Other</t>
        </is>
      </c>
      <c r="D19" s="20" t="inlineStr">
        <is>
          <t>Bellary District, Karnataka</t>
        </is>
      </c>
      <c r="E19" s="21" t="inlineStr">
        <is>
          <t>Villages Ittigi &amp; Mooregeri  and Nellukudure</t>
        </is>
      </c>
      <c r="F19" s="21" t="inlineStr">
        <is>
          <t>Villages Ittigi &amp; Mooregeri (Huvinhadagali Taluka) and Nellukudure (Hagribommanhalli Taluka)</t>
        </is>
      </c>
      <c r="G19" s="23" t="inlineStr">
        <is>
          <t>Bellary District, Karnataka; primary access SH-45; land approx. 465.8 acres</t>
        </is>
      </c>
      <c r="H19" s="24" t="n"/>
      <c r="I19" s="25" t="n"/>
      <c r="J19" s="25" t="n"/>
      <c r="K19" s="26" t="n"/>
      <c r="L19" s="26" t="n"/>
      <c r="M19" s="25" t="n"/>
      <c r="N19" s="25" t="n"/>
      <c r="O19" s="26">
        <f>IF(OR(M19="",N19="",N19=0),"",M19/N19-1)</f>
        <v/>
      </c>
      <c r="P19" s="25" t="n"/>
      <c r="Q19" s="24" t="n"/>
      <c r="R19" s="26" t="n"/>
      <c r="S19" s="26" t="n">
        <v>0.12</v>
      </c>
      <c r="T19" s="27" t="n">
        <v>414.3</v>
      </c>
      <c r="U19" s="27">
        <f>IF(OR(T19="",H19="",H19=0),"",T19*10000000/H19)</f>
        <v/>
      </c>
      <c r="V19" s="23" t="n"/>
      <c r="W19" s="23" t="n"/>
      <c r="X19" s="23" t="inlineStr">
        <is>
          <t>Solar Park: installed capacity 130 MW DC / 100 MW AC; commissioned Feb 2018; ~215 MU/yr; CUF 17.35%. No leasable area or psf rent. Discount rate 11.5% (recorded 12, rounded); no cap rate (25-yr DCF over CERC useful life, no terminal cap). PPA tariff FY2027 INR 6.83/unit, escalation 2.5%/yr; 25-yr PPAs with Embassy office parks/hotels (Manyata, GolfLinks, Hilton GolfLinks, TechVillage) plus C&amp;I offtakers. O&amp;M INR 18.3 Mn/qtr. No property mgmt fee (admin/O&amp;M/employee costs instead). SPV labelled 'Power Limited' in one value table (likely typo for Private Limited). Acquisition price INR 10,690 Mn. Source lines ~19187-19981.</t>
        </is>
      </c>
    </row>
    <row r="20" ht="15" customHeight="1" s="18">
      <c r="A20" s="29" t="inlineStr">
        <is>
          <t>TOTAL / weighted</t>
        </is>
      </c>
      <c r="H20" s="31">
        <f>SUM(H4:H19)</f>
        <v/>
      </c>
      <c r="I20" s="32">
        <f>SUM(I4:I19)</f>
        <v/>
      </c>
      <c r="M20" s="32">
        <f>IFERROR(AVERAGE(M4:M19),"")</f>
        <v/>
      </c>
      <c r="N20" s="32">
        <f>IFERROR(AVERAGE(N4:N19),"")</f>
        <v/>
      </c>
      <c r="T20" s="33">
        <f>SUM(T4:T19)</f>
        <v/>
      </c>
      <c r="U20" s="33">
        <f>IFERROR(T20*10000000/H20,"")</f>
        <v/>
      </c>
    </row>
  </sheetData>
  <autoFilter ref="A3:X19"/>
  <hyperlinks>
    <hyperlink xmlns:r="http://schemas.openxmlformats.org/officeDocument/2006/relationships" ref="B4" location="page=8" display="Embassy Manyata" r:id="rId1"/>
    <hyperlink xmlns:r="http://schemas.openxmlformats.org/officeDocument/2006/relationships" ref="B5" location="page=8" display="Embassy TechVillage" r:id="rId2"/>
    <hyperlink xmlns:r="http://schemas.openxmlformats.org/officeDocument/2006/relationships" ref="B6" location="page=7" display="Embassy GolfLinks (incl. Pinehurst)" r:id="rId3"/>
    <hyperlink xmlns:r="http://schemas.openxmlformats.org/officeDocument/2006/relationships" ref="B7" location="page=7" display="Embassy One" r:id="rId4"/>
    <hyperlink xmlns:r="http://schemas.openxmlformats.org/officeDocument/2006/relationships" ref="B8" location="page=8" display="Embassy Business Hub" r:id="rId5"/>
    <hyperlink xmlns:r="http://schemas.openxmlformats.org/officeDocument/2006/relationships" ref="B9" location="page=7" display="Express Towers" r:id="rId6"/>
    <hyperlink xmlns:r="http://schemas.openxmlformats.org/officeDocument/2006/relationships" ref="B10" location="page=8" display="Embassy 247" r:id="rId7"/>
    <hyperlink xmlns:r="http://schemas.openxmlformats.org/officeDocument/2006/relationships" ref="B11" location="page=7" display="First International Financial Centre (FIFC)" r:id="rId8"/>
    <hyperlink xmlns:r="http://schemas.openxmlformats.org/officeDocument/2006/relationships" ref="B12" location="page=8" display="Embassy TechZone" r:id="rId9"/>
    <hyperlink xmlns:r="http://schemas.openxmlformats.org/officeDocument/2006/relationships" ref="B13" location="page=8" display="Embassy Quadron" r:id="rId10"/>
    <hyperlink xmlns:r="http://schemas.openxmlformats.org/officeDocument/2006/relationships" ref="B14" location="page=8" display="Embassy Qubix" r:id="rId11"/>
    <hyperlink xmlns:r="http://schemas.openxmlformats.org/officeDocument/2006/relationships" ref="B15" location="page=8" display="Embassy Oxygen" r:id="rId12"/>
    <hyperlink xmlns:r="http://schemas.openxmlformats.org/officeDocument/2006/relationships" ref="B16" location="page=8" display="Embassy Galaxy" r:id="rId13"/>
    <hyperlink xmlns:r="http://schemas.openxmlformats.org/officeDocument/2006/relationships" ref="B17" display="Hilton at Embassy GolfLinks" r:id="rId14"/>
    <hyperlink xmlns:r="http://schemas.openxmlformats.org/officeDocument/2006/relationships" ref="B18" location="page=8" display="Embassy Splendid Techzone" r:id="rId15"/>
    <hyperlink xmlns:r="http://schemas.openxmlformats.org/officeDocument/2006/relationships" ref="B19" display="Embassy Energy (Solar Park)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X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0546875" defaultRowHeight="15" customHeight="0" zeroHeight="0" outlineLevelRow="0"/>
  <cols>
    <col width="30" customWidth="1" style="17" min="1" max="1"/>
    <col width="26" customWidth="1" style="17" min="2" max="2"/>
    <col width="9" customWidth="1" style="17" min="3" max="3"/>
    <col width="13" customWidth="1" style="17" min="4" max="4"/>
    <col width="22" customWidth="1" style="17" min="5" max="5"/>
    <col width="24" customWidth="1" style="17" min="6" max="6"/>
    <col width="30" customWidth="1" style="17" min="7" max="7"/>
    <col width="12" customWidth="1" style="17" min="8" max="8"/>
    <col width="11" customWidth="1" style="17" min="9" max="10"/>
    <col width="10" customWidth="1" style="17" min="11" max="12"/>
    <col width="12" customWidth="1" style="17" min="13" max="14"/>
    <col width="11" customWidth="1" style="17" min="15" max="15"/>
    <col width="9" customWidth="1" style="17" min="16" max="16"/>
    <col width="8" customWidth="1" style="17" min="17" max="18"/>
    <col width="9" customWidth="1" style="17" min="19" max="19"/>
    <col width="13" customWidth="1" style="17" min="20" max="20"/>
    <col width="12" customWidth="1" style="17" min="21" max="21"/>
    <col width="30" customWidth="1" style="17" min="22" max="22"/>
    <col width="26" customWidth="1" style="17" min="23" max="23"/>
    <col width="46" customWidth="1" style="17" min="24" max="24"/>
  </cols>
  <sheetData>
    <row r="1" ht="15" customHeight="1" s="18">
      <c r="A1" s="30" t="inlineStr">
        <is>
          <t>Mindspace - Asset-level detail  (valuation 31 Mar 2026;  17 assets)</t>
        </is>
      </c>
    </row>
    <row r="3" ht="30" customHeight="1" s="18">
      <c r="A3" s="19" t="inlineStr">
        <is>
          <t>SPV / Holding entity</t>
        </is>
      </c>
      <c r="B3" s="19" t="inlineStr">
        <is>
          <t>Property / Asset</t>
        </is>
      </c>
      <c r="C3" s="19" t="inlineStr">
        <is>
          <t>Type</t>
        </is>
      </c>
      <c r="D3" s="19" t="inlineStr">
        <is>
          <t>City</t>
        </is>
      </c>
      <c r="E3" s="19" t="inlineStr">
        <is>
          <t>Locality / Area</t>
        </is>
      </c>
      <c r="F3" s="19" t="inlineStr">
        <is>
          <t>Micro-market (valuer)</t>
        </is>
      </c>
      <c r="G3" s="19" t="inlineStr">
        <is>
          <t>Address</t>
        </is>
      </c>
      <c r="H3" s="19" t="inlineStr">
        <is>
          <t>Leasable (sq ft)</t>
        </is>
      </c>
      <c r="I3" s="19" t="inlineStr">
        <is>
          <t>Leasable (msf)</t>
        </is>
      </c>
      <c r="J3" s="19" t="inlineStr">
        <is>
          <t>Completed (msf)</t>
        </is>
      </c>
      <c r="K3" s="19" t="inlineStr">
        <is>
          <t>Committed occ.</t>
        </is>
      </c>
      <c r="L3" s="19" t="inlineStr">
        <is>
          <t>In-place occ.</t>
        </is>
      </c>
      <c r="M3" s="19" t="inlineStr">
        <is>
          <t>Market rent /sqft/mo</t>
        </is>
      </c>
      <c r="N3" s="19" t="inlineStr">
        <is>
          <t>In-place rent /sqft/mo</t>
        </is>
      </c>
      <c r="O3" s="19" t="inlineStr">
        <is>
          <t>Rent reversion</t>
        </is>
      </c>
      <c r="P3" s="19" t="inlineStr">
        <is>
          <t>WALE (yrs)</t>
        </is>
      </c>
      <c r="Q3" s="19" t="inlineStr">
        <is>
          <t>Tenants</t>
        </is>
      </c>
      <c r="R3" s="19" t="inlineStr">
        <is>
          <t>Cap rate</t>
        </is>
      </c>
      <c r="S3" s="19" t="inlineStr">
        <is>
          <t>Discount rate</t>
        </is>
      </c>
      <c r="T3" s="19" t="inlineStr">
        <is>
          <t>Market value (INR cr)</t>
        </is>
      </c>
      <c r="U3" s="19" t="inlineStr">
        <is>
          <t>Value/sqft (INR)</t>
        </is>
      </c>
      <c r="V3" s="19" t="inlineStr">
        <is>
          <t>Mgmt fee (valuation DCF)</t>
        </is>
      </c>
      <c r="W3" s="19" t="inlineStr">
        <is>
          <t>Insurance (valuation DCF)</t>
        </is>
      </c>
      <c r="X3" s="19" t="inlineStr">
        <is>
          <t>Notes / source</t>
        </is>
      </c>
    </row>
    <row r="4" ht="54.65" customHeight="1" s="18">
      <c r="A4" s="21" t="inlineStr">
        <is>
          <t>Sundew Properties Limited</t>
        </is>
      </c>
      <c r="B4" s="22" t="inlineStr">
        <is>
          <t>Mindspace Madhapur (Sundew)</t>
        </is>
      </c>
      <c r="C4" s="20" t="inlineStr">
        <is>
          <t>Office</t>
        </is>
      </c>
      <c r="D4" s="20" t="inlineStr">
        <is>
          <t>Hyderabad</t>
        </is>
      </c>
      <c r="E4" s="21" t="inlineStr">
        <is>
          <t>Madhapur</t>
        </is>
      </c>
      <c r="F4" s="21" t="inlineStr">
        <is>
          <t>Madhapur</t>
        </is>
      </c>
      <c r="G4" s="23" t="inlineStr">
        <is>
          <t>Mindspace Madhapur, Titus Towers, TSIIC software layout, Madhapur, Hyderabad, Telangana 500081</t>
        </is>
      </c>
      <c r="H4" s="24" t="n">
        <v>5870000</v>
      </c>
      <c r="I4" s="25" t="n">
        <v>5.87</v>
      </c>
      <c r="J4" s="25" t="n">
        <v>5.87</v>
      </c>
      <c r="K4" s="26" t="n">
        <v>0.99</v>
      </c>
      <c r="L4" s="26" t="n">
        <v>0.96</v>
      </c>
      <c r="M4" s="25" t="n">
        <v>105</v>
      </c>
      <c r="N4" s="25" t="n">
        <v>75.58</v>
      </c>
      <c r="O4" s="26">
        <f>IF(OR(M4="",N4="",N4=0),"",M4/N4-1)</f>
        <v/>
      </c>
      <c r="P4" s="25" t="n">
        <v>7.84</v>
      </c>
      <c r="Q4" s="24" t="n">
        <v>51</v>
      </c>
      <c r="R4" s="26" t="n">
        <v>0.08</v>
      </c>
      <c r="S4" s="26" t="n">
        <v>0.12</v>
      </c>
      <c r="T4" s="27" t="n">
        <v>7963.812</v>
      </c>
      <c r="U4" s="27">
        <f>IF(OR(T4="",H4="",H4=0),"",T4*10000000/H4)</f>
        <v/>
      </c>
      <c r="V4" s="23" t="n"/>
      <c r="W4" s="23" t="n"/>
      <c r="X4" s="23" t="inlineStr">
        <is>
          <t>Grade A IT Park, 8 buildings (Non-SEZ 11,22; SEZ rest); Bldg 22 hotel. MREIT 89% interest (100% value INR89,481.03mn). Exit cap 7.75%, WACC 11.75%. Occ 96.3%/committed 98.7%. Land 40.25 ac freehold. p.1-52 (chunk a)</t>
        </is>
      </c>
    </row>
    <row r="5" ht="33.3" customHeight="1" s="18">
      <c r="A5" s="21" t="inlineStr">
        <is>
          <t>K Raheja IT Park (Hyderabad) Limited</t>
        </is>
      </c>
      <c r="B5" s="22" t="inlineStr">
        <is>
          <t>Mindspace Madhapur (KRIT)</t>
        </is>
      </c>
      <c r="C5" s="20" t="inlineStr">
        <is>
          <t>Office</t>
        </is>
      </c>
      <c r="D5" s="20" t="inlineStr">
        <is>
          <t>Hyderabad</t>
        </is>
      </c>
      <c r="E5" s="21" t="inlineStr">
        <is>
          <t>Madhapur</t>
        </is>
      </c>
      <c r="F5" s="21" t="inlineStr">
        <is>
          <t>Madhapur</t>
        </is>
      </c>
      <c r="G5" s="23" t="inlineStr">
        <is>
          <t>Mindspace Madhapur (KRIT), Madhapur, Hyderabad, Telangana 500081</t>
        </is>
      </c>
      <c r="H5" s="24" t="n">
        <v>5940000</v>
      </c>
      <c r="I5" s="25" t="n">
        <v>5.94</v>
      </c>
      <c r="J5" s="25" t="n">
        <v>2.18</v>
      </c>
      <c r="K5" s="26" t="n">
        <v>0.99</v>
      </c>
      <c r="L5" s="26" t="n">
        <v>0.97</v>
      </c>
      <c r="M5" s="25" t="n">
        <v>105</v>
      </c>
      <c r="N5" s="25" t="n">
        <v>79.95999999999999</v>
      </c>
      <c r="O5" s="26">
        <f>IF(OR(M5="",N5="",N5=0),"",M5/N5-1)</f>
        <v/>
      </c>
      <c r="P5" s="25" t="n">
        <v>7.24</v>
      </c>
      <c r="Q5" s="24" t="n">
        <v>29</v>
      </c>
      <c r="R5" s="26" t="n">
        <v>0.08</v>
      </c>
      <c r="S5" s="26" t="n">
        <v>0.12</v>
      </c>
      <c r="T5" s="27" t="n">
        <v>5982.4</v>
      </c>
      <c r="U5" s="27">
        <f>IF(OR(T5="",H5="",H5=0),"",T5*10000000/H5)</f>
        <v/>
      </c>
      <c r="V5" s="23" t="n"/>
      <c r="W5" s="23" t="n"/>
      <c r="X5" s="23" t="inlineStr">
        <is>
          <t>IT Park Non-SEZ (incl retail). Exit cap 7.75%, WACC 11.75%. Occ 96.5%/committed 99.2%. Land 48.43 ac freehold. chunk a</t>
        </is>
      </c>
    </row>
    <row r="6" ht="33.3" customHeight="1" s="18">
      <c r="A6" s="21" t="inlineStr">
        <is>
          <t>Intime Properties Limited</t>
        </is>
      </c>
      <c r="B6" s="22" t="inlineStr">
        <is>
          <t>Mindspace Madhapur (Intime)</t>
        </is>
      </c>
      <c r="C6" s="20" t="inlineStr">
        <is>
          <t>Office</t>
        </is>
      </c>
      <c r="D6" s="20" t="inlineStr">
        <is>
          <t>Hyderabad</t>
        </is>
      </c>
      <c r="E6" s="21" t="inlineStr">
        <is>
          <t>Madhapur</t>
        </is>
      </c>
      <c r="F6" s="21" t="inlineStr">
        <is>
          <t>Madhapur</t>
        </is>
      </c>
      <c r="G6" s="23" t="inlineStr">
        <is>
          <t>Mindspace Madhapur (Intime), Madhapur, Hyderabad, Telangana 500081</t>
        </is>
      </c>
      <c r="H6" s="24" t="n">
        <v>2030000</v>
      </c>
      <c r="I6" s="25" t="n">
        <v>2.03</v>
      </c>
      <c r="J6" s="25" t="n">
        <v>2.03</v>
      </c>
      <c r="K6" s="26" t="n">
        <v>1</v>
      </c>
      <c r="L6" s="26" t="n">
        <v>1</v>
      </c>
      <c r="M6" s="25" t="n">
        <v>105</v>
      </c>
      <c r="N6" s="25" t="n">
        <v>79.06</v>
      </c>
      <c r="O6" s="26">
        <f>IF(OR(M6="",N6="",N6=0),"",M6/N6-1)</f>
        <v/>
      </c>
      <c r="P6" s="25" t="n">
        <v>7.08</v>
      </c>
      <c r="Q6" s="24" t="n">
        <v>35</v>
      </c>
      <c r="R6" s="26" t="n">
        <v>0.08</v>
      </c>
      <c r="S6" s="26" t="n">
        <v>0.12</v>
      </c>
      <c r="T6" s="27" t="n">
        <v>2855.721</v>
      </c>
      <c r="U6" s="27">
        <f>IF(OR(T6="",H6="",H6=0),"",T6*10000000/H6)</f>
        <v/>
      </c>
      <c r="V6" s="23" t="n"/>
      <c r="W6" s="23" t="n"/>
      <c r="X6" s="23" t="inlineStr">
        <is>
          <t>IT Park Non-SEZ. Exit cap 7.75%, WACC 11.75%. Occ 99.8%/committed 99.8%. Land 8.52 ac freehold. chunk a</t>
        </is>
      </c>
    </row>
    <row r="7" ht="44" customHeight="1" s="18">
      <c r="A7" s="21" t="inlineStr">
        <is>
          <t>Mindspace Business Parks Private Limited</t>
        </is>
      </c>
      <c r="B7" s="22" t="inlineStr">
        <is>
          <t>Mindspace Pocharam</t>
        </is>
      </c>
      <c r="C7" s="20" t="inlineStr">
        <is>
          <t>Other</t>
        </is>
      </c>
      <c r="D7" s="20" t="inlineStr">
        <is>
          <t>Hyderabad</t>
        </is>
      </c>
      <c r="E7" s="21" t="inlineStr">
        <is>
          <t>Pocharam</t>
        </is>
      </c>
      <c r="F7" s="21" t="inlineStr">
        <is>
          <t>Pocharam (PBD East / Suburbs Other)</t>
        </is>
      </c>
      <c r="G7" s="23" t="inlineStr">
        <is>
          <t>Mindspace Pocharam, Hyderabad – Non-SEZ IT Park</t>
        </is>
      </c>
      <c r="H7" s="24" t="n">
        <v>570000</v>
      </c>
      <c r="I7" s="25" t="n">
        <v>0.57</v>
      </c>
      <c r="J7" s="25" t="n">
        <v>0.57</v>
      </c>
      <c r="K7" s="26" t="n">
        <v>0</v>
      </c>
      <c r="L7" s="26" t="n">
        <v>0</v>
      </c>
      <c r="M7" s="25" t="n"/>
      <c r="N7" s="25" t="n"/>
      <c r="O7" s="26">
        <f>IF(OR(M7="",N7="",N7=0),"",M7/N7-1)</f>
        <v/>
      </c>
      <c r="P7" s="25" t="n"/>
      <c r="Q7" s="24" t="n">
        <v>0</v>
      </c>
      <c r="R7" s="26" t="n"/>
      <c r="S7" s="26" t="n"/>
      <c r="T7" s="27" t="n">
        <v>100.435</v>
      </c>
      <c r="U7" s="27">
        <f>IF(OR(T7="",H7="",H7=0),"",T7*10000000/H7)</f>
        <v/>
      </c>
      <c r="V7" s="23" t="n"/>
      <c r="W7" s="23" t="n"/>
      <c r="X7" s="23" t="inlineStr">
        <is>
          <t>Non-SEZ IT Park; built component 0.57 msf currently VACANT (NIL occupancy/tenants) + undeveloped land held at land value. Valued via Land &amp; Building/DCF hybrid; land ~INR30.49mn/acre. Land 26.464 ac freehold. chunk a</t>
        </is>
      </c>
    </row>
    <row r="8" ht="44" customHeight="1" s="18">
      <c r="A8" s="21" t="inlineStr">
        <is>
          <t>Sustain Properties Private Limited</t>
        </is>
      </c>
      <c r="B8" s="22" t="inlineStr">
        <is>
          <t>Commerzone Raidurg (Sustain)</t>
        </is>
      </c>
      <c r="C8" s="20" t="inlineStr">
        <is>
          <t>Office</t>
        </is>
      </c>
      <c r="D8" s="20" t="inlineStr">
        <is>
          <t>Hyderabad</t>
        </is>
      </c>
      <c r="E8" s="21" t="inlineStr">
        <is>
          <t>Madhapur</t>
        </is>
      </c>
      <c r="F8" s="21" t="inlineStr">
        <is>
          <t>Madhapur (Raidurg)</t>
        </is>
      </c>
      <c r="G8" s="23" t="inlineStr">
        <is>
          <t>Commerzone Raidurg (Sustain), Madhapur, Hyderabad, Telangana 500081</t>
        </is>
      </c>
      <c r="H8" s="24" t="n">
        <v>1820000</v>
      </c>
      <c r="I8" s="25" t="n">
        <v>1.82</v>
      </c>
      <c r="J8" s="25" t="n">
        <v>1.82</v>
      </c>
      <c r="K8" s="26" t="n">
        <v>1</v>
      </c>
      <c r="L8" s="26" t="n">
        <v>1</v>
      </c>
      <c r="M8" s="25" t="n"/>
      <c r="N8" s="25" t="n">
        <v>69.09999999999999</v>
      </c>
      <c r="O8" s="26">
        <f>IF(OR(M8="",N8="",N8=0),"",M8/N8-1)</f>
        <v/>
      </c>
      <c r="P8" s="25" t="n">
        <v>10.5</v>
      </c>
      <c r="Q8" s="24" t="n">
        <v>2</v>
      </c>
      <c r="R8" s="26" t="n">
        <v>0.08</v>
      </c>
      <c r="S8" s="26" t="n">
        <v>0.12</v>
      </c>
      <c r="T8" s="27" t="n">
        <v>2585.322</v>
      </c>
      <c r="U8" s="27">
        <f>IF(OR(T8="",H8="",H8=0),"",T8*10000000/H8)</f>
        <v/>
      </c>
      <c r="V8" s="23" t="n"/>
      <c r="W8" s="23" t="n"/>
      <c r="X8" s="23" t="inlineStr">
        <is>
          <t>SEZ IT/ITeS. Exit cap 7.75%, WACC 11.75%. Occ 100%/committed 100%. Sustain entitled 65.5% undivided share of 9.07 ac land. Market rent per JLL (not a single psf figure in exec summary). chunk a</t>
        </is>
      </c>
    </row>
    <row r="9" ht="33.3" customHeight="1" s="18">
      <c r="A9" s="21" t="inlineStr">
        <is>
          <t>Mack Soft Tech Private Limited</t>
        </is>
      </c>
      <c r="B9" s="22" t="inlineStr">
        <is>
          <t>The Square, Financial District (Hyderabad)</t>
        </is>
      </c>
      <c r="C9" s="20" t="inlineStr">
        <is>
          <t>Office</t>
        </is>
      </c>
      <c r="D9" s="20" t="inlineStr">
        <is>
          <t>Hyderabad</t>
        </is>
      </c>
      <c r="E9" s="21" t="inlineStr">
        <is>
          <t>Gachibowli</t>
        </is>
      </c>
      <c r="F9" s="21" t="inlineStr">
        <is>
          <t>Gachibowli / Nanakramguda (Financial District)</t>
        </is>
      </c>
      <c r="G9" s="23" t="inlineStr">
        <is>
          <t>The Square, 110 Financial District, Nanakramguda, Hyderabad, Telangana 500032</t>
        </is>
      </c>
      <c r="H9" s="24" t="n">
        <v>820000</v>
      </c>
      <c r="I9" s="25" t="n">
        <v>0.82</v>
      </c>
      <c r="J9" s="25" t="n">
        <v>0.82</v>
      </c>
      <c r="K9" s="26" t="n">
        <v>0.72</v>
      </c>
      <c r="L9" s="26" t="n">
        <v>0.62</v>
      </c>
      <c r="M9" s="25" t="n">
        <v>60</v>
      </c>
      <c r="N9" s="25" t="n">
        <v>60</v>
      </c>
      <c r="O9" s="26">
        <f>IF(OR(M9="",N9="",N9=0),"",M9/N9-1)</f>
        <v/>
      </c>
      <c r="P9" s="25" t="n">
        <v>3.4</v>
      </c>
      <c r="Q9" s="24" t="n">
        <v>25</v>
      </c>
      <c r="R9" s="26" t="n">
        <v>0.08</v>
      </c>
      <c r="S9" s="26" t="n">
        <v>0.12</v>
      </c>
      <c r="T9" s="27" t="n">
        <v>707.727</v>
      </c>
      <c r="U9" s="27">
        <f>IF(OR(T9="",H9="",H9=0),"",T9*10000000/H9)</f>
        <v/>
      </c>
      <c r="V9" s="23" t="n"/>
      <c r="W9" s="23" t="n"/>
      <c r="X9" s="23" t="inlineStr">
        <is>
          <t>Non-SEZ office. Exit cap 8.00%, WACC 11.75%. Occ 61.5%/committed 72.3%. Market/marginal office rent INR60/psf/mo. Land ~6 ac freehold. chunk b</t>
        </is>
      </c>
    </row>
    <row r="10" ht="76" customHeight="1" s="18">
      <c r="A10" s="21" t="inlineStr">
        <is>
          <t>Mindspace Business Parks Private Limited</t>
        </is>
      </c>
      <c r="B10" s="22" t="inlineStr">
        <is>
          <t>Mindspace Airoli East</t>
        </is>
      </c>
      <c r="C10" s="20" t="inlineStr">
        <is>
          <t>Office</t>
        </is>
      </c>
      <c r="D10" s="20" t="inlineStr">
        <is>
          <t>Navi Mumbai</t>
        </is>
      </c>
      <c r="E10" s="21" t="inlineStr">
        <is>
          <t>Thane-Belapur Road</t>
        </is>
      </c>
      <c r="F10" s="21" t="inlineStr">
        <is>
          <t>Thane-Belapur Road (Airoli)</t>
        </is>
      </c>
      <c r="G10" s="23" t="inlineStr">
        <is>
          <t>Plot No.3, Kalwa Trans Thane Creek Ind. Area, Mindspace, Opp. Airoli Station, Airoli, Navi Mumbai 400708</t>
        </is>
      </c>
      <c r="H10" s="24" t="n">
        <v>7400000</v>
      </c>
      <c r="I10" s="25" t="n">
        <v>7.4</v>
      </c>
      <c r="J10" s="25" t="n">
        <v>4.98</v>
      </c>
      <c r="K10" s="26" t="n">
        <v>0.83</v>
      </c>
      <c r="L10" s="26" t="n">
        <v>0.73</v>
      </c>
      <c r="M10" s="25" t="n">
        <v>69</v>
      </c>
      <c r="N10" s="25" t="n">
        <v>68.3</v>
      </c>
      <c r="O10" s="26">
        <f>IF(OR(M10="",N10="",N10=0),"",M10/N10-1)</f>
        <v/>
      </c>
      <c r="P10" s="25" t="n">
        <v>4.9</v>
      </c>
      <c r="Q10" s="24" t="n">
        <v>48</v>
      </c>
      <c r="R10" s="26" t="n">
        <v>0.08</v>
      </c>
      <c r="S10" s="26" t="n">
        <v>0.12</v>
      </c>
      <c r="T10" s="27" t="n">
        <v>5802.395</v>
      </c>
      <c r="U10" s="27">
        <f>IF(OR(T10="",H10="",H10=0),"",T10*10000000/H10)</f>
        <v/>
      </c>
      <c r="V10" s="23" t="n"/>
      <c r="W10" s="23" t="n"/>
      <c r="X10" s="23" t="inlineStr">
        <is>
          <t>Grade A IT SEZ. Total 7.4 msf = 4.98 completed (occ/tenants shown) + 2.41 under-constr/future (B17 hotel+office, Bldg15; NIL occupancy). Exit cap 8.00%; WACC 11.75% completed, 13% UC. Completed occ 73.2%/committed 83.1%, 48 tenants. Land ~50.1 ac leasehold (MIDC 99yr). Also power distribution (see Energispace). chunk b</t>
        </is>
      </c>
    </row>
    <row r="11" ht="65.3" customHeight="1" s="18">
      <c r="A11" s="21" t="inlineStr">
        <is>
          <t>Gigaplex Estate Private Limited</t>
        </is>
      </c>
      <c r="B11" s="22" t="inlineStr">
        <is>
          <t>Mindspace Airoli West</t>
        </is>
      </c>
      <c r="C11" s="20" t="inlineStr">
        <is>
          <t>Office</t>
        </is>
      </c>
      <c r="D11" s="20" t="inlineStr">
        <is>
          <t>Navi Mumbai</t>
        </is>
      </c>
      <c r="E11" s="21" t="inlineStr">
        <is>
          <t>Thane-Belapur Road</t>
        </is>
      </c>
      <c r="F11" s="21" t="inlineStr">
        <is>
          <t>Thane-Belapur Road (Airoli)</t>
        </is>
      </c>
      <c r="G11" s="23" t="inlineStr">
        <is>
          <t>Mindspace Airoli West, Navi Mumbai, Maharashtra</t>
        </is>
      </c>
      <c r="H11" s="24" t="n">
        <v>6460000</v>
      </c>
      <c r="I11" s="25" t="n">
        <v>6.46</v>
      </c>
      <c r="J11" s="25" t="n">
        <v>5.41</v>
      </c>
      <c r="K11" s="26" t="n">
        <v>0.99</v>
      </c>
      <c r="L11" s="26" t="n">
        <v>0.97</v>
      </c>
      <c r="M11" s="25" t="n">
        <v>71</v>
      </c>
      <c r="N11" s="25" t="n">
        <v>67.2</v>
      </c>
      <c r="O11" s="26">
        <f>IF(OR(M11="",N11="",N11=0),"",M11/N11-1)</f>
        <v/>
      </c>
      <c r="P11" s="25" t="n">
        <v>9</v>
      </c>
      <c r="Q11" s="24" t="n">
        <v>62</v>
      </c>
      <c r="R11" s="26" t="n">
        <v>0.08</v>
      </c>
      <c r="S11" s="26" t="n">
        <v>0.12</v>
      </c>
      <c r="T11" s="27" t="n">
        <v>6577</v>
      </c>
      <c r="U11" s="27">
        <f>IF(OR(T11="",H11="",H11=0),"",T11*10000000/H11)</f>
        <v/>
      </c>
      <c r="V11" s="23" t="n"/>
      <c r="W11" s="23" t="n"/>
      <c r="X11" s="23" t="inlineStr">
        <is>
          <t>IT SEZ w/ data-centre buildings. Total 6.46 msf incl UC data centres (B7,B9A,B11). Completed 5.41 msf occ 96.6%/committed 98.7%, 62 tenants. Exit cap 8.00% (completed; 8.25% terminal on some); WACC 11.75% completed/13% UC. Market office rent INR71/psf/mo. Land ~50 ac leasehold (MIDC 95yr). chunk b</t>
        </is>
      </c>
    </row>
    <row r="12" ht="44" customHeight="1" s="18">
      <c r="A12" s="21" t="inlineStr">
        <is>
          <t>Avocado Properties and Trading (India) Private Limited</t>
        </is>
      </c>
      <c r="B12" s="22" t="inlineStr">
        <is>
          <t>Paradigm Mindspace Malad</t>
        </is>
      </c>
      <c r="C12" s="20" t="inlineStr">
        <is>
          <t>Office</t>
        </is>
      </c>
      <c r="D12" s="20" t="inlineStr">
        <is>
          <t>Mumbai</t>
        </is>
      </c>
      <c r="E12" s="21" t="inlineStr">
        <is>
          <t>Malad</t>
        </is>
      </c>
      <c r="F12" s="21" t="inlineStr">
        <is>
          <t>Western Suburbs (Malad)</t>
        </is>
      </c>
      <c r="G12" s="23" t="inlineStr">
        <is>
          <t>Paradigm Mindspace Malad, Mumbai, Maharashtra</t>
        </is>
      </c>
      <c r="H12" s="24" t="n">
        <v>760000</v>
      </c>
      <c r="I12" s="25" t="n">
        <v>0.76</v>
      </c>
      <c r="J12" s="25" t="n">
        <v>0.76</v>
      </c>
      <c r="K12" s="26" t="n">
        <v>0.99</v>
      </c>
      <c r="L12" s="26" t="n">
        <v>0.99</v>
      </c>
      <c r="M12" s="25" t="n">
        <v>116</v>
      </c>
      <c r="N12" s="25" t="n">
        <v>108.5</v>
      </c>
      <c r="O12" s="26">
        <f>IF(OR(M12="",N12="",N12=0),"",M12/N12-1)</f>
        <v/>
      </c>
      <c r="P12" s="25" t="n">
        <v>3.1</v>
      </c>
      <c r="Q12" s="24" t="n">
        <v>9</v>
      </c>
      <c r="R12" s="26" t="n">
        <v>0.08</v>
      </c>
      <c r="S12" s="26" t="n">
        <v>0.12</v>
      </c>
      <c r="T12" s="27" t="n">
        <v>1371.121</v>
      </c>
      <c r="U12" s="27">
        <f>IF(OR(T12="",H12="",H12=0),"",T12*10000000/H12)</f>
        <v/>
      </c>
      <c r="V12" s="23" t="n"/>
      <c r="W12" s="23" t="n"/>
      <c r="X12" s="23" t="inlineStr">
        <is>
          <t>Office. Exit cap 8.00%, WACC 11.75%. Occ 98.6%/committed 98.6%, 9 tenants. Market/marginal rent INR116/psf/mo, in-place INR108.5. WALE 3.1 yrs. Land ~4.2 ac freehold. chunk b</t>
        </is>
      </c>
    </row>
    <row r="13" ht="54.65" customHeight="1" s="18">
      <c r="A13" s="21" t="inlineStr">
        <is>
          <t>Avacado Properties and Trading (India) Private Limited</t>
        </is>
      </c>
      <c r="B13" s="22" t="inlineStr">
        <is>
          <t>The Square, BKC (Mumbai)</t>
        </is>
      </c>
      <c r="C13" s="20" t="inlineStr">
        <is>
          <t>Office</t>
        </is>
      </c>
      <c r="D13" s="20" t="inlineStr">
        <is>
          <t>Mumbai</t>
        </is>
      </c>
      <c r="E13" s="21" t="inlineStr">
        <is>
          <t>BKC</t>
        </is>
      </c>
      <c r="F13" s="21" t="inlineStr">
        <is>
          <t>BKC (SBD BKC)</t>
        </is>
      </c>
      <c r="G13" s="23" t="inlineStr">
        <is>
          <t>The Square, BKC, Mumbai, Maharashtra</t>
        </is>
      </c>
      <c r="H13" s="24" t="n">
        <v>150000</v>
      </c>
      <c r="I13" s="25" t="n">
        <v>0.15</v>
      </c>
      <c r="J13" s="25" t="n">
        <v>0.15</v>
      </c>
      <c r="K13" s="26" t="n">
        <v>1</v>
      </c>
      <c r="L13" s="26" t="n">
        <v>1</v>
      </c>
      <c r="M13" s="25" t="n">
        <v>318</v>
      </c>
      <c r="N13" s="25" t="n">
        <v>240</v>
      </c>
      <c r="O13" s="26">
        <f>IF(OR(M13="",N13="",N13=0),"",M13/N13-1)</f>
        <v/>
      </c>
      <c r="P13" s="25" t="n"/>
      <c r="Q13" s="24" t="n">
        <v>1</v>
      </c>
      <c r="R13" s="26" t="n">
        <v>0.08</v>
      </c>
      <c r="S13" s="26" t="n">
        <v>0.12</v>
      </c>
      <c r="T13" s="27" t="n">
        <v>533.8680000000001</v>
      </c>
      <c r="U13" s="27">
        <f>IF(OR(T13="",H13="",H13=0),"",T13*10000000/H13)</f>
        <v/>
      </c>
      <c r="V13" s="23" t="n"/>
      <c r="W13" s="23" t="n"/>
      <c r="X13" s="23" t="inlineStr">
        <is>
          <t>BKC office, fully operational single-tenant. Exit cap ~7.5-7.75%, WACC 11.75%. Occ 100%/committed 100%, 1 office tenant. Market/marginal rent INR318, in-place INR240 psf/mo. MV INR5,338.68mn. Land ~0.9 ac. SPV Avacado Properties. chunk b</t>
        </is>
      </c>
    </row>
    <row r="14" ht="54.65" customHeight="1" s="18">
      <c r="A14" s="21" t="inlineStr">
        <is>
          <t>KRC (Ascent SPV)</t>
        </is>
      </c>
      <c r="B14" s="22" t="inlineStr">
        <is>
          <t>The Square / Ascent, Worli</t>
        </is>
      </c>
      <c r="C14" s="20" t="inlineStr">
        <is>
          <t>Office</t>
        </is>
      </c>
      <c r="D14" s="20" t="inlineStr">
        <is>
          <t>Mumbai</t>
        </is>
      </c>
      <c r="E14" s="21" t="inlineStr">
        <is>
          <t>Worli</t>
        </is>
      </c>
      <c r="F14" s="21" t="inlineStr">
        <is>
          <t>Worli (SBD Central)</t>
        </is>
      </c>
      <c r="G14" s="23" t="inlineStr">
        <is>
          <t>Ascent, Worli, Mumbai, Maharashtra</t>
        </is>
      </c>
      <c r="H14" s="24" t="n">
        <v>450000</v>
      </c>
      <c r="I14" s="25" t="n">
        <v>0.45</v>
      </c>
      <c r="J14" s="25" t="n">
        <v>0.45</v>
      </c>
      <c r="K14" s="26" t="n">
        <v>0.97</v>
      </c>
      <c r="L14" s="26" t="n">
        <v>0.96</v>
      </c>
      <c r="M14" s="25" t="n">
        <v>340</v>
      </c>
      <c r="N14" s="25" t="n">
        <v>306.3</v>
      </c>
      <c r="O14" s="26">
        <f>IF(OR(M14="",N14="",N14=0),"",M14/N14-1)</f>
        <v/>
      </c>
      <c r="P14" s="25" t="n">
        <v>7.9</v>
      </c>
      <c r="Q14" s="24" t="n">
        <v>8</v>
      </c>
      <c r="R14" s="26" t="n">
        <v>0.08</v>
      </c>
      <c r="S14" s="26" t="n">
        <v>0.12</v>
      </c>
      <c r="T14" s="27" t="n">
        <v>2314.206</v>
      </c>
      <c r="U14" s="27">
        <f>IF(OR(T14="",H14="",H14=0),"",T14*10000000/H14)</f>
        <v/>
      </c>
      <c r="V14" s="23" t="n"/>
      <c r="W14" s="23" t="n"/>
      <c r="X14" s="23" t="inlineStr">
        <is>
          <t>Commercial Non-SEZ + 36 residential units to rent. Exit cap 7.50%, WACC 11.75%. Occ 95.5%/committed 96.7%, 8 office tenants. Market rent INR340, in-place INR306.3 psf/mo. Leasehold (perpetual). ~4.61 ac (22.45% undivided). chunk c</t>
        </is>
      </c>
    </row>
    <row r="15" ht="44" customHeight="1" s="18">
      <c r="A15" s="21" t="inlineStr">
        <is>
          <t>Mindspace Business Parks Private Limited</t>
        </is>
      </c>
      <c r="B15" s="22" t="inlineStr">
        <is>
          <t>Commerzone Yerwada (Pune)</t>
        </is>
      </c>
      <c r="C15" s="20" t="inlineStr">
        <is>
          <t>Office</t>
        </is>
      </c>
      <c r="D15" s="20" t="inlineStr">
        <is>
          <t>Pune</t>
        </is>
      </c>
      <c r="E15" s="21" t="inlineStr">
        <is>
          <t>Yerwada</t>
        </is>
      </c>
      <c r="F15" s="21" t="inlineStr">
        <is>
          <t>Yerwada (SBD East)</t>
        </is>
      </c>
      <c r="G15" s="23" t="inlineStr">
        <is>
          <t>Commerzone IT Park, Yerwada, Pune, Maharashtra</t>
        </is>
      </c>
      <c r="H15" s="24" t="n">
        <v>1790000</v>
      </c>
      <c r="I15" s="25" t="n">
        <v>1.79</v>
      </c>
      <c r="J15" s="25" t="n">
        <v>1.79</v>
      </c>
      <c r="K15" s="26" t="n">
        <v>0.96</v>
      </c>
      <c r="L15" s="26" t="n">
        <v>0.92</v>
      </c>
      <c r="M15" s="25" t="n">
        <v>82</v>
      </c>
      <c r="N15" s="25" t="n">
        <v>87.3</v>
      </c>
      <c r="O15" s="26">
        <f>IF(OR(M15="",N15="",N15=0),"",M15/N15-1)</f>
        <v/>
      </c>
      <c r="P15" s="25" t="n">
        <v>5.3</v>
      </c>
      <c r="Q15" s="24" t="n">
        <v>19</v>
      </c>
      <c r="R15" s="26" t="n">
        <v>0.08</v>
      </c>
      <c r="S15" s="26" t="n">
        <v>0.12</v>
      </c>
      <c r="T15" s="27" t="n">
        <v>2235.438</v>
      </c>
      <c r="U15" s="27">
        <f>IF(OR(T15="",H15="",H15=0),"",T15*10000000/H15)</f>
        <v/>
      </c>
      <c r="V15" s="23" t="n"/>
      <c r="W15" s="23" t="n"/>
      <c r="X15" s="23" t="inlineStr">
        <is>
          <t>Office. Exit cap 8.00%, WACC 11.75%. Occ 91.8%/committed 96.3%, 19 tenants. Market/marginal office rent INR82, in-place INR87.3 psf/mo. Land ~25.7 ac freehold. chunk c</t>
        </is>
      </c>
    </row>
    <row r="16" ht="33.3" customHeight="1" s="18">
      <c r="A16" s="21" t="inlineStr">
        <is>
          <t>KRC Infrastructure and Projects Private Limited</t>
        </is>
      </c>
      <c r="B16" s="22" t="inlineStr">
        <is>
          <t>Gera Commerzone SEZ &amp; IT Park (Kharadi, Pune)</t>
        </is>
      </c>
      <c r="C16" s="20" t="inlineStr">
        <is>
          <t>Office</t>
        </is>
      </c>
      <c r="D16" s="20" t="inlineStr">
        <is>
          <t>Pune</t>
        </is>
      </c>
      <c r="E16" s="21" t="inlineStr">
        <is>
          <t>Kharadi</t>
        </is>
      </c>
      <c r="F16" s="21" t="inlineStr">
        <is>
          <t>Kharadi (SBD East)</t>
        </is>
      </c>
      <c r="G16" s="23" t="inlineStr">
        <is>
          <t>Gera Commerzone SEZ and IT Park, Kharadi, Pune, Maharashtra</t>
        </is>
      </c>
      <c r="H16" s="24" t="n">
        <v>3000000</v>
      </c>
      <c r="I16" s="25" t="n">
        <v>3</v>
      </c>
      <c r="J16" s="25" t="n">
        <v>3</v>
      </c>
      <c r="K16" s="26" t="n">
        <v>1</v>
      </c>
      <c r="L16" s="26" t="n">
        <v>1</v>
      </c>
      <c r="M16" s="25" t="n">
        <v>90</v>
      </c>
      <c r="N16" s="25" t="n">
        <v>85.40000000000001</v>
      </c>
      <c r="O16" s="26">
        <f>IF(OR(M16="",N16="",N16=0),"",M16/N16-1)</f>
        <v/>
      </c>
      <c r="P16" s="25" t="n">
        <v>7.2</v>
      </c>
      <c r="Q16" s="24" t="n">
        <v>28</v>
      </c>
      <c r="R16" s="26" t="n">
        <v>0.08</v>
      </c>
      <c r="S16" s="26" t="n">
        <v>0.12</v>
      </c>
      <c r="T16" s="27" t="n">
        <v>5311.9</v>
      </c>
      <c r="U16" s="27">
        <f>IF(OR(T16="",H16="",H16=0),"",T16*10000000/H16)</f>
        <v/>
      </c>
      <c r="V16" s="23" t="n"/>
      <c r="W16" s="23" t="n"/>
      <c r="X16" s="23" t="inlineStr">
        <is>
          <t>SEZ IT. Exit cap 7.75%, WACC 11.75% completed/13% UC. Occ 100%/100%, 28 tenants. Market office rent INR90, in-place INR85.4 psf/mo. Land ~26 ac freehold. chunk c</t>
        </is>
      </c>
    </row>
    <row r="17" ht="33.3" customHeight="1" s="18">
      <c r="A17" s="21" t="inlineStr">
        <is>
          <t>Mindspace Business Parks Private Limited</t>
        </is>
      </c>
      <c r="B17" s="22" t="inlineStr">
        <is>
          <t>The Square, Nagar Road (Pune)</t>
        </is>
      </c>
      <c r="C17" s="20" t="inlineStr">
        <is>
          <t>Office</t>
        </is>
      </c>
      <c r="D17" s="20" t="inlineStr">
        <is>
          <t>Pune</t>
        </is>
      </c>
      <c r="E17" s="21" t="inlineStr">
        <is>
          <t>Nagar Road</t>
        </is>
      </c>
      <c r="F17" s="21" t="inlineStr">
        <is>
          <t>Nagar Road (SBD East)</t>
        </is>
      </c>
      <c r="G17" s="23" t="inlineStr">
        <is>
          <t>The Square, Nagar Road, Pune, Maharashtra</t>
        </is>
      </c>
      <c r="H17" s="24" t="n">
        <v>780000</v>
      </c>
      <c r="I17" s="25" t="n">
        <v>0.78</v>
      </c>
      <c r="J17" s="25" t="n">
        <v>0.78</v>
      </c>
      <c r="K17" s="26" t="n">
        <v>1</v>
      </c>
      <c r="L17" s="26" t="n">
        <v>1</v>
      </c>
      <c r="M17" s="25" t="n">
        <v>85</v>
      </c>
      <c r="N17" s="25" t="n">
        <v>85.3</v>
      </c>
      <c r="O17" s="26">
        <f>IF(OR(M17="",N17="",N17=0),"",M17/N17-1)</f>
        <v/>
      </c>
      <c r="P17" s="25" t="n">
        <v>2.4</v>
      </c>
      <c r="Q17" s="24" t="n">
        <v>4</v>
      </c>
      <c r="R17" s="26" t="n">
        <v>0.08</v>
      </c>
      <c r="S17" s="26" t="n">
        <v>0.12</v>
      </c>
      <c r="T17" s="27" t="n">
        <v>1055.141</v>
      </c>
      <c r="U17" s="27">
        <f>IF(OR(T17="",H17="",H17=0),"",T17*10000000/H17)</f>
        <v/>
      </c>
      <c r="V17" s="23" t="n"/>
      <c r="W17" s="23" t="n"/>
      <c r="X17" s="23" t="inlineStr">
        <is>
          <t>Office. Exit cap 8.00%, WACC 11.75%. Occ 100%/100%, 4 tenants. Market office rent INR85, in-place INR85.3 psf/mo. Land ~10.1 ac freehold. chunk c</t>
        </is>
      </c>
    </row>
    <row r="18" ht="44" customHeight="1" s="18">
      <c r="A18" s="21" t="inlineStr">
        <is>
          <t>Pramaan Properties Private Limited</t>
        </is>
      </c>
      <c r="B18" s="22" t="inlineStr">
        <is>
          <t>Pune IT Building, Kalyani Nagar</t>
        </is>
      </c>
      <c r="C18" s="20" t="inlineStr">
        <is>
          <t>Office</t>
        </is>
      </c>
      <c r="D18" s="20" t="inlineStr">
        <is>
          <t>Pune</t>
        </is>
      </c>
      <c r="E18" s="21" t="inlineStr">
        <is>
          <t>Kalyani Nagar</t>
        </is>
      </c>
      <c r="F18" s="21" t="inlineStr">
        <is>
          <t>Kalyani Nagar (SBD East)</t>
        </is>
      </c>
      <c r="G18" s="23" t="inlineStr">
        <is>
          <t>Pune IT Building (B8), Kalyani Nagar, Pune, Maharashtra</t>
        </is>
      </c>
      <c r="H18" s="24" t="n">
        <v>110000</v>
      </c>
      <c r="I18" s="25" t="n">
        <v>0.11</v>
      </c>
      <c r="J18" s="25" t="n">
        <v>0.11</v>
      </c>
      <c r="K18" s="26" t="n">
        <v>0.9399999999999999</v>
      </c>
      <c r="L18" s="26" t="n">
        <v>0.88</v>
      </c>
      <c r="M18" s="25" t="n">
        <v>84</v>
      </c>
      <c r="N18" s="25" t="n">
        <v>86.2</v>
      </c>
      <c r="O18" s="26">
        <f>IF(OR(M18="",N18="",N18=0),"",M18/N18-1)</f>
        <v/>
      </c>
      <c r="P18" s="25" t="n">
        <v>6.34</v>
      </c>
      <c r="Q18" s="24" t="n">
        <v>1</v>
      </c>
      <c r="R18" s="26" t="n">
        <v>0.08</v>
      </c>
      <c r="S18" s="26" t="n">
        <v>0.12</v>
      </c>
      <c r="T18" s="27" t="n">
        <v>148.151</v>
      </c>
      <c r="U18" s="27">
        <f>IF(OR(T18="",H18="",H18=0),"",T18*10000000/H18)</f>
        <v/>
      </c>
      <c r="V18" s="23" t="n"/>
      <c r="W18" s="23" t="n"/>
      <c r="X18" s="23" t="inlineStr">
        <is>
          <t>Single office building B8. Exit cap office 8.00%, WACC 11.75%. Occ 88.1%/committed 94.2%, 1 tenant. Market office rent INR84 (amenity INR65), in-place INR86.2 psf/mo. Land ~0.67 ac (39.96% undivided share) freehold. chunk d</t>
        </is>
      </c>
    </row>
    <row r="19" ht="44" customHeight="1" s="18">
      <c r="A19" s="21" t="inlineStr">
        <is>
          <t>Horizonview Properties Private Limited</t>
        </is>
      </c>
      <c r="B19" s="22" t="inlineStr">
        <is>
          <t>Commerzone Porur (Chennai)</t>
        </is>
      </c>
      <c r="C19" s="20" t="inlineStr">
        <is>
          <t>Office</t>
        </is>
      </c>
      <c r="D19" s="20" t="inlineStr">
        <is>
          <t>Chennai</t>
        </is>
      </c>
      <c r="E19" s="21" t="inlineStr">
        <is>
          <t>Porur</t>
        </is>
      </c>
      <c r="F19" s="21" t="inlineStr">
        <is>
          <t>Porur (SBD Southwest)</t>
        </is>
      </c>
      <c r="G19" s="23" t="inlineStr">
        <is>
          <t>Commerzone, Porur, Chennai, Tamil Nadu</t>
        </is>
      </c>
      <c r="H19" s="24" t="n">
        <v>1150000</v>
      </c>
      <c r="I19" s="25" t="n">
        <v>1.15</v>
      </c>
      <c r="J19" s="25" t="n">
        <v>1.15</v>
      </c>
      <c r="K19" s="26" t="n">
        <v>1</v>
      </c>
      <c r="L19" s="26" t="n">
        <v>1</v>
      </c>
      <c r="M19" s="25" t="n">
        <v>72</v>
      </c>
      <c r="N19" s="25" t="n">
        <v>65.7</v>
      </c>
      <c r="O19" s="26">
        <f>IF(OR(M19="",N19="",N19=0),"",M19/N19-1)</f>
        <v/>
      </c>
      <c r="P19" s="25" t="n"/>
      <c r="Q19" s="24" t="n">
        <v>16</v>
      </c>
      <c r="R19" s="26" t="n">
        <v>0.08</v>
      </c>
      <c r="S19" s="26" t="n">
        <v>0.12</v>
      </c>
      <c r="T19" s="27" t="n">
        <v>1333.474</v>
      </c>
      <c r="U19" s="27">
        <f>IF(OR(T19="",H19="",H19=0),"",T19*10000000/H19)</f>
        <v/>
      </c>
      <c r="V19" s="23" t="n"/>
      <c r="W19" s="23" t="n"/>
      <c r="X19" s="23" t="inlineStr">
        <is>
          <t>Office. Exit cap 7.75%, WACC 11.75%. Occ 99.5%/committed 100%, 16 tenants. Market/marginal office rent INR72, in-place INR65.7 psf/mo. Land ~6.13 ac freehold. WALE not cleanly captured. chunk d</t>
        </is>
      </c>
    </row>
    <row r="20" ht="44" customHeight="1" s="18">
      <c r="A20" s="21" t="inlineStr">
        <is>
          <t>Sundew Real Estate Private Limited</t>
        </is>
      </c>
      <c r="B20" s="22" t="inlineStr">
        <is>
          <t>The Square, Avenue 98 (BKC Annex)</t>
        </is>
      </c>
      <c r="C20" s="20" t="inlineStr">
        <is>
          <t>Office</t>
        </is>
      </c>
      <c r="D20" s="20" t="inlineStr">
        <is>
          <t>Mumbai</t>
        </is>
      </c>
      <c r="E20" s="21" t="inlineStr">
        <is>
          <t>BKC-Annex</t>
        </is>
      </c>
      <c r="F20" s="21" t="inlineStr">
        <is>
          <t>BKC-Annex (SBD BKC)</t>
        </is>
      </c>
      <c r="G20" s="23" t="inlineStr">
        <is>
          <t>The Square, Avenue 98 (BKC Annex), Mumbai, Maharashtra</t>
        </is>
      </c>
      <c r="H20" s="24" t="n">
        <v>220000</v>
      </c>
      <c r="I20" s="25" t="n">
        <v>0.22</v>
      </c>
      <c r="J20" s="25" t="n">
        <v>0.16</v>
      </c>
      <c r="K20" s="26" t="n">
        <v>1</v>
      </c>
      <c r="L20" s="26" t="n">
        <v>1</v>
      </c>
      <c r="M20" s="25" t="n">
        <v>250</v>
      </c>
      <c r="N20" s="25" t="n">
        <v>197.1</v>
      </c>
      <c r="O20" s="26">
        <f>IF(OR(M20="",N20="",N20=0),"",M20/N20-1)</f>
        <v/>
      </c>
      <c r="P20" s="25" t="n"/>
      <c r="Q20" s="24" t="n">
        <v>1</v>
      </c>
      <c r="R20" s="26" t="n">
        <v>0.08</v>
      </c>
      <c r="S20" s="26" t="n">
        <v>0.12</v>
      </c>
      <c r="T20" s="27" t="n">
        <v>756.9</v>
      </c>
      <c r="U20" s="27">
        <f>IF(OR(T20="",H20="",H20=0),"",T20*10000000/H20)</f>
        <v/>
      </c>
      <c r="V20" s="23" t="n"/>
      <c r="W20" s="23" t="n"/>
      <c r="X20" s="23" t="inlineStr">
        <is>
          <t>Commercial Non-SEZ. Leasable 0.22 msf, completed ~0.16 msf. Exit cap 7.50%, WACC 11.75%. Occ 100%/100%, 1 office tenant. Market rent INR250, in-place INR197.1 psf/mo. Land ~1.08 ac freehold. chunk d</t>
        </is>
      </c>
    </row>
    <row r="21" ht="15" customHeight="1" s="18">
      <c r="A21" s="29" t="inlineStr">
        <is>
          <t>TOTAL / weighted</t>
        </is>
      </c>
      <c r="H21" s="31">
        <f>SUM(H4:H20)</f>
        <v/>
      </c>
      <c r="I21" s="32">
        <f>SUM(I4:I20)</f>
        <v/>
      </c>
      <c r="M21" s="32">
        <f>IFERROR(AVERAGE(M4:M20),"")</f>
        <v/>
      </c>
      <c r="N21" s="32">
        <f>IFERROR(AVERAGE(N4:N20),"")</f>
        <v/>
      </c>
      <c r="T21" s="33">
        <f>SUM(T4:T20)</f>
        <v/>
      </c>
      <c r="U21" s="33">
        <f>IFERROR(T21*10000000/H21,"")</f>
        <v/>
      </c>
    </row>
  </sheetData>
  <autoFilter ref="A3:X20"/>
  <hyperlinks>
    <hyperlink xmlns:r="http://schemas.openxmlformats.org/officeDocument/2006/relationships" ref="B4" location="page=7" display="Mindspace Madhapur (Sundew)" r:id="rId1"/>
    <hyperlink xmlns:r="http://schemas.openxmlformats.org/officeDocument/2006/relationships" ref="B5" location="page=7" display="Mindspace Madhapur (KRIT)" r:id="rId2"/>
    <hyperlink xmlns:r="http://schemas.openxmlformats.org/officeDocument/2006/relationships" ref="B6" location="page=7" display="Mindspace Madhapur (Intime)" r:id="rId3"/>
    <hyperlink xmlns:r="http://schemas.openxmlformats.org/officeDocument/2006/relationships" ref="B7" display="Mindspace Pocharam" r:id="rId4"/>
    <hyperlink xmlns:r="http://schemas.openxmlformats.org/officeDocument/2006/relationships" ref="B8" location="page=7" display="Commerzone Raidurg (Sustain)" r:id="rId5"/>
    <hyperlink xmlns:r="http://schemas.openxmlformats.org/officeDocument/2006/relationships" ref="B9" location="page=8" display="The Square, Financial District (Hyderabad)" r:id="rId6"/>
    <hyperlink xmlns:r="http://schemas.openxmlformats.org/officeDocument/2006/relationships" ref="B10" location="page=8" display="Mindspace Airoli East" r:id="rId7"/>
    <hyperlink xmlns:r="http://schemas.openxmlformats.org/officeDocument/2006/relationships" ref="B11" location="page=8" display="Mindspace Airoli West" r:id="rId8"/>
    <hyperlink xmlns:r="http://schemas.openxmlformats.org/officeDocument/2006/relationships" ref="B12" location="page=8" display="Paradigm Mindspace Malad" r:id="rId9"/>
    <hyperlink xmlns:r="http://schemas.openxmlformats.org/officeDocument/2006/relationships" ref="B13" display="The Square, BKC (Mumbai)" r:id="rId10"/>
    <hyperlink xmlns:r="http://schemas.openxmlformats.org/officeDocument/2006/relationships" ref="B14" location="page=7" display="The Square / Ascent, Worli" r:id="rId11"/>
    <hyperlink xmlns:r="http://schemas.openxmlformats.org/officeDocument/2006/relationships" ref="B15" location="page=8" display="Commerzone Yerwada (Pune)" r:id="rId12"/>
    <hyperlink xmlns:r="http://schemas.openxmlformats.org/officeDocument/2006/relationships" ref="B16" location="page=7" display="Gera Commerzone SEZ &amp; IT Park (Kharadi, Pune)" r:id="rId13"/>
    <hyperlink xmlns:r="http://schemas.openxmlformats.org/officeDocument/2006/relationships" ref="B17" location="page=8" display="The Square, Nagar Road (Pune)" r:id="rId14"/>
    <hyperlink xmlns:r="http://schemas.openxmlformats.org/officeDocument/2006/relationships" ref="B18" display="Pune IT Building, Kalyani Nagar" r:id="rId15"/>
    <hyperlink xmlns:r="http://schemas.openxmlformats.org/officeDocument/2006/relationships" ref="B19" location="page=7" display="Commerzone Porur (Chennai)" r:id="rId16"/>
    <hyperlink xmlns:r="http://schemas.openxmlformats.org/officeDocument/2006/relationships" ref="B20" location="page=7" display="The Square, Avenue 98 (BKC Annex)" r:id="rId1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X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0546875" defaultRowHeight="15" customHeight="0" zeroHeight="0" outlineLevelRow="0"/>
  <cols>
    <col width="30" customWidth="1" style="17" min="1" max="1"/>
    <col width="26" customWidth="1" style="17" min="2" max="2"/>
    <col width="9" customWidth="1" style="17" min="3" max="3"/>
    <col width="13" customWidth="1" style="17" min="4" max="4"/>
    <col width="22" customWidth="1" style="17" min="5" max="5"/>
    <col width="24" customWidth="1" style="17" min="6" max="6"/>
    <col width="30" customWidth="1" style="17" min="7" max="7"/>
    <col width="12" customWidth="1" style="17" min="8" max="8"/>
    <col width="11" customWidth="1" style="17" min="9" max="10"/>
    <col width="10" customWidth="1" style="17" min="11" max="12"/>
    <col width="12" customWidth="1" style="17" min="13" max="14"/>
    <col width="11" customWidth="1" style="17" min="15" max="15"/>
    <col width="9" customWidth="1" style="17" min="16" max="16"/>
    <col width="8" customWidth="1" style="17" min="17" max="18"/>
    <col width="9" customWidth="1" style="17" min="19" max="19"/>
    <col width="13" customWidth="1" style="17" min="20" max="20"/>
    <col width="12" customWidth="1" style="17" min="21" max="21"/>
    <col width="30" customWidth="1" style="17" min="22" max="22"/>
    <col width="26" customWidth="1" style="17" min="23" max="23"/>
    <col width="46" customWidth="1" style="17" min="24" max="24"/>
  </cols>
  <sheetData>
    <row r="1" ht="15" customHeight="1" s="18">
      <c r="A1" s="30" t="inlineStr">
        <is>
          <t>Brookfield - Asset-level detail  (valuation 31 Mar 2026;  13 assets)</t>
        </is>
      </c>
    </row>
    <row r="3" ht="30" customHeight="1" s="18">
      <c r="A3" s="19" t="inlineStr">
        <is>
          <t>SPV / Holding entity</t>
        </is>
      </c>
      <c r="B3" s="19" t="inlineStr">
        <is>
          <t>Property / Asset</t>
        </is>
      </c>
      <c r="C3" s="19" t="inlineStr">
        <is>
          <t>Type</t>
        </is>
      </c>
      <c r="D3" s="19" t="inlineStr">
        <is>
          <t>City</t>
        </is>
      </c>
      <c r="E3" s="19" t="inlineStr">
        <is>
          <t>Locality / Area</t>
        </is>
      </c>
      <c r="F3" s="19" t="inlineStr">
        <is>
          <t>Micro-market (valuer)</t>
        </is>
      </c>
      <c r="G3" s="19" t="inlineStr">
        <is>
          <t>Address</t>
        </is>
      </c>
      <c r="H3" s="19" t="inlineStr">
        <is>
          <t>Leasable (sq ft)</t>
        </is>
      </c>
      <c r="I3" s="19" t="inlineStr">
        <is>
          <t>Leasable (msf)</t>
        </is>
      </c>
      <c r="J3" s="19" t="inlineStr">
        <is>
          <t>Completed (msf)</t>
        </is>
      </c>
      <c r="K3" s="19" t="inlineStr">
        <is>
          <t>Committed occ.</t>
        </is>
      </c>
      <c r="L3" s="19" t="inlineStr">
        <is>
          <t>In-place occ.</t>
        </is>
      </c>
      <c r="M3" s="19" t="inlineStr">
        <is>
          <t>Market rent /sqft/mo</t>
        </is>
      </c>
      <c r="N3" s="19" t="inlineStr">
        <is>
          <t>In-place rent /sqft/mo</t>
        </is>
      </c>
      <c r="O3" s="19" t="inlineStr">
        <is>
          <t>Rent reversion</t>
        </is>
      </c>
      <c r="P3" s="19" t="inlineStr">
        <is>
          <t>WALE (yrs)</t>
        </is>
      </c>
      <c r="Q3" s="19" t="inlineStr">
        <is>
          <t>Tenants</t>
        </is>
      </c>
      <c r="R3" s="19" t="inlineStr">
        <is>
          <t>Cap rate</t>
        </is>
      </c>
      <c r="S3" s="19" t="inlineStr">
        <is>
          <t>Discount rate</t>
        </is>
      </c>
      <c r="T3" s="19" t="inlineStr">
        <is>
          <t>Market value (INR cr)</t>
        </is>
      </c>
      <c r="U3" s="19" t="inlineStr">
        <is>
          <t>Value/sqft (INR)</t>
        </is>
      </c>
      <c r="V3" s="19" t="inlineStr">
        <is>
          <t>Mgmt fee (valuation DCF)</t>
        </is>
      </c>
      <c r="W3" s="19" t="inlineStr">
        <is>
          <t>Insurance (valuation DCF)</t>
        </is>
      </c>
      <c r="X3" s="19" t="inlineStr">
        <is>
          <t>Notes / source</t>
        </is>
      </c>
    </row>
    <row r="4" ht="118.65" customHeight="1" s="18">
      <c r="A4" s="21" t="inlineStr">
        <is>
          <t>Candor Kolkata One Hi-Tech Structures Private Limited</t>
        </is>
      </c>
      <c r="B4" s="22" t="inlineStr">
        <is>
          <t>Candor Techspace G2</t>
        </is>
      </c>
      <c r="C4" s="20" t="inlineStr">
        <is>
          <t>Office</t>
        </is>
      </c>
      <c r="D4" s="20" t="inlineStr">
        <is>
          <t>Gurugram</t>
        </is>
      </c>
      <c r="E4" s="21" t="inlineStr">
        <is>
          <t>Dundahera</t>
        </is>
      </c>
      <c r="F4" s="21" t="inlineStr">
        <is>
          <t>Old Delhi-Gurugram Road, Dundahera (Gurugram, established office/residential/retail micro-market; near DLF Cyber City)</t>
        </is>
      </c>
      <c r="G4" s="23" t="inlineStr">
        <is>
          <t>Candor Techspace, Dundahera, Gurugram, Haryana</t>
        </is>
      </c>
      <c r="H4" s="24" t="n">
        <v>4183449</v>
      </c>
      <c r="I4" s="25" t="n">
        <v>4.18</v>
      </c>
      <c r="J4" s="25" t="n">
        <v>4.08</v>
      </c>
      <c r="K4" s="26" t="n">
        <v>0.83</v>
      </c>
      <c r="L4" s="26" t="n"/>
      <c r="M4" s="25" t="n">
        <v>90</v>
      </c>
      <c r="N4" s="25" t="n">
        <v>88</v>
      </c>
      <c r="O4" s="26">
        <f>IF(OR(M4="",N4="",N4=0),"",M4/N4-1)</f>
        <v/>
      </c>
      <c r="P4" s="25" t="n">
        <v>8.1</v>
      </c>
      <c r="Q4" s="24" t="n"/>
      <c r="R4" s="26" t="n">
        <v>0.08</v>
      </c>
      <c r="S4" s="26" t="n">
        <v>0.12</v>
      </c>
      <c r="T4" s="27" t="n">
        <v>4811.2</v>
      </c>
      <c r="U4" s="27">
        <f>IF(OR(T4="",H4="",H4=0),"",T4*10000000/H4)</f>
        <v/>
      </c>
      <c r="V4" s="23" t="n"/>
      <c r="W4" s="23" t="n"/>
      <c r="X4" s="23" t="inlineStr">
        <is>
          <t>Completed leasable 4,083,525 sqft (13 bldgs, 83.34% committed occ) + future dev 99,924 sqft. WACC operational 11.50%, WACC under-construction/future dev 12.75% (discount_rate shown=12 rounded from 12.75 UC; operational WACC 11.5). REIT share 100% via Candor SPV; SPV entitled to 72% of gross revenue via JDA with Gurgaon Infospace Ltd (GIL owns land, gets 28%); economic interest in asset 72% (deck). Gross acq price K1+G2 = Rs 62.3 Bn. Completed MV 47,575mn + future dev 537mn = 48,112mn. Source val report pp.19-22; deck p.14 (Investor Pres FY26).</t>
        </is>
      </c>
    </row>
    <row r="5" ht="54.65" customHeight="1" s="18">
      <c r="A5" s="21" t="inlineStr">
        <is>
          <t>Seaview Developers Private Limited</t>
        </is>
      </c>
      <c r="B5" s="22" t="inlineStr">
        <is>
          <t>Candor Techspace N1</t>
        </is>
      </c>
      <c r="C5" s="20" t="inlineStr">
        <is>
          <t>Office</t>
        </is>
      </c>
      <c r="D5" s="20" t="inlineStr">
        <is>
          <t>Noida</t>
        </is>
      </c>
      <c r="E5" s="21" t="inlineStr">
        <is>
          <t>Sector 62 (Noida)</t>
        </is>
      </c>
      <c r="F5" s="21" t="inlineStr">
        <is>
          <t>Sector 62, Noida (institutional sector, NCR)</t>
        </is>
      </c>
      <c r="G5" s="23" t="inlineStr">
        <is>
          <t>Plot no. B2, Sector 62, Noida, Uttar Pradesh</t>
        </is>
      </c>
      <c r="H5" s="24" t="n"/>
      <c r="I5" s="25" t="n">
        <v>2.88</v>
      </c>
      <c r="J5" s="25" t="n">
        <v>2.02</v>
      </c>
      <c r="K5" s="26" t="n">
        <v>0.98</v>
      </c>
      <c r="L5" s="26" t="n"/>
      <c r="M5" s="25" t="n">
        <v>72</v>
      </c>
      <c r="N5" s="25" t="n">
        <v>64</v>
      </c>
      <c r="O5" s="26">
        <f>IF(OR(M5="",N5="",N5=0),"",M5/N5-1)</f>
        <v/>
      </c>
      <c r="P5" s="25" t="n">
        <v>7.8</v>
      </c>
      <c r="Q5" s="24" t="n"/>
      <c r="R5" s="26" t="n">
        <v>0.08</v>
      </c>
      <c r="S5" s="26" t="n">
        <v>0.12</v>
      </c>
      <c r="T5" s="27" t="n">
        <v>2948.5</v>
      </c>
      <c r="U5" s="27">
        <f>IF(OR(T5="",H5="",H5=0),"",T5*10000000/H5)</f>
        <v/>
      </c>
      <c r="V5" s="23" t="n"/>
      <c r="W5" s="23" t="n"/>
      <c r="X5" s="23" t="inlineStr">
        <is>
          <t>Completed 20,23,237 sqft (7 bldgs, 97.96% committed occ) + future dev 0.86 msf. REIT share 100%. WACC operational 11.50%, UC 12.75%. Completed MV 26,026mn + future dev 3,459mn = 29,485mn. Source val report pp.23-26; deck p.14.</t>
        </is>
      </c>
    </row>
    <row r="6" ht="65.3" customHeight="1" s="18">
      <c r="A6" s="21" t="inlineStr">
        <is>
          <t>Festus Properties Private Limited</t>
        </is>
      </c>
      <c r="B6" s="22" t="inlineStr">
        <is>
          <t>Candor Techspace N2</t>
        </is>
      </c>
      <c r="C6" s="20" t="inlineStr">
        <is>
          <t>Office</t>
        </is>
      </c>
      <c r="D6" s="20" t="inlineStr">
        <is>
          <t>Noida</t>
        </is>
      </c>
      <c r="E6" s="21" t="inlineStr">
        <is>
          <t>Sector 135 (Noida)</t>
        </is>
      </c>
      <c r="F6" s="21" t="inlineStr">
        <is>
          <t>Sector 135, Noida-Greater Noida Expressway micro-market</t>
        </is>
      </c>
      <c r="G6" s="23" t="inlineStr">
        <is>
          <t>Plot No. 20, 21, Sector 135, Noida, Uttar Pradesh</t>
        </is>
      </c>
      <c r="H6" s="24" t="n"/>
      <c r="I6" s="25" t="n">
        <v>4.69</v>
      </c>
      <c r="J6" s="25" t="n">
        <v>3.92</v>
      </c>
      <c r="K6" s="26" t="n">
        <v>0.9399999999999999</v>
      </c>
      <c r="L6" s="26" t="n"/>
      <c r="M6" s="25" t="n">
        <v>70</v>
      </c>
      <c r="N6" s="25" t="n">
        <v>64</v>
      </c>
      <c r="O6" s="26">
        <f>IF(OR(M6="",N6="",N6=0),"",M6/N6-1)</f>
        <v/>
      </c>
      <c r="P6" s="25" t="n">
        <v>6.9</v>
      </c>
      <c r="Q6" s="24" t="n"/>
      <c r="R6" s="26" t="n">
        <v>0.08</v>
      </c>
      <c r="S6" s="26" t="n">
        <v>0.12</v>
      </c>
      <c r="T6" s="27" t="n">
        <v>4941</v>
      </c>
      <c r="U6" s="27">
        <f>IF(OR(T6="",H6="",H6=0),"",T6*10000000/H6)</f>
        <v/>
      </c>
      <c r="V6" s="23" t="n"/>
      <c r="W6" s="23" t="n"/>
      <c r="X6" s="23" t="inlineStr">
        <is>
          <t>Completed 39,15,881 sqft (14 bldgs, 93.52% committed occ) + future dev 0.77 msf. REIT share 100%. Achievable mkt rent: 70 SEZ office / 57 non-SEZ / 60 mixed-use retail; inplace(current effective) 64. WACC operational 11.50%, UC 12.75%. Completed MV 47,064mn + future dev 2,346mn = 49,410mn. Source val report pp.27-30; deck p.14.</t>
        </is>
      </c>
    </row>
    <row r="7" ht="86.65000000000001" customHeight="1" s="18">
      <c r="A7" s="21" t="inlineStr">
        <is>
          <t>Shantiniketan Properties Private Limited</t>
        </is>
      </c>
      <c r="B7" s="22" t="inlineStr">
        <is>
          <t>Candor Techspace K1</t>
        </is>
      </c>
      <c r="C7" s="20" t="inlineStr">
        <is>
          <t>Office</t>
        </is>
      </c>
      <c r="D7" s="20" t="inlineStr">
        <is>
          <t>Kolkata</t>
        </is>
      </c>
      <c r="E7" s="21" t="inlineStr">
        <is>
          <t>New Town (Rajarhat)</t>
        </is>
      </c>
      <c r="F7" s="21" t="inlineStr">
        <is>
          <t>New Town, Rajarhat, Kolkata (established office micro-market; ~1.5km from CBD metro)</t>
        </is>
      </c>
      <c r="G7" s="23" t="inlineStr">
        <is>
          <t>Plot No. 1, DH Block, New Town, Rajarhat, Kolkata, West Bengal</t>
        </is>
      </c>
      <c r="H7" s="24" t="n"/>
      <c r="I7" s="25" t="n">
        <v>5.89</v>
      </c>
      <c r="J7" s="25" t="n">
        <v>3.2</v>
      </c>
      <c r="K7" s="26" t="n">
        <v>0.99</v>
      </c>
      <c r="L7" s="26" t="n"/>
      <c r="M7" s="25" t="n">
        <v>55</v>
      </c>
      <c r="N7" s="25" t="n">
        <v>49</v>
      </c>
      <c r="O7" s="26">
        <f>IF(OR(M7="",N7="",N7=0),"",M7/N7-1)</f>
        <v/>
      </c>
      <c r="P7" s="25" t="n">
        <v>8.9</v>
      </c>
      <c r="Q7" s="24" t="n"/>
      <c r="R7" s="26" t="n">
        <v>0.08500000000000001</v>
      </c>
      <c r="S7" s="26" t="n">
        <v>0.12</v>
      </c>
      <c r="T7" s="27" t="n">
        <v>3621</v>
      </c>
      <c r="U7" s="27">
        <f>IF(OR(T7="",H7="",H7=0),"",T7*10000000/H7)</f>
        <v/>
      </c>
      <c r="V7" s="23" t="n"/>
      <c r="W7" s="23" t="n"/>
      <c r="X7" s="23" t="inlineStr">
        <is>
          <t>Completed 32,01,857 sqft (12 bldgs, 98.82% committed occ) + under construction 0.58 msf + future dev 2.11 msf. REIT share 100%. Achievable mkt rent 55 SEZ office /57 non-SEZ /60 mixed-use retail; inplace 49. Cap rate 8.50%. WACC operational 11.50%, UC 12.75%. MV: completed 29,479mn + UC 2,430mn + future dev 4,301mn = 36,210mn. Gross acq price K1+G2=Rs62.3Bn. Source val report pp.31-35; deck p.14.</t>
        </is>
      </c>
    </row>
    <row r="8" ht="97.3" customHeight="1" s="18">
      <c r="A8" s="21" t="inlineStr">
        <is>
          <t>Festus Properties Private Limited</t>
        </is>
      </c>
      <c r="B8" s="22" t="inlineStr">
        <is>
          <t>Kensington (A &amp; B)</t>
        </is>
      </c>
      <c r="C8" s="20" t="inlineStr">
        <is>
          <t>Office</t>
        </is>
      </c>
      <c r="D8" s="20" t="inlineStr">
        <is>
          <t>Mumbai</t>
        </is>
      </c>
      <c r="E8" s="21" t="inlineStr">
        <is>
          <t>Powai / Andheri</t>
        </is>
      </c>
      <c r="F8" s="21" t="inlineStr">
        <is>
          <t>Andheri &amp; Powai micro-market, MMR (only private IT/ITeS SEZ in Mumbai excl. Thane/Navi Mumbai)</t>
        </is>
      </c>
      <c r="G8" s="23" t="inlineStr">
        <is>
          <t>Hiranandani Business Park, CTS No. 28A, Powai, Mumbai 400076, Maharashtra</t>
        </is>
      </c>
      <c r="H8" s="24" t="n">
        <v>1619079</v>
      </c>
      <c r="I8" s="25" t="n">
        <v>1.61</v>
      </c>
      <c r="J8" s="25" t="n">
        <v>1.61</v>
      </c>
      <c r="K8" s="26" t="n">
        <v>0.96</v>
      </c>
      <c r="L8" s="26" t="n"/>
      <c r="M8" s="25" t="n">
        <v>160</v>
      </c>
      <c r="N8" s="25" t="n">
        <v>136</v>
      </c>
      <c r="O8" s="26">
        <f>IF(OR(M8="",N8="",N8=0),"",M8/N8-1)</f>
        <v/>
      </c>
      <c r="P8" s="25" t="n">
        <v>9.1</v>
      </c>
      <c r="Q8" s="24" t="n"/>
      <c r="R8" s="26" t="n">
        <v>0.08</v>
      </c>
      <c r="S8" s="26" t="n">
        <v>0.12</v>
      </c>
      <c r="T8" s="27" t="n">
        <v>3198.1</v>
      </c>
      <c r="U8" s="27">
        <f>IF(OR(T8="",H8="",H8=0),"",T8*10000000/H8)</f>
        <v/>
      </c>
      <c r="V8" s="23" t="n"/>
      <c r="W8" s="23" t="n"/>
      <c r="X8" s="23" t="inlineStr">
        <is>
          <t>Single bldg two wings, 1,619,079 sqft, 95.61% committed occ (val rpt) / 96% (deck). REIT share 100%. Deck groups Kensington under 'Downtown Powai - SEZ' (100% economic interest). Property tax entity: Festus Properties Pvt Ltd (val rpt). Achievable mkt rent 160 IT SEZ /175 IT; inplace(current effective) 136. Cap rate 8.00%, WACC operational 11.50%. Major tenants: TCS, L&amp;T, GE Oil &amp; Gas, Ergo Technology, Nomura, Aptia, RXO. Gross acq price Rs22.9Bn. MV 31,981mn. Source val report pp.36-39; deck p.14.</t>
        </is>
      </c>
    </row>
    <row r="9" ht="86.65000000000001" customHeight="1" s="18">
      <c r="A9" s="21" t="inlineStr">
        <is>
          <t>Candor Gurgaon One Realty Projects Private Limited</t>
        </is>
      </c>
      <c r="B9" s="22" t="inlineStr">
        <is>
          <t>Candor Techspace G1</t>
        </is>
      </c>
      <c r="C9" s="20" t="inlineStr">
        <is>
          <t>Office</t>
        </is>
      </c>
      <c r="D9" s="20" t="inlineStr">
        <is>
          <t>Gurugram</t>
        </is>
      </c>
      <c r="E9" s="21" t="inlineStr">
        <is>
          <t>Sector 48 (Gurugram)</t>
        </is>
      </c>
      <c r="F9" s="21" t="inlineStr">
        <is>
          <t>Sector 48, Gurugram (Village Tikri), Haryana</t>
        </is>
      </c>
      <c r="G9" s="23" t="inlineStr">
        <is>
          <t>Village Tikri, Sector 48, Gurugram, Haryana</t>
        </is>
      </c>
      <c r="H9" s="24" t="n"/>
      <c r="I9" s="25" t="n">
        <v>3.89</v>
      </c>
      <c r="J9" s="25" t="n">
        <v>3.79</v>
      </c>
      <c r="K9" s="26" t="n">
        <v>0.89</v>
      </c>
      <c r="L9" s="26" t="n"/>
      <c r="M9" s="25" t="n">
        <v>88</v>
      </c>
      <c r="N9" s="25" t="n">
        <v>83</v>
      </c>
      <c r="O9" s="26">
        <f>IF(OR(M9="",N9="",N9=0),"",M9/N9-1)</f>
        <v/>
      </c>
      <c r="P9" s="25" t="n">
        <v>6.3</v>
      </c>
      <c r="Q9" s="24" t="n"/>
      <c r="R9" s="26" t="n">
        <v>0.08</v>
      </c>
      <c r="S9" s="26" t="n">
        <v>0.12</v>
      </c>
      <c r="T9" s="27" t="n">
        <v>6048.9</v>
      </c>
      <c r="U9" s="27">
        <f>IF(OR(T9="",H9="",H9=0),"",T9*10000000/H9)</f>
        <v/>
      </c>
      <c r="V9" s="23" t="n"/>
      <c r="W9" s="23" t="n"/>
      <c r="X9" s="23" t="inlineStr">
        <is>
          <t>JV / North Commercial Portfolio - equity-accounted; REIT economic interest 50% (deck). Val report MV of financial interest is 100% asset value 60,489mn (completed 59,924mn + future dev 565mn); 12 completed bldgs, 88.67% committed occ (val rpt)/89% (deck). Held via North Commercial Portfolio Holding Entity (BIRET 50% / GIC 50%). WACC operational 11.50%, UC 12.75%. Source val report pp.40-43; deck p.14, p.38.</t>
        </is>
      </c>
    </row>
    <row r="10" ht="108" customHeight="1" s="18">
      <c r="A10" s="21" t="inlineStr">
        <is>
          <t>Kairos Properties Private Limited</t>
        </is>
      </c>
      <c r="B10" s="22" t="inlineStr">
        <is>
          <t>Downtown Powai (Kairos)</t>
        </is>
      </c>
      <c r="C10" s="20" t="inlineStr">
        <is>
          <t>Office</t>
        </is>
      </c>
      <c r="D10" s="20" t="inlineStr">
        <is>
          <t>Mumbai</t>
        </is>
      </c>
      <c r="E10" s="21" t="inlineStr">
        <is>
          <t>Powai</t>
        </is>
      </c>
      <c r="F10" s="21" t="inlineStr">
        <is>
          <t>Andheri &amp; Powai micro-market, MMR</t>
        </is>
      </c>
      <c r="G10" s="23" t="inlineStr">
        <is>
          <t>Hiranandani Business Park, Powai, Mumbai 400076, Maharashtra</t>
        </is>
      </c>
      <c r="H10" s="24" t="n"/>
      <c r="I10" s="25" t="n">
        <v>2.86</v>
      </c>
      <c r="J10" s="25" t="n">
        <v>2.86</v>
      </c>
      <c r="K10" s="26" t="n">
        <v>0.95</v>
      </c>
      <c r="L10" s="26" t="n"/>
      <c r="M10" s="25" t="n">
        <v>195</v>
      </c>
      <c r="N10" s="25" t="n">
        <v>186</v>
      </c>
      <c r="O10" s="26">
        <f>IF(OR(M10="",N10="",N10=0),"",M10/N10-1)</f>
        <v/>
      </c>
      <c r="P10" s="25" t="n">
        <v>3.9</v>
      </c>
      <c r="Q10" s="24" t="n"/>
      <c r="R10" s="26" t="n"/>
      <c r="S10" s="26" t="n">
        <v>0.12</v>
      </c>
      <c r="T10" s="27" t="n">
        <v>8575</v>
      </c>
      <c r="U10" s="27">
        <f>IF(OR(T10="",H10="",H10=0),"",T10*10000000/H10)</f>
        <v/>
      </c>
      <c r="V10" s="23" t="n"/>
      <c r="W10" s="23" t="n"/>
      <c r="X10" s="23" t="inlineStr">
        <is>
          <t>JV / North Commercial Portfolio - equity-accounted; REIT interest 50% Equity + 50% CCDs (val rpt sec 4.7.3); deck 'Downtown Powai - IT/Commercial' 50% economic interest. Val report MV of financial interest 85,750mn (appears to be 100% asset basis). Cap rate stated NA (multiple use types); WACC operational 11.50%. Achievable mkt rent: office 195 commercial + separate IT Central/South, retail multiple (Delphi/Ventura Rs450-543); inplace(current effective) 186. Held via North portfolio (BIRET/GIC). Source val report pp.44-47; deck p.14, p.38.</t>
        </is>
      </c>
    </row>
    <row r="11" ht="97.3" customHeight="1" s="18">
      <c r="A11" s="21" t="inlineStr">
        <is>
          <t>Aspen Buildtech Private Limited</t>
        </is>
      </c>
      <c r="B11" s="22" t="inlineStr">
        <is>
          <t>Worldmark Tower 1 (Worldmark New Delhi)</t>
        </is>
      </c>
      <c r="C11" s="20" t="inlineStr">
        <is>
          <t>Retail</t>
        </is>
      </c>
      <c r="D11" s="20" t="inlineStr">
        <is>
          <t>New Delhi</t>
        </is>
      </c>
      <c r="E11" s="21" t="inlineStr">
        <is>
          <t>Aerocity</t>
        </is>
      </c>
      <c r="F11" s="21" t="inlineStr">
        <is>
          <t>Aerocity / Airport District, Delhi International Airport (established office &amp; retail micro-market, Delhi NCR)</t>
        </is>
      </c>
      <c r="G11" s="23" t="inlineStr">
        <is>
          <t>Aerocity, Delhi International Airport, New Delhi</t>
        </is>
      </c>
      <c r="H11" s="24" t="n">
        <v>607892</v>
      </c>
      <c r="I11" s="25" t="n">
        <v>0.61</v>
      </c>
      <c r="J11" s="25" t="n">
        <v>0.61</v>
      </c>
      <c r="K11" s="26" t="n">
        <v>0.99</v>
      </c>
      <c r="L11" s="26" t="n"/>
      <c r="M11" s="25" t="n">
        <v>235</v>
      </c>
      <c r="N11" s="25" t="n">
        <v>214</v>
      </c>
      <c r="O11" s="26">
        <f>IF(OR(M11="",N11="",N11=0),"",M11/N11-1)</f>
        <v/>
      </c>
      <c r="P11" s="25" t="n"/>
      <c r="Q11" s="24" t="n"/>
      <c r="R11" s="26" t="n"/>
      <c r="S11" s="26" t="n"/>
      <c r="T11" s="27" t="n">
        <v>1885.6</v>
      </c>
      <c r="U11" s="27">
        <f>IF(OR(T11="",H11="",H11=0),"",T11*10000000/H11)</f>
        <v/>
      </c>
      <c r="V11" s="23" t="n"/>
      <c r="W11" s="23" t="n"/>
      <c r="X11" s="23" t="inlineStr">
        <is>
          <t>JV / North Commercial Portfolio - equity-accounted; part of 'Worldmark, New Delhi' (deck 50% economic interest, WALE 5.1yr, inplace rent ~230 combined WM ND). Tower 1: 607,892 sqft, 99.4% committed occ. Cap rate NA in val rpt; WACC operational 11.50%. Achievable mkt rent office 235 / retail 190; current effective 214. Val report MV 18,856mn (100% asset basis). Held via Aspen Buildtech, North portfolio (BIRET/GIC 50/50). Source val report pp.48-51; deck p.14.</t>
        </is>
      </c>
    </row>
    <row r="12" ht="86.65000000000001" customHeight="1" s="18">
      <c r="A12" s="21" t="inlineStr">
        <is>
          <t>Aspen Buildtech Private Limited</t>
        </is>
      </c>
      <c r="B12" s="22" t="inlineStr">
        <is>
          <t>Worldmark Tower 2 &amp; 3 (Worldmark New Delhi)</t>
        </is>
      </c>
      <c r="C12" s="20" t="inlineStr">
        <is>
          <t>Retail</t>
        </is>
      </c>
      <c r="D12" s="20" t="inlineStr">
        <is>
          <t>New Delhi</t>
        </is>
      </c>
      <c r="E12" s="21" t="inlineStr">
        <is>
          <t>Aerocity</t>
        </is>
      </c>
      <c r="F12" s="21" t="inlineStr">
        <is>
          <t>Aerocity / Airport District, Delhi International Airport (Delhi NCR)</t>
        </is>
      </c>
      <c r="G12" s="23" t="inlineStr">
        <is>
          <t>Aerocity, Delhi International Airport, New Delhi</t>
        </is>
      </c>
      <c r="H12" s="24" t="n">
        <v>847326</v>
      </c>
      <c r="I12" s="25" t="n">
        <v>0.85</v>
      </c>
      <c r="J12" s="25" t="n">
        <v>0.85</v>
      </c>
      <c r="K12" s="26" t="n">
        <v>0.93</v>
      </c>
      <c r="L12" s="26" t="n"/>
      <c r="M12" s="25" t="n">
        <v>235</v>
      </c>
      <c r="N12" s="25" t="n">
        <v>249</v>
      </c>
      <c r="O12" s="26">
        <f>IF(OR(M12="",N12="",N12=0),"",M12/N12-1)</f>
        <v/>
      </c>
      <c r="P12" s="25" t="n"/>
      <c r="Q12" s="24" t="n"/>
      <c r="R12" s="26" t="n"/>
      <c r="S12" s="26" t="n"/>
      <c r="T12" s="27" t="n">
        <v>2806.3</v>
      </c>
      <c r="U12" s="27">
        <f>IF(OR(T12="",H12="",H12=0),"",T12*10000000/H12)</f>
        <v/>
      </c>
      <c r="V12" s="23" t="n"/>
      <c r="W12" s="23" t="n"/>
      <c r="X12" s="23" t="inlineStr">
        <is>
          <t>JV / North Commercial Portfolio - equity-accounted; part of 'Worldmark, New Delhi' (deck 50% economic interest). Tower 2&amp;3: 847,326 sqft, 92.90% committed occ. Cap rate NA; WACC operational 11.50%. Achievable mkt rent office 235 / retail 190 / Atelier 410; current effective rents 249 (T?) &amp; 232 (T?). Val report MV 28,063mn (100% asset basis). Held via Aspen Buildtech, North portfolio (BIRET/GIC 50/50). Source val report pp.52-57; deck p.14.</t>
        </is>
      </c>
    </row>
    <row r="13" ht="86.65000000000001" customHeight="1" s="18">
      <c r="A13" s="21" t="inlineStr">
        <is>
          <t>Rostrum Realty Private Limited</t>
        </is>
      </c>
      <c r="B13" s="22" t="inlineStr">
        <is>
          <t>Bharti Airtel Centre</t>
        </is>
      </c>
      <c r="C13" s="20" t="inlineStr">
        <is>
          <t>Office</t>
        </is>
      </c>
      <c r="D13" s="20" t="inlineStr">
        <is>
          <t>Gurugram</t>
        </is>
      </c>
      <c r="E13" s="21" t="inlineStr">
        <is>
          <t>Sector 18 (Gurugram)</t>
        </is>
      </c>
      <c r="F13" s="21" t="inlineStr">
        <is>
          <t>Sector 18, Phase IV, Gurugram North micro-market (near DLF Cyber City)</t>
        </is>
      </c>
      <c r="G13" s="23" t="inlineStr">
        <is>
          <t>Phase IV, Sector 18, Gurugram, Haryana</t>
        </is>
      </c>
      <c r="H13" s="24" t="n">
        <v>692585</v>
      </c>
      <c r="I13" s="25" t="n">
        <v>0.6899999999999999</v>
      </c>
      <c r="J13" s="25" t="n">
        <v>0.6899999999999999</v>
      </c>
      <c r="K13" s="26" t="n">
        <v>1</v>
      </c>
      <c r="L13" s="26" t="n">
        <v>1</v>
      </c>
      <c r="M13" s="25" t="n"/>
      <c r="N13" s="25" t="n">
        <v>131</v>
      </c>
      <c r="O13" s="26">
        <f>IF(OR(M13="",N13="",N13=0),"",M13/N13-1)</f>
        <v/>
      </c>
      <c r="P13" s="25" t="n">
        <v>2</v>
      </c>
      <c r="Q13" s="24" t="n">
        <v>1</v>
      </c>
      <c r="R13" s="26" t="n">
        <v>0.08</v>
      </c>
      <c r="S13" s="26" t="n">
        <v>0.12</v>
      </c>
      <c r="T13" s="27" t="n">
        <v>1428.4</v>
      </c>
      <c r="U13" s="27">
        <f>IF(OR(T13="",H13="",H13=0),"",T13*10000000/H13)</f>
        <v/>
      </c>
      <c r="V13" s="23" t="n"/>
      <c r="W13" s="23" t="n"/>
      <c r="X13" s="23" t="inlineStr">
        <is>
          <t>JV / North Commercial Portfolio - equity-accounted; REIT 50% economic interest (deck). Held by Rostrum Realty Pvt Ltd (also holds Pavilion Mall). Single bldg 692,585 sqft, 100% committed occ, single tenant (Bharti Airtel). Current effective rent 131 (deck in-place rent at expiry Rs131). Cap rate 8.00%, WACC operational 11.50%. Val report MV 14,284mn (100% asset basis). Source val report pp.58-61; deck p.14, p.30.</t>
        </is>
      </c>
    </row>
    <row r="14" ht="76" customHeight="1" s="18">
      <c r="A14" s="21" t="inlineStr">
        <is>
          <t>Oak Infrastructure Developers Private Limited</t>
        </is>
      </c>
      <c r="B14" s="22" t="inlineStr">
        <is>
          <t>Worldmark Gurugram</t>
        </is>
      </c>
      <c r="C14" s="20" t="inlineStr">
        <is>
          <t>Retail</t>
        </is>
      </c>
      <c r="D14" s="20" t="inlineStr">
        <is>
          <t>Gurugram</t>
        </is>
      </c>
      <c r="E14" s="21" t="inlineStr">
        <is>
          <t>Golf Course Ext (Sector 65)</t>
        </is>
      </c>
      <c r="F14" s="21" t="inlineStr">
        <is>
          <t>Sector 65, Gurugram (Golf Course Extension Road area)</t>
        </is>
      </c>
      <c r="G14" s="23" t="inlineStr">
        <is>
          <t>Sector 65, Gurugram, Haryana</t>
        </is>
      </c>
      <c r="H14" s="24" t="n">
        <v>751397</v>
      </c>
      <c r="I14" s="25" t="n">
        <v>0.75</v>
      </c>
      <c r="J14" s="25" t="n">
        <v>0.75</v>
      </c>
      <c r="K14" s="26" t="n">
        <v>0.92</v>
      </c>
      <c r="L14" s="26" t="n">
        <v>0.92</v>
      </c>
      <c r="M14" s="25" t="n"/>
      <c r="N14" s="25" t="n">
        <v>94</v>
      </c>
      <c r="O14" s="26">
        <f>IF(OR(M14="",N14="",N14=0),"",M14/N14-1)</f>
        <v/>
      </c>
      <c r="P14" s="25" t="n">
        <v>5.8</v>
      </c>
      <c r="Q14" s="24" t="n"/>
      <c r="R14" s="26" t="n">
        <v>0.08</v>
      </c>
      <c r="S14" s="26" t="n">
        <v>0.12</v>
      </c>
      <c r="T14" s="27" t="n">
        <v>1091.2</v>
      </c>
      <c r="U14" s="27">
        <f>IF(OR(T14="",H14="",H14=0),"",T14*10000000/H14)</f>
        <v/>
      </c>
      <c r="V14" s="23" t="n"/>
      <c r="W14" s="23" t="n"/>
      <c r="X14" s="23" t="inlineStr">
        <is>
          <t>JV / North Commercial Portfolio - equity-accounted; REIT 50% economic interest (deck). Held by Oak Infrastructure Developers. 5 towers (Tower 1-5), 751,397 sqft, 92.2% committed occ (val rpt)/92% (deck). Current effective rent 94 (deck inplace Rs94). Cap rate 8.00%, WACC operational 11.50%. Val report MV 10,912mn (100% asset basis). Source val report pp.62-65; deck p.14.</t>
        </is>
      </c>
    </row>
    <row r="15" ht="65.3" customHeight="1" s="18">
      <c r="A15" s="21" t="inlineStr">
        <is>
          <t>Rostrum Realty Private Limited</t>
        </is>
      </c>
      <c r="B15" s="22" t="inlineStr">
        <is>
          <t>Pavilion Mall</t>
        </is>
      </c>
      <c r="C15" s="20" t="inlineStr">
        <is>
          <t>Retail</t>
        </is>
      </c>
      <c r="D15" s="20" t="inlineStr">
        <is>
          <t>Ludhiana</t>
        </is>
      </c>
      <c r="E15" s="21" t="inlineStr">
        <is>
          <t>Civil Lines</t>
        </is>
      </c>
      <c r="F15" s="21" t="inlineStr">
        <is>
          <t>Civil Lines, Ludhiana, Punjab</t>
        </is>
      </c>
      <c r="G15" s="23" t="inlineStr">
        <is>
          <t>Civil Lines, Ludhiana, Punjab</t>
        </is>
      </c>
      <c r="H15" s="24" t="n">
        <v>389845</v>
      </c>
      <c r="I15" s="25" t="n">
        <v>0.39</v>
      </c>
      <c r="J15" s="25" t="n">
        <v>0.39</v>
      </c>
      <c r="K15" s="26" t="n">
        <v>0.79</v>
      </c>
      <c r="L15" s="26" t="n">
        <v>0.79</v>
      </c>
      <c r="M15" s="25" t="n"/>
      <c r="N15" s="25" t="n">
        <v>61</v>
      </c>
      <c r="O15" s="26">
        <f>IF(OR(M15="",N15="",N15=0),"",M15/N15-1)</f>
        <v/>
      </c>
      <c r="P15" s="25" t="n">
        <v>5.2</v>
      </c>
      <c r="Q15" s="24" t="n"/>
      <c r="R15" s="26" t="n">
        <v>0.08749999999999999</v>
      </c>
      <c r="S15" s="26" t="n">
        <v>0.12</v>
      </c>
      <c r="T15" s="27" t="n">
        <v>345</v>
      </c>
      <c r="U15" s="27">
        <f>IF(OR(T15="",H15="",H15=0),"",T15*10000000/H15)</f>
        <v/>
      </c>
      <c r="V15" s="23" t="n"/>
      <c r="W15" s="23" t="n"/>
      <c r="X15" s="23" t="inlineStr">
        <is>
          <t>JV / North Commercial Portfolio - equity-accounted; REIT 50% economic interest (deck). Held by Rostrum Realty Pvt Ltd (with Airtel Centre). Retail mall, 1 tower 389,845 sqft, 79.15% committed occ. Current effective rent 61. Cap rate 8.75%, WACC operational 11.50%. Val report MV 3,450mn (100% asset basis). Source val report pp.66-70; deck p.14.</t>
        </is>
      </c>
    </row>
    <row r="16" ht="129.3" customHeight="1" s="18">
      <c r="A16" s="21" t="inlineStr">
        <is>
          <t>Arliga Ecoworld Business Parks Private Limited</t>
        </is>
      </c>
      <c r="B16" s="22" t="inlineStr">
        <is>
          <t>Ecoworld</t>
        </is>
      </c>
      <c r="C16" s="20" t="inlineStr">
        <is>
          <t>Office</t>
        </is>
      </c>
      <c r="D16" s="20" t="inlineStr">
        <is>
          <t>Bengaluru</t>
        </is>
      </c>
      <c r="E16" s="21" t="inlineStr">
        <is>
          <t>Bellandur</t>
        </is>
      </c>
      <c r="F16" s="21" t="inlineStr">
        <is>
          <t>Outer Ring Road (ORR), Bellandur-Marathahalli (Competitive REIT micro-market)</t>
        </is>
      </c>
      <c r="G16" s="23" t="inlineStr">
        <is>
          <t>Outer Ring Road, Bellandur-Marathahalli, Bengaluru, Karnataka</t>
        </is>
      </c>
      <c r="H16" s="24" t="n">
        <v>7732309</v>
      </c>
      <c r="I16" s="25" t="n">
        <v>7.73</v>
      </c>
      <c r="J16" s="25" t="n">
        <v>7.65</v>
      </c>
      <c r="K16" s="26" t="n">
        <v>0.9399999999999999</v>
      </c>
      <c r="L16" s="26" t="n">
        <v>0.9399999999999999</v>
      </c>
      <c r="M16" s="25" t="n">
        <v>114</v>
      </c>
      <c r="N16" s="25" t="n">
        <v>100</v>
      </c>
      <c r="O16" s="26">
        <f>IF(OR(M16="",N16="",N16=0),"",M16/N16-1)</f>
        <v/>
      </c>
      <c r="P16" s="25" t="n">
        <v>6.1</v>
      </c>
      <c r="Q16" s="24" t="n"/>
      <c r="R16" s="26" t="n">
        <v>0.08</v>
      </c>
      <c r="S16" s="26" t="n">
        <v>0.12</v>
      </c>
      <c r="T16" s="27" t="n">
        <v>14827.9</v>
      </c>
      <c r="U16" s="27">
        <f>IF(OR(T16="",H16="",H16=0),"",T16*10000000/H16)</f>
        <v/>
      </c>
      <c r="V16" s="23" t="n"/>
      <c r="W16" s="23" t="n"/>
      <c r="X16" s="23" t="inlineStr">
        <is>
          <t>Acquired Q3 FY2026 (large-scale Bengaluru entry). 15 completed bldgs, 7,652,675 sqft, 94.3% effective committed occ (excl campus 3A/B/C; 94.7% incl) + future dev 79,634 sqft. REIT share 100% at val date; NOTE post-val (Apr 20 2026 / Q1 FY27) Ecoworld SPV raised Rs1,125 cr from 360One -&gt; 360One 13%, BIRET retains 87%. Achievable mkt rent office 114 / retail 90; current effective 100 (96 incl campus 3). Cap rate 7.75% (shown 8 rounded); WACC operational 11.50%, UC 12.75%. Major tenants Honeywell, KPMG, Standard Chartered, Morgan Stanley, Shell, State Street. Completed MV 147,583mn + future dev 696mn = 148,279mn. Source val report pp.71-74; deck p.14.</t>
        </is>
      </c>
    </row>
    <row r="17" ht="15" customHeight="1" s="18">
      <c r="A17" s="29" t="inlineStr">
        <is>
          <t>TOTAL / weighted</t>
        </is>
      </c>
      <c r="H17" s="31">
        <f>SUM(H4:H16)</f>
        <v/>
      </c>
      <c r="I17" s="32">
        <f>SUM(I4:I16)</f>
        <v/>
      </c>
      <c r="M17" s="32">
        <f>IFERROR(AVERAGE(M4:M16),"")</f>
        <v/>
      </c>
      <c r="N17" s="32">
        <f>IFERROR(AVERAGE(N4:N16),"")</f>
        <v/>
      </c>
      <c r="T17" s="33">
        <f>SUM(T4:T16)</f>
        <v/>
      </c>
      <c r="U17" s="33">
        <f>IFERROR(T17*10000000/H17,"")</f>
        <v/>
      </c>
    </row>
  </sheetData>
  <autoFilter ref="A3:X16"/>
  <hyperlinks>
    <hyperlink xmlns:r="http://schemas.openxmlformats.org/officeDocument/2006/relationships" ref="B4" location="page=19" display="Candor Techspace G2" r:id="rId1"/>
    <hyperlink xmlns:r="http://schemas.openxmlformats.org/officeDocument/2006/relationships" ref="B5" location="page=23" display="Candor Techspace N1" r:id="rId2"/>
    <hyperlink xmlns:r="http://schemas.openxmlformats.org/officeDocument/2006/relationships" ref="B6" location="page=27" display="Candor Techspace N2" r:id="rId3"/>
    <hyperlink xmlns:r="http://schemas.openxmlformats.org/officeDocument/2006/relationships" ref="B7" location="page=31" display="Candor Techspace K1" r:id="rId4"/>
    <hyperlink xmlns:r="http://schemas.openxmlformats.org/officeDocument/2006/relationships" ref="B8" location="page=36" display="Kensington (A &amp; B)" r:id="rId5"/>
    <hyperlink xmlns:r="http://schemas.openxmlformats.org/officeDocument/2006/relationships" ref="B9" location="page=40" display="Candor Techspace G1" r:id="rId6"/>
    <hyperlink xmlns:r="http://schemas.openxmlformats.org/officeDocument/2006/relationships" ref="B10" location="page=44" display="Downtown Powai (Kairos)" r:id="rId7"/>
    <hyperlink xmlns:r="http://schemas.openxmlformats.org/officeDocument/2006/relationships" ref="B11" location="page=48" display="Worldmark Tower 1 (Worldmark New Delhi)" r:id="rId8"/>
    <hyperlink xmlns:r="http://schemas.openxmlformats.org/officeDocument/2006/relationships" ref="B12" location="page=52" display="Worldmark Tower 2 &amp; 3 (Worldmark New Delhi)" r:id="rId9"/>
    <hyperlink xmlns:r="http://schemas.openxmlformats.org/officeDocument/2006/relationships" ref="B13" location="page=58" display="Bharti Airtel Centre" r:id="rId10"/>
    <hyperlink xmlns:r="http://schemas.openxmlformats.org/officeDocument/2006/relationships" ref="B14" location="page=62" display="Worldmark Gurugram" r:id="rId11"/>
    <hyperlink xmlns:r="http://schemas.openxmlformats.org/officeDocument/2006/relationships" ref="B15" location="page=66" display="Pavilion Mall" r:id="rId12"/>
    <hyperlink xmlns:r="http://schemas.openxmlformats.org/officeDocument/2006/relationships" ref="B16" location="page=71" display="Ecoworld" r:id="rId1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X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0546875" defaultRowHeight="15" customHeight="0" zeroHeight="0" outlineLevelRow="0"/>
  <cols>
    <col width="30" customWidth="1" style="17" min="1" max="1"/>
    <col width="26" customWidth="1" style="17" min="2" max="2"/>
    <col width="9" customWidth="1" style="17" min="3" max="3"/>
    <col width="13" customWidth="1" style="17" min="4" max="4"/>
    <col width="22" customWidth="1" style="17" min="5" max="5"/>
    <col width="24" customWidth="1" style="17" min="6" max="6"/>
    <col width="30" customWidth="1" style="17" min="7" max="7"/>
    <col width="12" customWidth="1" style="17" min="8" max="8"/>
    <col width="11" customWidth="1" style="17" min="9" max="10"/>
    <col width="10" customWidth="1" style="17" min="11" max="12"/>
    <col width="12" customWidth="1" style="17" min="13" max="14"/>
    <col width="11" customWidth="1" style="17" min="15" max="15"/>
    <col width="9" customWidth="1" style="17" min="16" max="16"/>
    <col width="8" customWidth="1" style="17" min="17" max="18"/>
    <col width="9" customWidth="1" style="17" min="19" max="19"/>
    <col width="13" customWidth="1" style="17" min="20" max="20"/>
    <col width="12" customWidth="1" style="17" min="21" max="21"/>
    <col width="30" customWidth="1" style="17" min="22" max="22"/>
    <col width="26" customWidth="1" style="17" min="23" max="23"/>
    <col width="46" customWidth="1" style="17" min="24" max="24"/>
  </cols>
  <sheetData>
    <row r="1" ht="15" customHeight="1" s="18">
      <c r="A1" s="30" t="inlineStr">
        <is>
          <t>Nexus - Asset-level detail  (valuation 31 Mar 2026;  20 assets)</t>
        </is>
      </c>
    </row>
    <row r="3" ht="30" customHeight="1" s="18">
      <c r="A3" s="19" t="inlineStr">
        <is>
          <t>SPV / Holding entity</t>
        </is>
      </c>
      <c r="B3" s="19" t="inlineStr">
        <is>
          <t>Property / Asset</t>
        </is>
      </c>
      <c r="C3" s="19" t="inlineStr">
        <is>
          <t>Type</t>
        </is>
      </c>
      <c r="D3" s="19" t="inlineStr">
        <is>
          <t>City</t>
        </is>
      </c>
      <c r="E3" s="19" t="inlineStr">
        <is>
          <t>Locality / Area</t>
        </is>
      </c>
      <c r="F3" s="19" t="inlineStr">
        <is>
          <t>Micro-market (valuer)</t>
        </is>
      </c>
      <c r="G3" s="19" t="inlineStr">
        <is>
          <t>Address</t>
        </is>
      </c>
      <c r="H3" s="19" t="inlineStr">
        <is>
          <t>Leasable (sq ft)</t>
        </is>
      </c>
      <c r="I3" s="19" t="inlineStr">
        <is>
          <t>Leasable (msf)</t>
        </is>
      </c>
      <c r="J3" s="19" t="inlineStr">
        <is>
          <t>Completed (msf)</t>
        </is>
      </c>
      <c r="K3" s="19" t="inlineStr">
        <is>
          <t>Committed occ.</t>
        </is>
      </c>
      <c r="L3" s="19" t="inlineStr">
        <is>
          <t>In-place occ.</t>
        </is>
      </c>
      <c r="M3" s="19" t="inlineStr">
        <is>
          <t>Market rent /sqft/mo</t>
        </is>
      </c>
      <c r="N3" s="19" t="inlineStr">
        <is>
          <t>In-place rent /sqft/mo</t>
        </is>
      </c>
      <c r="O3" s="19" t="inlineStr">
        <is>
          <t>Rent reversion</t>
        </is>
      </c>
      <c r="P3" s="19" t="inlineStr">
        <is>
          <t>WALE (yrs)</t>
        </is>
      </c>
      <c r="Q3" s="19" t="inlineStr">
        <is>
          <t>Tenants</t>
        </is>
      </c>
      <c r="R3" s="19" t="inlineStr">
        <is>
          <t>Cap rate</t>
        </is>
      </c>
      <c r="S3" s="19" t="inlineStr">
        <is>
          <t>Discount rate</t>
        </is>
      </c>
      <c r="T3" s="19" t="inlineStr">
        <is>
          <t>Market value (INR cr)</t>
        </is>
      </c>
      <c r="U3" s="19" t="inlineStr">
        <is>
          <t>Value/sqft (INR)</t>
        </is>
      </c>
      <c r="V3" s="19" t="inlineStr">
        <is>
          <t>Mgmt fee (valuation DCF)</t>
        </is>
      </c>
      <c r="W3" s="19" t="inlineStr">
        <is>
          <t>Insurance (valuation DCF)</t>
        </is>
      </c>
      <c r="X3" s="19" t="inlineStr">
        <is>
          <t>Notes / source</t>
        </is>
      </c>
    </row>
    <row r="4" ht="65.3" customHeight="1" s="18">
      <c r="A4" s="21" t="inlineStr">
        <is>
          <t>Select Infrastructure Private Limited (SIPL)</t>
        </is>
      </c>
      <c r="B4" s="22" t="inlineStr">
        <is>
          <t>Nexus Select Citywalk</t>
        </is>
      </c>
      <c r="C4" s="20" t="inlineStr">
        <is>
          <t>Retail</t>
        </is>
      </c>
      <c r="D4" s="20" t="inlineStr">
        <is>
          <t>New Delhi</t>
        </is>
      </c>
      <c r="E4" s="21" t="inlineStr">
        <is>
          <t>Saket</t>
        </is>
      </c>
      <c r="F4" s="21" t="inlineStr">
        <is>
          <t>Saket, South Delhi</t>
        </is>
      </c>
      <c r="G4" s="23" t="inlineStr">
        <is>
          <t>Plot No. P-1B, District Centre, Saket, Delhi, India</t>
        </is>
      </c>
      <c r="H4" s="24" t="n">
        <v>550908</v>
      </c>
      <c r="I4" s="25" t="n">
        <v>0.55</v>
      </c>
      <c r="J4" s="25" t="n">
        <v>0.55</v>
      </c>
      <c r="K4" s="26" t="n">
        <v>0.99</v>
      </c>
      <c r="L4" s="26" t="n">
        <v>0.97</v>
      </c>
      <c r="M4" s="25" t="n">
        <v>534.7</v>
      </c>
      <c r="N4" s="25" t="n">
        <v>470.1</v>
      </c>
      <c r="O4" s="26">
        <f>IF(OR(M4="",N4="",N4=0),"",M4/N4-1)</f>
        <v/>
      </c>
      <c r="P4" s="25" t="n">
        <v>4.7</v>
      </c>
      <c r="Q4" s="24" t="n">
        <v>212</v>
      </c>
      <c r="R4" s="26" t="n">
        <v>0.075</v>
      </c>
      <c r="S4" s="26" t="n">
        <v>0.1138</v>
      </c>
      <c r="T4" s="27" t="n">
        <v>5004</v>
      </c>
      <c r="U4" s="27">
        <f>IF(OR(T4="",H4="",H4=0),"",T4*10000000/H4)</f>
        <v/>
      </c>
      <c r="V4" s="23" t="n"/>
      <c r="W4" s="23" t="n"/>
      <c r="X4" s="23" t="inlineStr">
        <is>
          <t>Freehold. Committed occ 98.8% (cert p68); leased 531,773/550,908 sf. Market/marginal rent 534.7 psf/mo, in-place (warm shell) 470.1 psf/mo (p125). WALE 4.7yr by area / 3.7yr by rental (p120). Cap rate 7.50% (premium asset, p61). 212+ brands. Value INR 50,040mn (p69). Source pages 68-69, 120, 125; cap rate p61; WACC p65.</t>
        </is>
      </c>
    </row>
    <row r="5" ht="129.3" customHeight="1" s="18">
      <c r="A5" s="21" t="inlineStr">
        <is>
          <t>CSJ Infrastructure Private Limited (CSJIPL)</t>
        </is>
      </c>
      <c r="B5" s="22" t="inlineStr">
        <is>
          <t>Nexus Elante Complex</t>
        </is>
      </c>
      <c r="C5" s="20" t="inlineStr">
        <is>
          <t>Retail</t>
        </is>
      </c>
      <c r="D5" s="20" t="inlineStr">
        <is>
          <t>Chandigarh</t>
        </is>
      </c>
      <c r="E5" s="21" t="inlineStr">
        <is>
          <t>Industrial Area Phase I</t>
        </is>
      </c>
      <c r="F5" s="21" t="inlineStr">
        <is>
          <t>Industrial Area Phase I</t>
        </is>
      </c>
      <c r="G5" s="23" t="inlineStr">
        <is>
          <t>Plot No. 178-178A, Industrial Area Phase I, Chandigarh, India</t>
        </is>
      </c>
      <c r="H5" s="24" t="n">
        <v>1410000</v>
      </c>
      <c r="I5" s="25" t="n">
        <v>1.41</v>
      </c>
      <c r="J5" s="25" t="n">
        <v>1.33</v>
      </c>
      <c r="K5" s="26" t="n">
        <v>0.9399999999999999</v>
      </c>
      <c r="L5" s="26" t="n">
        <v>0.91</v>
      </c>
      <c r="M5" s="25" t="n">
        <v>208.9</v>
      </c>
      <c r="N5" s="25" t="n">
        <v>197</v>
      </c>
      <c r="O5" s="26">
        <f>IF(OR(M5="",N5="",N5=0),"",M5/N5-1)</f>
        <v/>
      </c>
      <c r="P5" s="25" t="n">
        <v>4.3</v>
      </c>
      <c r="Q5" s="24" t="n">
        <v>277</v>
      </c>
      <c r="R5" s="26" t="n">
        <v>0.075</v>
      </c>
      <c r="S5" s="26" t="n">
        <v>0.1138</v>
      </c>
      <c r="T5" s="27" t="n">
        <v>5983.4</v>
      </c>
      <c r="U5" s="27">
        <f>IF(OR(T5="",H5="",H5=0),"",T5*10000000/H5)</f>
        <v/>
      </c>
      <c r="V5" s="23" t="n"/>
      <c r="W5" s="23" t="n"/>
      <c r="X5" s="23" t="inlineStr">
        <is>
          <t>Freehold. RETAIL component only in this row (mall). Committed occ mall 94.4%; leased 1,210,824/1,326,512 sf. Mall market rent 208.9 psf/mo, in-place 197.0 psf/mo. Mall WALE 4.3yr area/3.9yr rental. Mall cap 7.50%. Mall value INR 52,095mn. Complex also has Elante Office (0.08msf/84,691 sf, occ 88.4%, in-place 120.1/marginal 109.0 psf/mo, WALE 2.7yr, cap 8.25%, WACC 11.78%, value INR 1,342mn) and Hyatt Regency Chandigarh 211-key hotel (cap 7.14%/14x EV-EBITDA, WACC 11.88%, value INR 6,397mn). Total complex value INR 59,834mn. Mall leasable incl recent 58,537 sf acquisition by CSJIPL. Pages 70-71, cap p61/62/63, WACC p65-67.</t>
        </is>
      </c>
    </row>
    <row r="6" ht="65.3" customHeight="1" s="18">
      <c r="A6" s="21" t="inlineStr">
        <is>
          <t>Select Infrastructure Private Limited (SIPL)</t>
        </is>
      </c>
      <c r="B6" s="22" t="inlineStr">
        <is>
          <t>Nexus Seawoods</t>
        </is>
      </c>
      <c r="C6" s="20" t="inlineStr">
        <is>
          <t>Retail</t>
        </is>
      </c>
      <c r="D6" s="20" t="inlineStr">
        <is>
          <t>Navi Mumbai</t>
        </is>
      </c>
      <c r="E6" s="21" t="inlineStr">
        <is>
          <t>Nerul</t>
        </is>
      </c>
      <c r="F6" s="21" t="inlineStr">
        <is>
          <t>Nerul / Seawoods, Sector 40</t>
        </is>
      </c>
      <c r="G6" s="23" t="inlineStr">
        <is>
          <t>Plot No. R1, Sector 40, Nerul Node, Navi Mumbai, District Thane, Maharashtra, India</t>
        </is>
      </c>
      <c r="H6" s="24" t="n">
        <v>979577</v>
      </c>
      <c r="I6" s="25" t="n">
        <v>0.98</v>
      </c>
      <c r="J6" s="25" t="n">
        <v>0.98</v>
      </c>
      <c r="K6" s="26" t="n">
        <v>0.98</v>
      </c>
      <c r="L6" s="26" t="n">
        <v>0.98</v>
      </c>
      <c r="M6" s="25" t="n">
        <v>160.2</v>
      </c>
      <c r="N6" s="25" t="n">
        <v>152.6</v>
      </c>
      <c r="O6" s="26">
        <f>IF(OR(M6="",N6="",N6=0),"",M6/N6-1)</f>
        <v/>
      </c>
      <c r="P6" s="25" t="n">
        <v>5.8</v>
      </c>
      <c r="Q6" s="24" t="n">
        <v>290</v>
      </c>
      <c r="R6" s="26" t="n">
        <v>0.0775</v>
      </c>
      <c r="S6" s="26" t="n">
        <v>0.1138</v>
      </c>
      <c r="T6" s="27" t="n">
        <v>2805.1</v>
      </c>
      <c r="U6" s="27">
        <f>IF(OR(T6="",H6="",H6=0),"",T6*10000000/H6)</f>
        <v/>
      </c>
      <c r="V6" s="23" t="n"/>
      <c r="W6" s="23" t="n"/>
      <c r="X6" s="23" t="inlineStr">
        <is>
          <t>Leasehold (CIDCO, 60yr from 2008; ~42yr remaining, perpetuity assumed). Committed occ 98.1%; leased 954,988/979,577 sf. Market rent 160.2, in-place 152.6 psf/mo. WALE 5.8yr area/4.8yr rental. Cap 7.75%. Includes 0.2msf AIRSPACE F&amp;B/entertainment zone. Value INR 28,051mn. Pages 72-73, cap p61, WACC p65.</t>
        </is>
      </c>
    </row>
    <row r="7" ht="65.3" customHeight="1" s="18">
      <c r="A7" s="21" t="inlineStr">
        <is>
          <t>Euthoria Developers Private Limited (EDPL)</t>
        </is>
      </c>
      <c r="B7" s="22" t="inlineStr">
        <is>
          <t>Nexus Ahmedabad One</t>
        </is>
      </c>
      <c r="C7" s="20" t="inlineStr">
        <is>
          <t>Retail</t>
        </is>
      </c>
      <c r="D7" s="20" t="inlineStr">
        <is>
          <t>Ahmedabad</t>
        </is>
      </c>
      <c r="E7" s="21" t="inlineStr">
        <is>
          <t>Vastrapur</t>
        </is>
      </c>
      <c r="F7" s="21" t="inlineStr">
        <is>
          <t>Vastrapur / Memnagar</t>
        </is>
      </c>
      <c r="G7" s="23" t="inlineStr">
        <is>
          <t>Final Plot No. 216, Moje Vastrapur, Taluka Vejalpur, District Ahmedabad, India</t>
        </is>
      </c>
      <c r="H7" s="24" t="n">
        <v>888276</v>
      </c>
      <c r="I7" s="25" t="n">
        <v>0.89</v>
      </c>
      <c r="J7" s="25" t="n">
        <v>0.89</v>
      </c>
      <c r="K7" s="26" t="n">
        <v>0.96</v>
      </c>
      <c r="L7" s="26" t="n">
        <v>0.95</v>
      </c>
      <c r="M7" s="25" t="n">
        <v>145.7</v>
      </c>
      <c r="N7" s="25" t="n">
        <v>131.6</v>
      </c>
      <c r="O7" s="26">
        <f>IF(OR(M7="",N7="",N7=0),"",M7/N7-1)</f>
        <v/>
      </c>
      <c r="P7" s="25" t="n">
        <v>8.1</v>
      </c>
      <c r="Q7" s="24" t="n">
        <v>213</v>
      </c>
      <c r="R7" s="26" t="n">
        <v>0.08</v>
      </c>
      <c r="S7" s="26" t="n">
        <v>0.1138</v>
      </c>
      <c r="T7" s="27" t="n">
        <v>2050</v>
      </c>
      <c r="U7" s="27">
        <f>IF(OR(T7="",H7="",H7=0),"",T7*10000000/H7)</f>
        <v/>
      </c>
      <c r="V7" s="23" t="n"/>
      <c r="W7" s="23" t="n"/>
      <c r="X7" s="23" t="inlineStr">
        <is>
          <t>Leasehold (AUDA, 99yr from 2006; perpetuity assumed). Two phases (P-I 2011, P-II Aug 2021). Committed occ 96.0%; leased 845,775/888,276 sf. Market rent 145.7, in-place 131.6 psf/mo. WALE 8.1yr area/4.9yr rental. Cap 8.00%. Largest Grade A mall in Gujarat. Value INR 20,500mn. Pages 74-75, cap p61, WACC p65.</t>
        </is>
      </c>
    </row>
    <row r="8" ht="44" customHeight="1" s="18">
      <c r="A8" s="21" t="inlineStr">
        <is>
          <t>Nexus Hyderabad Retail Private Limited (NHRPL)</t>
        </is>
      </c>
      <c r="B8" s="22" t="inlineStr">
        <is>
          <t>Nexus Hyderabad</t>
        </is>
      </c>
      <c r="C8" s="20" t="inlineStr">
        <is>
          <t>Retail</t>
        </is>
      </c>
      <c r="D8" s="20" t="inlineStr">
        <is>
          <t>Hyderabad</t>
        </is>
      </c>
      <c r="E8" s="21" t="inlineStr">
        <is>
          <t>Kukatpally</t>
        </is>
      </c>
      <c r="F8" s="21" t="inlineStr">
        <is>
          <t>Kukatpally</t>
        </is>
      </c>
      <c r="G8" s="23" t="inlineStr">
        <is>
          <t>Sy. No.1009, Kukatpally Village, Kukatpally Mandal, Medchal Malkajgiri District, Hyderabad, India</t>
        </is>
      </c>
      <c r="H8" s="24" t="n">
        <v>831841</v>
      </c>
      <c r="I8" s="25" t="n">
        <v>0.83</v>
      </c>
      <c r="J8" s="25" t="n">
        <v>0.83</v>
      </c>
      <c r="K8" s="26" t="n">
        <v>0.99</v>
      </c>
      <c r="L8" s="26" t="n">
        <v>0.98</v>
      </c>
      <c r="M8" s="25" t="n">
        <v>132.3</v>
      </c>
      <c r="N8" s="25" t="n">
        <v>118.9</v>
      </c>
      <c r="O8" s="26">
        <f>IF(OR(M8="",N8="",N8=0),"",M8/N8-1)</f>
        <v/>
      </c>
      <c r="P8" s="25" t="n">
        <v>3.1</v>
      </c>
      <c r="Q8" s="24" t="n">
        <v>175</v>
      </c>
      <c r="R8" s="26" t="n">
        <v>0.08</v>
      </c>
      <c r="S8" s="26" t="n">
        <v>0.1138</v>
      </c>
      <c r="T8" s="27" t="n">
        <v>1978.3</v>
      </c>
      <c r="U8" s="27">
        <f>IF(OR(T8="",H8="",H8=0),"",T8*10000000/H8)</f>
        <v/>
      </c>
      <c r="V8" s="23" t="n"/>
      <c r="W8" s="23" t="n"/>
      <c r="X8" s="23" t="inlineStr">
        <is>
          <t>Freehold. Committed occ 98.8%; leased 815,382/831,841 sf. Market rent 132.3, in-place 118.9 psf/mo. WALE 3.1yr area/2.9yr rental. Cap 8.00%. Value INR 19,783mn. Pages 76-77, cap p61, WACC p65.</t>
        </is>
      </c>
    </row>
    <row r="9" ht="76" customHeight="1" s="18">
      <c r="A9" s="21" t="inlineStr">
        <is>
          <t>Nexus Hyderabad Retail Private Limited (NHRPL)</t>
        </is>
      </c>
      <c r="B9" s="22" t="inlineStr">
        <is>
          <t>Nexus Koramangala</t>
        </is>
      </c>
      <c r="C9" s="20" t="inlineStr">
        <is>
          <t>Retail</t>
        </is>
      </c>
      <c r="D9" s="20" t="inlineStr">
        <is>
          <t>Bengaluru</t>
        </is>
      </c>
      <c r="E9" s="21" t="inlineStr">
        <is>
          <t>Koramangala</t>
        </is>
      </c>
      <c r="F9" s="21" t="inlineStr">
        <is>
          <t>Koramangala</t>
        </is>
      </c>
      <c r="G9" s="23" t="inlineStr">
        <is>
          <t>Municipal No. 21, Hosur Road, Lakkasandra Ward No. 63, Bengaluru, India</t>
        </is>
      </c>
      <c r="H9" s="24" t="n">
        <v>307374</v>
      </c>
      <c r="I9" s="25" t="n">
        <v>0.31</v>
      </c>
      <c r="J9" s="25" t="n">
        <v>0.31</v>
      </c>
      <c r="K9" s="26" t="n">
        <v>0.97</v>
      </c>
      <c r="L9" s="26" t="n">
        <v>0.9399999999999999</v>
      </c>
      <c r="M9" s="25" t="n">
        <v>211.1</v>
      </c>
      <c r="N9" s="25" t="n">
        <v>191</v>
      </c>
      <c r="O9" s="26">
        <f>IF(OR(M9="",N9="",N9=0),"",M9/N9-1)</f>
        <v/>
      </c>
      <c r="P9" s="25" t="n">
        <v>5.5</v>
      </c>
      <c r="Q9" s="24" t="n">
        <v>99</v>
      </c>
      <c r="R9" s="26" t="n">
        <v>0.075</v>
      </c>
      <c r="S9" s="26" t="n">
        <v>0.1138</v>
      </c>
      <c r="T9" s="27" t="n">
        <v>1138.2</v>
      </c>
      <c r="U9" s="27">
        <f>IF(OR(T9="",H9="",H9=0),"",T9*10000000/H9)</f>
        <v/>
      </c>
      <c r="V9" s="23" t="n"/>
      <c r="W9" s="23" t="n"/>
      <c r="X9" s="23" t="inlineStr">
        <is>
          <t>Freehold. Value/area reflect NHRPL economic interest of 307,374 sf = ownership 254,960 sf + short-term leasehold 21,877 sf + revenue-share 30,537 sf (both valid to 31 Mar 2028). Committed occ 96.9%; leased 288,599/307,374 sf. Market rent 211.1, in-place 191.0 psf/mo. WALE 5.5yr area/5.0yr rental. Cap 7.50%. Value INR 11,382mn. Pages 78-79, cap p61, WACC p65.</t>
        </is>
      </c>
    </row>
    <row r="10" ht="86.65000000000001" customHeight="1" s="18">
      <c r="A10" s="21" t="inlineStr">
        <is>
          <t>Vijaya Productions Private Limited (VPPL)</t>
        </is>
      </c>
      <c r="B10" s="22" t="inlineStr">
        <is>
          <t>Nexus Vijaya Complex</t>
        </is>
      </c>
      <c r="C10" s="20" t="inlineStr">
        <is>
          <t>Retail</t>
        </is>
      </c>
      <c r="D10" s="20" t="inlineStr">
        <is>
          <t>Chennai</t>
        </is>
      </c>
      <c r="E10" s="21" t="inlineStr">
        <is>
          <t>Vadapalani</t>
        </is>
      </c>
      <c r="F10" s="21" t="inlineStr">
        <is>
          <t>Vadapalani / Arcot Road</t>
        </is>
      </c>
      <c r="G10" s="23" t="inlineStr">
        <is>
          <t>Survey Nos. 5/1, 5/3, 5/7, 5/5, Arcot Road, Chennai, India</t>
        </is>
      </c>
      <c r="H10" s="24" t="n">
        <v>840000</v>
      </c>
      <c r="I10" s="25" t="n">
        <v>0.84</v>
      </c>
      <c r="J10" s="25" t="n">
        <v>0.65</v>
      </c>
      <c r="K10" s="26" t="n">
        <v>0.99</v>
      </c>
      <c r="L10" s="26" t="n">
        <v>0.98</v>
      </c>
      <c r="M10" s="25" t="n">
        <v>117.1</v>
      </c>
      <c r="N10" s="25" t="n">
        <v>109.8</v>
      </c>
      <c r="O10" s="26">
        <f>IF(OR(M10="",N10="",N10=0),"",M10/N10-1)</f>
        <v/>
      </c>
      <c r="P10" s="25" t="n">
        <v>4.5</v>
      </c>
      <c r="Q10" s="24" t="n">
        <v>131</v>
      </c>
      <c r="R10" s="26" t="n">
        <v>0.08</v>
      </c>
      <c r="S10" s="26" t="n">
        <v>0.1138</v>
      </c>
      <c r="T10" s="27" t="n">
        <v>1781.2</v>
      </c>
      <c r="U10" s="27">
        <f>IF(OR(T10="",H10="",H10=0),"",T10*10000000/H10)</f>
        <v/>
      </c>
      <c r="V10" s="23" t="n"/>
      <c r="W10" s="23" t="n"/>
      <c r="X10" s="23" t="inlineStr">
        <is>
          <t>Freehold. RETAIL row (mall). Committed occ mall 99.4%; leased 637,489/653,765 sf. Mall market rent 117.1, in-place 109.8 psf/mo. Mall WALE 4.5yr area/3.9yr rental. Mall cap 8.00%. Mall value INR 15,665mn. Complex also has Vijaya Office 0.19msf (190,061 sf, occ 100%, in-place 58.5/marginal 64.0 psf/mo, WALE 4.6yr, cap 8.25%, WACC 11.78%, value INR 2,147mn). Total complex value INR 17,812mn. Pages 80-81, cap p61/62, WACC p65-66.</t>
        </is>
      </c>
    </row>
    <row r="11" ht="97.3" customHeight="1" s="18">
      <c r="A11" s="21" t="inlineStr">
        <is>
          <t>Chitrali Properties Private Limited (CPPL) / Daksha Infrastructure Private Limited (DIPL)</t>
        </is>
      </c>
      <c r="B11" s="22" t="inlineStr">
        <is>
          <t>Nexus Westend Complex</t>
        </is>
      </c>
      <c r="C11" s="20" t="inlineStr">
        <is>
          <t>Retail</t>
        </is>
      </c>
      <c r="D11" s="20" t="inlineStr">
        <is>
          <t>Pune</t>
        </is>
      </c>
      <c r="E11" s="21" t="inlineStr">
        <is>
          <t>Aundh</t>
        </is>
      </c>
      <c r="F11" s="21" t="inlineStr">
        <is>
          <t>Aundh</t>
        </is>
      </c>
      <c r="G11" s="23" t="inlineStr">
        <is>
          <t>Survey No. 169/1 (CTS No. 2495), Village Aundh, Taluka Haveli, District Pune, Maharashtra, India</t>
        </is>
      </c>
      <c r="H11" s="24" t="n">
        <v>1410000</v>
      </c>
      <c r="I11" s="25" t="n">
        <v>1.41</v>
      </c>
      <c r="J11" s="25" t="n">
        <v>0.43</v>
      </c>
      <c r="K11" s="26" t="n">
        <v>0.9399999999999999</v>
      </c>
      <c r="L11" s="26" t="n">
        <v>0.93</v>
      </c>
      <c r="M11" s="25" t="n">
        <v>142</v>
      </c>
      <c r="N11" s="25" t="n">
        <v>124.7</v>
      </c>
      <c r="O11" s="26">
        <f>IF(OR(M11="",N11="",N11=0),"",M11/N11-1)</f>
        <v/>
      </c>
      <c r="P11" s="25" t="n">
        <v>8.1</v>
      </c>
      <c r="Q11" s="24" t="n">
        <v>129</v>
      </c>
      <c r="R11" s="26" t="n">
        <v>0.0825</v>
      </c>
      <c r="S11" s="26" t="n">
        <v>0.1138</v>
      </c>
      <c r="T11" s="27" t="n">
        <v>2307.2</v>
      </c>
      <c r="U11" s="27">
        <f>IF(OR(T11="",H11="",H11=0),"",T11*10000000/H11)</f>
        <v/>
      </c>
      <c r="V11" s="23" t="n"/>
      <c r="W11" s="23" t="n"/>
      <c r="X11" s="23" t="inlineStr">
        <is>
          <t>Freehold. RETAIL row (mall). Committed occ mall 94.1%; leased 401,882/433,090 sf. Mall market rent 142.0, in-place 124.7 psf/mo. Mall WALE 8.1yr area/5.5yr rental. Mall cap 8.25% (high competition submarket). Mall value INR 9,576mn. Complex also has Westend Icon Offices 0.98msf (977,967 sf, occ 93.0%, leased 861,802 sf, in-place 96.6/marginal 96.4 psf/mo, cap 8.25%, WACC 11.78%, value INR 13,496mn). Total complex value INR 23,072mn. Pages 82-83, cap p61/62, WACC p65-66.</t>
        </is>
      </c>
    </row>
    <row r="12" ht="54.65" customHeight="1" s="18">
      <c r="A12" s="21" t="inlineStr">
        <is>
          <t>Safari Retreats Private Limited (SRPL)</t>
        </is>
      </c>
      <c r="B12" s="22" t="inlineStr">
        <is>
          <t>Nexus Esplanade</t>
        </is>
      </c>
      <c r="C12" s="20" t="inlineStr">
        <is>
          <t>Retail</t>
        </is>
      </c>
      <c r="D12" s="20" t="inlineStr">
        <is>
          <t>Bhubaneswar</t>
        </is>
      </c>
      <c r="E12" s="21" t="inlineStr">
        <is>
          <t>Rasulgarh</t>
        </is>
      </c>
      <c r="F12" s="21" t="inlineStr">
        <is>
          <t>Rasulgarh</t>
        </is>
      </c>
      <c r="G12" s="23" t="inlineStr">
        <is>
          <t>Various plots, Mouza Govind Prasad &amp; Bomikhal, Tehsil Bhubaneswar, District Khurda, Odisha, India</t>
        </is>
      </c>
      <c r="H12" s="24" t="n">
        <v>428391</v>
      </c>
      <c r="I12" s="25" t="n">
        <v>0.43</v>
      </c>
      <c r="J12" s="25" t="n">
        <v>0.43</v>
      </c>
      <c r="K12" s="26" t="n">
        <v>0.99</v>
      </c>
      <c r="L12" s="26" t="n">
        <v>0.99</v>
      </c>
      <c r="M12" s="25" t="n">
        <v>161.7</v>
      </c>
      <c r="N12" s="25" t="n">
        <v>154.1</v>
      </c>
      <c r="O12" s="26">
        <f>IF(OR(M12="",N12="",N12=0),"",M12/N12-1)</f>
        <v/>
      </c>
      <c r="P12" s="25" t="n">
        <v>6.5</v>
      </c>
      <c r="Q12" s="24" t="n">
        <v>125</v>
      </c>
      <c r="R12" s="26" t="n">
        <v>0.08</v>
      </c>
      <c r="S12" s="26" t="n">
        <v>0.1138</v>
      </c>
      <c r="T12" s="27" t="n">
        <v>1165.5</v>
      </c>
      <c r="U12" s="27">
        <f>IF(OR(T12="",H12="",H12=0),"",T12*10000000/H12)</f>
        <v/>
      </c>
      <c r="V12" s="23" t="n"/>
      <c r="W12" s="23" t="n"/>
      <c r="X12" s="23" t="inlineStr">
        <is>
          <t>Part Freehold / Part Leasehold (~44yr remaining leasehold, perpetuity assumed). Committed occ 98.9%; leased 423,650/428,391 sf. Market rent 161.7, in-place 154.1 psf/mo. WALE 6.5yr area/5.4yr rental. Cap 8.00%. Value INR 11,655mn. Pages 84-85, cap p61, WACC p65.</t>
        </is>
      </c>
    </row>
    <row r="13" ht="44" customHeight="1" s="18">
      <c r="A13" s="21" t="inlineStr">
        <is>
          <t>Euthoria Developers Private Limited (EDPL)</t>
        </is>
      </c>
      <c r="B13" s="22" t="inlineStr">
        <is>
          <t>Nexus Amritsar</t>
        </is>
      </c>
      <c r="C13" s="20" t="inlineStr">
        <is>
          <t>Retail</t>
        </is>
      </c>
      <c r="D13" s="20" t="inlineStr">
        <is>
          <t>Amritsar</t>
        </is>
      </c>
      <c r="E13" s="21" t="inlineStr">
        <is>
          <t>Rajinder Nagar</t>
        </is>
      </c>
      <c r="F13" s="21" t="inlineStr">
        <is>
          <t>Rajinder Nagar, G.T. Road</t>
        </is>
      </c>
      <c r="G13" s="23" t="inlineStr">
        <is>
          <t>Khasra nos. 605 etc., Sultanwind Suburban, G.T. Road, Amritsar, Punjab, India</t>
        </is>
      </c>
      <c r="H13" s="24" t="n">
        <v>539181</v>
      </c>
      <c r="I13" s="25" t="n">
        <v>0.54</v>
      </c>
      <c r="J13" s="25" t="n">
        <v>0.54</v>
      </c>
      <c r="K13" s="26" t="n">
        <v>0.97</v>
      </c>
      <c r="L13" s="26" t="n">
        <v>0.95</v>
      </c>
      <c r="M13" s="25" t="n">
        <v>99.09999999999999</v>
      </c>
      <c r="N13" s="25" t="n">
        <v>89.5</v>
      </c>
      <c r="O13" s="26">
        <f>IF(OR(M13="",N13="",N13=0),"",M13/N13-1)</f>
        <v/>
      </c>
      <c r="P13" s="25" t="n">
        <v>7.7</v>
      </c>
      <c r="Q13" s="24" t="n">
        <v>156</v>
      </c>
      <c r="R13" s="26" t="n">
        <v>0.08</v>
      </c>
      <c r="S13" s="26" t="n">
        <v>0.1138</v>
      </c>
      <c r="T13" s="27" t="n">
        <v>885.1</v>
      </c>
      <c r="U13" s="27">
        <f>IF(OR(T13="",H13="",H13=0),"",T13*10000000/H13)</f>
        <v/>
      </c>
      <c r="V13" s="23" t="n"/>
      <c r="W13" s="23" t="n"/>
      <c r="X13" s="23" t="inlineStr">
        <is>
          <t>Freehold. Committed occ 97.4%; leased 509,841/539,181 sf. Market rent 99.1, in-place 89.5 psf/mo. WALE 7.7yr area/5.2yr rental. Cap 8.00%. Value INR 8,851mn. Pages 86-87, cap p61, WACC p65.</t>
        </is>
      </c>
    </row>
    <row r="14" ht="86.65000000000001" customHeight="1" s="18">
      <c r="A14" s="21" t="inlineStr">
        <is>
          <t>Nexus Shantiniketan Retail Private Limited (NSRPL)</t>
        </is>
      </c>
      <c r="B14" s="22" t="inlineStr">
        <is>
          <t>Nexus Shantiniketan</t>
        </is>
      </c>
      <c r="C14" s="20" t="inlineStr">
        <is>
          <t>Retail</t>
        </is>
      </c>
      <c r="D14" s="20" t="inlineStr">
        <is>
          <t>Bengaluru</t>
        </is>
      </c>
      <c r="E14" s="21" t="inlineStr">
        <is>
          <t>Whitefield</t>
        </is>
      </c>
      <c r="F14" s="21" t="inlineStr">
        <is>
          <t>Whitefield / Hoodi</t>
        </is>
      </c>
      <c r="G14" s="23" t="inlineStr">
        <is>
          <t>Municipal No. 13/288, Hoodi-Sadaramangala, Whitefield Sub-Division, Bengaluru, Karnataka, India</t>
        </is>
      </c>
      <c r="H14" s="24" t="n">
        <v>407492</v>
      </c>
      <c r="I14" s="25" t="n">
        <v>0.41</v>
      </c>
      <c r="J14" s="25" t="n">
        <v>0.41</v>
      </c>
      <c r="K14" s="26" t="n">
        <v>0.98</v>
      </c>
      <c r="L14" s="26" t="n">
        <v>0.97</v>
      </c>
      <c r="M14" s="25" t="n">
        <v>116</v>
      </c>
      <c r="N14" s="25" t="n">
        <v>109.8</v>
      </c>
      <c r="O14" s="26">
        <f>IF(OR(M14="",N14="",N14=0),"",M14/N14-1)</f>
        <v/>
      </c>
      <c r="P14" s="25" t="n">
        <v>6.4</v>
      </c>
      <c r="Q14" s="24" t="n">
        <v>122</v>
      </c>
      <c r="R14" s="26" t="n">
        <v>0.08</v>
      </c>
      <c r="S14" s="26" t="n">
        <v>0.1138</v>
      </c>
      <c r="T14" s="27" t="n">
        <v>925.9</v>
      </c>
      <c r="U14" s="27">
        <f>IF(OR(T14="",H14="",H14=0),"",T14*10000000/H14)</f>
        <v/>
      </c>
      <c r="V14" s="23" t="n"/>
      <c r="W14" s="23" t="n"/>
      <c r="X14" s="23" t="inlineStr">
        <is>
          <t>Freehold. Area &amp; value ADJUSTED for 64.90% economic interest. Total mall leasable 627,877 sf (0.63msf), NSRPL share 407,492 sf (0.41msf). Total asset value 100%=INR 14,267mn; adjusted-for-stake value INR 9,259mn. Committed occ 98.3%; leased 611,139/627,877 sf (full asset). Market rent 116.0, in-place 109.8 psf/mo. WALE 6.4yr area/5.2yr rental. Cap 8.00%. Pages 88-89, value-summary p108, cap p61, WACC p65.</t>
        </is>
      </c>
    </row>
    <row r="15" ht="76" customHeight="1" s="18">
      <c r="A15" s="21" t="inlineStr">
        <is>
          <t>Nexusmalls Whitefield Private Limited (NWPL)</t>
        </is>
      </c>
      <c r="B15" s="22" t="inlineStr">
        <is>
          <t>Nexus Whitefield Complex</t>
        </is>
      </c>
      <c r="C15" s="20" t="inlineStr">
        <is>
          <t>Retail</t>
        </is>
      </c>
      <c r="D15" s="20" t="inlineStr">
        <is>
          <t>Bengaluru</t>
        </is>
      </c>
      <c r="E15" s="21" t="inlineStr">
        <is>
          <t>Whitefield</t>
        </is>
      </c>
      <c r="F15" s="21" t="inlineStr">
        <is>
          <t>Whitefield</t>
        </is>
      </c>
      <c r="G15" s="23" t="inlineStr">
        <is>
          <t>Survey No. 62, Whitefield Main Road, Whitefield, Bengaluru, Karnataka 560066, India</t>
        </is>
      </c>
      <c r="H15" s="24" t="n">
        <v>321367</v>
      </c>
      <c r="I15" s="25" t="n">
        <v>0.32</v>
      </c>
      <c r="J15" s="25" t="n">
        <v>0.32</v>
      </c>
      <c r="K15" s="26" t="n">
        <v>0.98</v>
      </c>
      <c r="L15" s="26" t="n"/>
      <c r="M15" s="25" t="n">
        <v>102.6</v>
      </c>
      <c r="N15" s="25" t="n">
        <v>92</v>
      </c>
      <c r="O15" s="26">
        <f>IF(OR(M15="",N15="",N15=0),"",M15/N15-1)</f>
        <v/>
      </c>
      <c r="P15" s="25" t="n">
        <v>3.7</v>
      </c>
      <c r="Q15" s="24" t="n">
        <v>91</v>
      </c>
      <c r="R15" s="26" t="n">
        <v>0.08</v>
      </c>
      <c r="S15" s="26" t="n">
        <v>0.1138</v>
      </c>
      <c r="T15" s="27" t="n">
        <v>831.9</v>
      </c>
      <c r="U15" s="27">
        <f>IF(OR(T15="",H15="",H15=0),"",T15*10000000/H15)</f>
        <v/>
      </c>
      <c r="V15" s="23" t="n"/>
      <c r="W15" s="23" t="n"/>
      <c r="X15" s="23" t="inlineStr">
        <is>
          <t>Freehold. RETAIL row (mall). Committed occ mall 98.1%. Mall market rent 102.6, in-place 92.0 psf/mo. Mall WALE 3.7yr area/3.4yr rental. Mall cap 8.00%. Mall value INR 5,824mn. Complex also has 143-key Oakwood Residence Whitefield Bangalore hotel (cap 7.14%/14x, WACC 11.88%, value INR 2,495mn). Total complex value INR 8,319mn. Pages 90-91, cap p61/63, WACC p65-67.</t>
        </is>
      </c>
    </row>
    <row r="16" ht="54.65" customHeight="1" s="18">
      <c r="A16" s="21" t="inlineStr">
        <is>
          <t>Nexus Udaipur Retail Private Limited (NURPL)</t>
        </is>
      </c>
      <c r="B16" s="22" t="inlineStr">
        <is>
          <t>Nexus Celebration</t>
        </is>
      </c>
      <c r="C16" s="20" t="inlineStr">
        <is>
          <t>Retail</t>
        </is>
      </c>
      <c r="D16" s="20" t="inlineStr">
        <is>
          <t>Udaipur</t>
        </is>
      </c>
      <c r="E16" s="21" t="inlineStr">
        <is>
          <t>Bhuwana</t>
        </is>
      </c>
      <c r="F16" s="21" t="inlineStr">
        <is>
          <t>Bhuwana / NH8</t>
        </is>
      </c>
      <c r="G16" s="23" t="inlineStr">
        <is>
          <t>Bhuwana (Phase-II), NH 8, Udaipur, Rajasthan, India</t>
        </is>
      </c>
      <c r="H16" s="24" t="n">
        <v>402926</v>
      </c>
      <c r="I16" s="25" t="n">
        <v>0.4</v>
      </c>
      <c r="J16" s="25" t="n">
        <v>0.4</v>
      </c>
      <c r="K16" s="26" t="n">
        <v>0.9</v>
      </c>
      <c r="L16" s="26" t="n"/>
      <c r="M16" s="25" t="n">
        <v>86.5</v>
      </c>
      <c r="N16" s="25" t="n">
        <v>82.40000000000001</v>
      </c>
      <c r="O16" s="26">
        <f>IF(OR(M16="",N16="",N16=0),"",M16/N16-1)</f>
        <v/>
      </c>
      <c r="P16" s="25" t="n">
        <v>3.5</v>
      </c>
      <c r="Q16" s="24" t="n">
        <v>107</v>
      </c>
      <c r="R16" s="26" t="n">
        <v>0.0825</v>
      </c>
      <c r="S16" s="26" t="n">
        <v>0.1138</v>
      </c>
      <c r="T16" s="27" t="n">
        <v>531.3</v>
      </c>
      <c r="U16" s="27">
        <f>IF(OR(T16="",H16="",H16=0),"",T16*10000000/H16)</f>
        <v/>
      </c>
      <c r="V16" s="23" t="n"/>
      <c r="W16" s="23" t="n"/>
      <c r="X16" s="23" t="inlineStr">
        <is>
          <t>Leasehold (99yr from 2004; ~77yr remaining, perpetuity assumed). Committed occ 90.4%. Market rent 86.5, in-place 82.4 psf/mo. WALE 3.5yr area/3.4yr rental. Cap 8.25% (tier-2 city, only retail development in city). Value INR 5,313mn. Pages 92-93, cap p61, WACC p65.</t>
        </is>
      </c>
    </row>
    <row r="17" ht="97.3" customHeight="1" s="18">
      <c r="A17" s="21" t="inlineStr">
        <is>
          <t>Nexus Mangaluru Retail Private Limited (NMRPL Mangaluru)</t>
        </is>
      </c>
      <c r="B17" s="22" t="inlineStr">
        <is>
          <t>Fiza by Nexus</t>
        </is>
      </c>
      <c r="C17" s="20" t="inlineStr">
        <is>
          <t>Retail</t>
        </is>
      </c>
      <c r="D17" s="20" t="inlineStr">
        <is>
          <t>Mangaluru</t>
        </is>
      </c>
      <c r="E17" s="21" t="inlineStr">
        <is>
          <t>Pandeshwar</t>
        </is>
      </c>
      <c r="F17" s="21" t="inlineStr">
        <is>
          <t>Pandeshwar</t>
        </is>
      </c>
      <c r="G17" s="23" t="inlineStr">
        <is>
          <t>Plot No. TS 210 (R.S. No. 335), Attavara village, Pandeshwar Road, Mangalore, India</t>
        </is>
      </c>
      <c r="H17" s="24" t="n">
        <v>486030</v>
      </c>
      <c r="I17" s="25" t="n">
        <v>0.49</v>
      </c>
      <c r="J17" s="25" t="n">
        <v>0.49</v>
      </c>
      <c r="K17" s="26" t="n">
        <v>0.97</v>
      </c>
      <c r="L17" s="26" t="n"/>
      <c r="M17" s="25" t="n">
        <v>86.5</v>
      </c>
      <c r="N17" s="25" t="n">
        <v>82.40000000000001</v>
      </c>
      <c r="O17" s="26">
        <f>IF(OR(M17="",N17="",N17=0),"",M17/N17-1)</f>
        <v/>
      </c>
      <c r="P17" s="25" t="n">
        <v>5.6</v>
      </c>
      <c r="Q17" s="24" t="n">
        <v>119</v>
      </c>
      <c r="R17" s="26" t="n">
        <v>0.0825</v>
      </c>
      <c r="S17" s="26" t="n">
        <v>0.1138</v>
      </c>
      <c r="T17" s="27" t="n">
        <v>505.7</v>
      </c>
      <c r="U17" s="27">
        <f>IF(OR(T17="",H17="",H17=0),"",T17*10000000/H17)</f>
        <v/>
      </c>
      <c r="V17" s="23" t="n"/>
      <c r="W17" s="23" t="n"/>
      <c r="X17" s="23" t="inlineStr">
        <is>
          <t>Freehold. Area &amp; value ADJUSTED for 68% economic interest. Total mall leasable 714,750 sf (0.71msf), NMRPL share 486,030 sf (0.49msf). Total asset value 100%=INR 7,436mn; adjusted value INR 5,057mn. Committed occ 97.3%. Market rent 86.5, in-place 82.4 psf/mo (rent-table value taken from Fiza chapter region pp94-95; layout ambiguous vs Celebration - spot-verify if precision critical). WALE 5.6yr area/5.0yr rental. Cap 8.25% (tier-2 city). Pages 94-95, value-summary p108, cap p61, WACC p65.</t>
        </is>
      </c>
    </row>
    <row r="18" ht="44" customHeight="1" s="18">
      <c r="A18" s="21" t="inlineStr">
        <is>
          <t>Nexus Mysore Retail Private Limited (NMRPL Mysore)</t>
        </is>
      </c>
      <c r="B18" s="22" t="inlineStr">
        <is>
          <t>Nexus Centre City</t>
        </is>
      </c>
      <c r="C18" s="20" t="inlineStr">
        <is>
          <t>Retail</t>
        </is>
      </c>
      <c r="D18" s="20" t="inlineStr">
        <is>
          <t>Mysuru</t>
        </is>
      </c>
      <c r="E18" s="21" t="inlineStr">
        <is>
          <t>Nazarbad</t>
        </is>
      </c>
      <c r="F18" s="21" t="inlineStr">
        <is>
          <t>Nazarbad, Hyder Ali Road</t>
        </is>
      </c>
      <c r="G18" s="23" t="inlineStr">
        <is>
          <t>Survey No. 9 &amp; Khata No. 33, Eranagare Village, Hyderali Road, Nazarbad Mohalla, Mysuru, Karnataka 570010, India</t>
        </is>
      </c>
      <c r="H18" s="24" t="n">
        <v>326002</v>
      </c>
      <c r="I18" s="25" t="n">
        <v>0.33</v>
      </c>
      <c r="J18" s="25" t="n">
        <v>0.33</v>
      </c>
      <c r="K18" s="26" t="n">
        <v>1</v>
      </c>
      <c r="L18" s="26" t="n">
        <v>0.99</v>
      </c>
      <c r="M18" s="25" t="n">
        <v>79.3</v>
      </c>
      <c r="N18" s="25" t="n">
        <v>71.5</v>
      </c>
      <c r="O18" s="26">
        <f>IF(OR(M18="",N18="",N18=0),"",M18/N18-1)</f>
        <v/>
      </c>
      <c r="P18" s="25" t="n">
        <v>6.1</v>
      </c>
      <c r="Q18" s="24" t="n">
        <v>94</v>
      </c>
      <c r="R18" s="26" t="n">
        <v>0.0825</v>
      </c>
      <c r="S18" s="26" t="n">
        <v>0.1138</v>
      </c>
      <c r="T18" s="27" t="n">
        <v>424.1</v>
      </c>
      <c r="U18" s="27">
        <f>IF(OR(T18="",H18="",H18=0),"",T18*10000000/H18)</f>
        <v/>
      </c>
      <c r="V18" s="23" t="n"/>
      <c r="W18" s="23" t="n"/>
      <c r="X18" s="23" t="inlineStr">
        <is>
          <t>Freehold. Committed occ 99.7%; occupied 323,207/326,002 sf. Market rent 79.3, in-place 71.5 psf/mo. WALE 6.1yr area/4.8yr rental. Cap 8.25% (tier-2 city). Value INR 4,241mn. Pages 96-97, cap p61, WACC p65.</t>
        </is>
      </c>
    </row>
    <row r="19" ht="65.3" customHeight="1" s="18">
      <c r="A19" s="21" t="inlineStr">
        <is>
          <t>Naman Mall Management Company Private Limited (NMMCPL)</t>
        </is>
      </c>
      <c r="B19" s="22" t="inlineStr">
        <is>
          <t>Nexus Indore Central</t>
        </is>
      </c>
      <c r="C19" s="20" t="inlineStr">
        <is>
          <t>Retail</t>
        </is>
      </c>
      <c r="D19" s="20" t="inlineStr">
        <is>
          <t>Indore</t>
        </is>
      </c>
      <c r="E19" s="21" t="inlineStr">
        <is>
          <t>South Tukoganj</t>
        </is>
      </c>
      <c r="F19" s="21" t="inlineStr">
        <is>
          <t>South Tukoganj, RNT Marg</t>
        </is>
      </c>
      <c r="G19" s="23" t="inlineStr">
        <is>
          <t>Plot No. 170, Rabindranath Tagore Marg, Indore, Madhya Pradesh, India</t>
        </is>
      </c>
      <c r="H19" s="24" t="n">
        <v>246864</v>
      </c>
      <c r="I19" s="25" t="n">
        <v>0.25</v>
      </c>
      <c r="J19" s="25" t="n">
        <v>0.25</v>
      </c>
      <c r="K19" s="26" t="n">
        <v>0.87</v>
      </c>
      <c r="L19" s="26" t="n">
        <v>0.87</v>
      </c>
      <c r="M19" s="25" t="n">
        <v>67.2</v>
      </c>
      <c r="N19" s="25" t="n">
        <v>63.4</v>
      </c>
      <c r="O19" s="26">
        <f>IF(OR(M19="",N19="",N19=0),"",M19/N19-1)</f>
        <v/>
      </c>
      <c r="P19" s="25" t="n">
        <v>10.8</v>
      </c>
      <c r="Q19" s="24" t="n"/>
      <c r="R19" s="26" t="n">
        <v>0.08500000000000001</v>
      </c>
      <c r="S19" s="26" t="n">
        <v>0.1138</v>
      </c>
      <c r="T19" s="27" t="n">
        <v>212</v>
      </c>
      <c r="U19" s="27">
        <f>IF(OR(T19="",H19="",H19=0),"",T19*10000000/H19)</f>
        <v/>
      </c>
      <c r="V19" s="23" t="n"/>
      <c r="W19" s="23" t="n"/>
      <c r="X19" s="23" t="inlineStr">
        <is>
          <t>Freehold. Committed occ 87.3%; leased 214,464/246,864 sf. Market rent 67.2, in-place 63.4 psf/mo. WALE 10.8yr area/11.7yr rental. Cap 8.50% (tier-2 city, high competition; highest cap in portfolio). Value INR 2,120mn. Number of brands not stated numerically in cert. Pages 98-99, cap p61, WACC p65.</t>
        </is>
      </c>
    </row>
    <row r="20" ht="65.3" customHeight="1" s="18">
      <c r="A20" s="21" t="inlineStr">
        <is>
          <t>Mamadapur Solar Private Limited (MSPL)</t>
        </is>
      </c>
      <c r="B20" s="22" t="inlineStr">
        <is>
          <t>Karnataka Solar Park</t>
        </is>
      </c>
      <c r="C20" s="20" t="inlineStr">
        <is>
          <t>Solar</t>
        </is>
      </c>
      <c r="D20" s="20" t="inlineStr">
        <is>
          <t>Vijayapura</t>
        </is>
      </c>
      <c r="E20" s="21" t="inlineStr">
        <is>
          <t>Kodabagi Village</t>
        </is>
      </c>
      <c r="F20" s="21" t="inlineStr">
        <is>
          <t>Kodabagi Village, Babaleshwar Taluk</t>
        </is>
      </c>
      <c r="G20" s="23" t="inlineStr">
        <is>
          <t>Kodabagi Village, Mamadapura Hobli, Babaleshwar Taluk, Bijapura District, Vijayapura, Karnataka 586113, India</t>
        </is>
      </c>
      <c r="H20" s="24" t="n"/>
      <c r="I20" s="25" t="n"/>
      <c r="J20" s="25" t="n"/>
      <c r="K20" s="26" t="n"/>
      <c r="L20" s="26" t="n"/>
      <c r="M20" s="25" t="n"/>
      <c r="N20" s="25" t="n"/>
      <c r="O20" s="26">
        <f>IF(OR(M20="",N20="",N20=0),"",M20/N20-1)</f>
        <v/>
      </c>
      <c r="P20" s="25" t="n"/>
      <c r="Q20" s="24" t="n"/>
      <c r="R20" s="26" t="n"/>
      <c r="S20" s="26" t="n">
        <v>0.115</v>
      </c>
      <c r="T20" s="27" t="n">
        <v>75.90000000000001</v>
      </c>
      <c r="U20" s="27">
        <f>IF(OR(T20="",H20="",H20=0),"",T20*10000000/H20)</f>
        <v/>
      </c>
      <c r="V20" s="23" t="n"/>
      <c r="W20" s="23" t="n"/>
      <c r="X20" s="23" t="inlineStr">
        <is>
          <t>Leasehold (67.925 acres, ~20yr remaining). NOT a mall: 15 MW (AC) captive solar PV plant with PPA supplying Nexus Koramangala, Shantiniketan, Whitefield, Centre City and Fiza. Valued via DCF. WACC 11.50% (cost of debt 8.5%, equity 14.5%). Value INR 759mn. Pages 100-101, WACC p66-67.</t>
        </is>
      </c>
    </row>
    <row r="21" ht="65.3" customHeight="1" s="18">
      <c r="A21" s="21" t="inlineStr">
        <is>
          <t>Vijaya Productions Private Limited (VPPL)</t>
        </is>
      </c>
      <c r="B21" s="22" t="inlineStr">
        <is>
          <t>Nexus Vega City</t>
        </is>
      </c>
      <c r="C21" s="20" t="inlineStr">
        <is>
          <t>Retail</t>
        </is>
      </c>
      <c r="D21" s="20" t="inlineStr">
        <is>
          <t>Bengaluru</t>
        </is>
      </c>
      <c r="E21" s="21" t="inlineStr">
        <is>
          <t>Bannerghatta Road</t>
        </is>
      </c>
      <c r="F21" s="21" t="inlineStr">
        <is>
          <t>Bannerghatta Road, Bilekahalli</t>
        </is>
      </c>
      <c r="G21" s="23" t="inlineStr">
        <is>
          <t>Municipal No.1335/172/1 &amp; 75, Bilekahalli Village, Bannerghatta Road, Bengaluru, Karnataka, India</t>
        </is>
      </c>
      <c r="H21" s="24" t="n">
        <v>439687</v>
      </c>
      <c r="I21" s="25" t="n">
        <v>0.44</v>
      </c>
      <c r="J21" s="25" t="n">
        <v>0.44</v>
      </c>
      <c r="K21" s="26" t="n">
        <v>0.99</v>
      </c>
      <c r="L21" s="26" t="n"/>
      <c r="M21" s="25" t="n">
        <v>124.4</v>
      </c>
      <c r="N21" s="25" t="n">
        <v>121</v>
      </c>
      <c r="O21" s="26">
        <f>IF(OR(M21="",N21="",N21=0),"",M21/N21-1)</f>
        <v/>
      </c>
      <c r="P21" s="25" t="n">
        <v>10.7</v>
      </c>
      <c r="Q21" s="24" t="n">
        <v>127</v>
      </c>
      <c r="R21" s="26" t="n">
        <v>0.08</v>
      </c>
      <c r="S21" s="26" t="n">
        <v>0.1138</v>
      </c>
      <c r="T21" s="27" t="n">
        <v>1071.9</v>
      </c>
      <c r="U21" s="27">
        <f>IF(OR(T21="",H21="",H21=0),"",T21*10000000/H21)</f>
        <v/>
      </c>
      <c r="V21" s="23" t="n"/>
      <c r="W21" s="23" t="n"/>
      <c r="X21" s="23" t="inlineStr">
        <is>
          <t>Freehold. Acquired Feb 2025 (post-IPO) at purchase price INR 8,697.5mn; not a related-party transaction. UDS in land for mall = 12,748 sqm. Committed occ 99.0%. Market rent 124.4, in-place 121.0 psf/mo. WALE 10.7yr area/8.6yr rental. Cap 8.00%. Value INR 10,719mn. Pages 102-103, cap p62, WACC p65.</t>
        </is>
      </c>
    </row>
    <row r="22" ht="86.65000000000001" customHeight="1" s="18">
      <c r="A22" s="21" t="inlineStr">
        <is>
          <t>Select Infrastructure Private Limited (SIPL)</t>
        </is>
      </c>
      <c r="B22" s="22" t="inlineStr">
        <is>
          <t>Nexus MBD Complex</t>
        </is>
      </c>
      <c r="C22" s="20" t="inlineStr">
        <is>
          <t>Retail</t>
        </is>
      </c>
      <c r="D22" s="20" t="inlineStr">
        <is>
          <t>Ludhiana</t>
        </is>
      </c>
      <c r="E22" s="21" t="inlineStr">
        <is>
          <t>Ferozepur Road</t>
        </is>
      </c>
      <c r="F22" s="21" t="inlineStr">
        <is>
          <t>Ferozepur Road, Sunder Nagar</t>
        </is>
      </c>
      <c r="G22" s="23" t="inlineStr">
        <is>
          <t>Village Barewal Awana (Ferozepur Road), Tehsil &amp; District Ludhiana, Punjab, India</t>
        </is>
      </c>
      <c r="H22" s="24" t="n">
        <v>257400</v>
      </c>
      <c r="I22" s="25" t="n">
        <v>0.26</v>
      </c>
      <c r="J22" s="25" t="n">
        <v>0.26</v>
      </c>
      <c r="K22" s="26" t="n">
        <v>0.99</v>
      </c>
      <c r="L22" s="26" t="n"/>
      <c r="M22" s="25" t="n">
        <v>125.5</v>
      </c>
      <c r="N22" s="25" t="n">
        <v>110</v>
      </c>
      <c r="O22" s="26">
        <f>IF(OR(M22="",N22="",N22=0),"",M22/N22-1)</f>
        <v/>
      </c>
      <c r="P22" s="25" t="n">
        <v>6.2</v>
      </c>
      <c r="Q22" s="24" t="n">
        <v>86</v>
      </c>
      <c r="R22" s="26" t="n">
        <v>0.0825</v>
      </c>
      <c r="S22" s="26" t="n">
        <v>0.1138</v>
      </c>
      <c r="T22" s="27" t="n">
        <v>603.3</v>
      </c>
      <c r="U22" s="27">
        <f>IF(OR(T22="",H22="",H22=0),"",T22*10000000/H22)</f>
        <v/>
      </c>
      <c r="V22" s="23" t="n"/>
      <c r="W22" s="23" t="n"/>
      <c r="X22" s="23" t="inlineStr">
        <is>
          <t>Freehold. RETAIL row (mall). Acquired May 2025 (post-IPO) at purchase price INR 4,900mn; not related-party. Committed occ mall 99.3%. Mall market rent 125.5, in-place 110.0 psf/mo. Mall WALE 6.2yr area/5.6yr rental. Mall cap 8.25% (tier-2 city). Mall value INR 4,521mn. Complex also has 96-key Radisson Blu Hotel Ludhiana (cap 7.14%/14x, WACC 11.88%, value INR 1,512mn). Total complex value INR 6,033mn. Pages 104-105, cap p61/63, WACC p65-67.</t>
        </is>
      </c>
    </row>
    <row r="23" ht="86.65000000000001" customHeight="1" s="18">
      <c r="A23" s="21" t="inlineStr">
        <is>
          <t>Indore Treasure Island Private Limited (ITIPL)</t>
        </is>
      </c>
      <c r="B23" s="22" t="inlineStr">
        <is>
          <t>Treasure Island</t>
        </is>
      </c>
      <c r="C23" s="20" t="inlineStr">
        <is>
          <t>Retail</t>
        </is>
      </c>
      <c r="D23" s="20" t="inlineStr">
        <is>
          <t>Indore</t>
        </is>
      </c>
      <c r="E23" s="21" t="inlineStr">
        <is>
          <t>South Tukoganj</t>
        </is>
      </c>
      <c r="F23" s="21" t="inlineStr">
        <is>
          <t>South Tukoganj, MG Road</t>
        </is>
      </c>
      <c r="G23" s="23" t="inlineStr">
        <is>
          <t>Plot No. 11, MG Road, Tukoganj, Indore, Madhya Pradesh, India</t>
        </is>
      </c>
      <c r="H23" s="24" t="n">
        <v>220425</v>
      </c>
      <c r="I23" s="25" t="n">
        <v>0.22</v>
      </c>
      <c r="J23" s="25" t="n">
        <v>0.22</v>
      </c>
      <c r="K23" s="26" t="n">
        <v>0.87</v>
      </c>
      <c r="L23" s="26" t="n">
        <v>0.84</v>
      </c>
      <c r="M23" s="25" t="n">
        <v>72.40000000000001</v>
      </c>
      <c r="N23" s="25" t="n">
        <v>69.40000000000001</v>
      </c>
      <c r="O23" s="26">
        <f>IF(OR(M23="",N23="",N23=0),"",M23/N23-1)</f>
        <v/>
      </c>
      <c r="P23" s="25" t="n">
        <v>5.1</v>
      </c>
      <c r="Q23" s="24" t="n">
        <v>86</v>
      </c>
      <c r="R23" s="26" t="n">
        <v>0.08500000000000001</v>
      </c>
      <c r="S23" s="26" t="n">
        <v>0.1138</v>
      </c>
      <c r="T23" s="27" t="n">
        <v>278.3</v>
      </c>
      <c r="U23" s="27">
        <f>IF(OR(T23="",H23="",H23=0),"",T23*10000000/H23)</f>
        <v/>
      </c>
      <c r="V23" s="23" t="n"/>
      <c r="W23" s="23" t="n"/>
      <c r="X23" s="23" t="inlineStr">
        <is>
          <t>Leasehold (renewable 4yr 11mo). Nexus Select Trust owns 50% economic interest. Area &amp; value ADJUSTED for 50% stake: total leasable 440,850 sf (0.43msf), share 220,425 sf (0.22msf); total value 100%=INR 5,566mn, adjusted INR 2,783mn. Committed occ 86.8%; leased 368,943/440,850 sf (full asset). Market rent 72.4, in-place 69.4 psf/mo. WALE 5.1yr area/3.7yr rental. Cap 8.50% (tier-2, high competition). Pages 106-107, value-summary p109, cap p61, WACC p65.</t>
        </is>
      </c>
    </row>
    <row r="24" ht="15" customHeight="1" s="18">
      <c r="A24" s="29" t="inlineStr">
        <is>
          <t>TOTAL / weighted</t>
        </is>
      </c>
      <c r="H24" s="31">
        <f>SUM(H4:H23)</f>
        <v/>
      </c>
      <c r="I24" s="32">
        <f>SUM(I4:I23)</f>
        <v/>
      </c>
      <c r="M24" s="32">
        <f>IFERROR(AVERAGE(M4:M23),"")</f>
        <v/>
      </c>
      <c r="N24" s="32">
        <f>IFERROR(AVERAGE(N4:N23),"")</f>
        <v/>
      </c>
      <c r="T24" s="33">
        <f>SUM(T4:T23)</f>
        <v/>
      </c>
      <c r="U24" s="33">
        <f>IFERROR(T24*10000000/H24,"")</f>
        <v/>
      </c>
    </row>
  </sheetData>
  <autoFilter ref="A3:X23"/>
  <hyperlinks>
    <hyperlink xmlns:r="http://schemas.openxmlformats.org/officeDocument/2006/relationships" ref="B4" location="page=68" display="Nexus Select Citywalk" r:id="rId1"/>
    <hyperlink xmlns:r="http://schemas.openxmlformats.org/officeDocument/2006/relationships" ref="B5" location="page=7" display="Nexus Elante Complex" r:id="rId2"/>
    <hyperlink xmlns:r="http://schemas.openxmlformats.org/officeDocument/2006/relationships" ref="B6" location="page=7" display="Nexus Seawoods" r:id="rId3"/>
    <hyperlink xmlns:r="http://schemas.openxmlformats.org/officeDocument/2006/relationships" ref="B7" location="page=8" display="Nexus Ahmedabad One" r:id="rId4"/>
    <hyperlink xmlns:r="http://schemas.openxmlformats.org/officeDocument/2006/relationships" ref="B8" location="page=8" display="Nexus Hyderabad" r:id="rId5"/>
    <hyperlink xmlns:r="http://schemas.openxmlformats.org/officeDocument/2006/relationships" ref="B9" location="page=254" display="Nexus Koramangala" r:id="rId6"/>
    <hyperlink xmlns:r="http://schemas.openxmlformats.org/officeDocument/2006/relationships" ref="B10" location="page=8" display="Nexus Vijaya Complex" r:id="rId7"/>
    <hyperlink xmlns:r="http://schemas.openxmlformats.org/officeDocument/2006/relationships" ref="B11" location="page=8" display="Nexus Westend Complex" r:id="rId8"/>
    <hyperlink xmlns:r="http://schemas.openxmlformats.org/officeDocument/2006/relationships" ref="B12" location="page=8" display="Nexus Esplanade" r:id="rId9"/>
    <hyperlink xmlns:r="http://schemas.openxmlformats.org/officeDocument/2006/relationships" ref="B13" location="page=8" display="Nexus Amritsar" r:id="rId10"/>
    <hyperlink xmlns:r="http://schemas.openxmlformats.org/officeDocument/2006/relationships" ref="B14" location="page=8" display="Nexus Shantiniketan" r:id="rId11"/>
    <hyperlink xmlns:r="http://schemas.openxmlformats.org/officeDocument/2006/relationships" ref="B15" location="page=8" display="Nexus Whitefield Complex" r:id="rId12"/>
    <hyperlink xmlns:r="http://schemas.openxmlformats.org/officeDocument/2006/relationships" ref="B16" location="page=8" display="Nexus Celebration" r:id="rId13"/>
    <hyperlink xmlns:r="http://schemas.openxmlformats.org/officeDocument/2006/relationships" ref="B17" location="page=94" display="Fiza by Nexus" r:id="rId14"/>
    <hyperlink xmlns:r="http://schemas.openxmlformats.org/officeDocument/2006/relationships" ref="B18" location="page=8" display="Nexus Centre City" r:id="rId15"/>
    <hyperlink xmlns:r="http://schemas.openxmlformats.org/officeDocument/2006/relationships" ref="B19" location="page=8" display="Nexus Indore Central" r:id="rId16"/>
    <hyperlink xmlns:r="http://schemas.openxmlformats.org/officeDocument/2006/relationships" ref="B20" location="page=100" display="Karnataka Solar Park" r:id="rId17"/>
    <hyperlink xmlns:r="http://schemas.openxmlformats.org/officeDocument/2006/relationships" ref="B21" location="page=8" display="Nexus Vega City" r:id="rId18"/>
    <hyperlink xmlns:r="http://schemas.openxmlformats.org/officeDocument/2006/relationships" ref="B22" location="page=8" display="Nexus MBD Complex" r:id="rId19"/>
    <hyperlink xmlns:r="http://schemas.openxmlformats.org/officeDocument/2006/relationships" ref="B23" location="page=8" display="Treasure Island" r:id="rId2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X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0546875" defaultRowHeight="15" customHeight="0" zeroHeight="0" outlineLevelRow="0"/>
  <cols>
    <col width="30" customWidth="1" style="17" min="1" max="1"/>
    <col width="26" customWidth="1" style="17" min="2" max="2"/>
    <col width="9" customWidth="1" style="17" min="3" max="3"/>
    <col width="13" customWidth="1" style="17" min="4" max="4"/>
    <col width="22" customWidth="1" style="17" min="5" max="5"/>
    <col width="24" customWidth="1" style="17" min="6" max="6"/>
    <col width="30" customWidth="1" style="17" min="7" max="7"/>
    <col width="12" customWidth="1" style="17" min="8" max="8"/>
    <col width="11" customWidth="1" style="17" min="9" max="10"/>
    <col width="10" customWidth="1" style="17" min="11" max="12"/>
    <col width="12" customWidth="1" style="17" min="13" max="14"/>
    <col width="11" customWidth="1" style="17" min="15" max="15"/>
    <col width="9" customWidth="1" style="17" min="16" max="16"/>
    <col width="8" customWidth="1" style="17" min="17" max="18"/>
    <col width="9" customWidth="1" style="17" min="19" max="19"/>
    <col width="13" customWidth="1" style="17" min="20" max="20"/>
    <col width="12" customWidth="1" style="17" min="21" max="21"/>
    <col width="30" customWidth="1" style="17" min="22" max="22"/>
    <col width="26" customWidth="1" style="17" min="23" max="23"/>
    <col width="46" customWidth="1" style="17" min="24" max="24"/>
  </cols>
  <sheetData>
    <row r="1" ht="15" customHeight="1" s="18">
      <c r="A1" s="30" t="inlineStr">
        <is>
          <t>KRT - Asset-level detail  (valuation 31 Mar 2026;  33 assets)</t>
        </is>
      </c>
    </row>
    <row r="3" ht="30" customHeight="1" s="18">
      <c r="A3" s="19" t="inlineStr">
        <is>
          <t>SPV / Holding entity</t>
        </is>
      </c>
      <c r="B3" s="19" t="inlineStr">
        <is>
          <t>Property / Asset</t>
        </is>
      </c>
      <c r="C3" s="19" t="inlineStr">
        <is>
          <t>Type</t>
        </is>
      </c>
      <c r="D3" s="19" t="inlineStr">
        <is>
          <t>City</t>
        </is>
      </c>
      <c r="E3" s="19" t="inlineStr">
        <is>
          <t>Locality / Area</t>
        </is>
      </c>
      <c r="F3" s="19" t="inlineStr">
        <is>
          <t>Micro-market (valuer)</t>
        </is>
      </c>
      <c r="G3" s="19" t="inlineStr">
        <is>
          <t>Address</t>
        </is>
      </c>
      <c r="H3" s="19" t="inlineStr">
        <is>
          <t>Leasable (sq ft)</t>
        </is>
      </c>
      <c r="I3" s="19" t="inlineStr">
        <is>
          <t>Leasable (msf)</t>
        </is>
      </c>
      <c r="J3" s="19" t="inlineStr">
        <is>
          <t>Completed (msf)</t>
        </is>
      </c>
      <c r="K3" s="19" t="inlineStr">
        <is>
          <t>Committed occ.</t>
        </is>
      </c>
      <c r="L3" s="19" t="inlineStr">
        <is>
          <t>In-place occ.</t>
        </is>
      </c>
      <c r="M3" s="19" t="inlineStr">
        <is>
          <t>Market rent /sqft/mo</t>
        </is>
      </c>
      <c r="N3" s="19" t="inlineStr">
        <is>
          <t>In-place rent /sqft/mo</t>
        </is>
      </c>
      <c r="O3" s="19" t="inlineStr">
        <is>
          <t>Rent reversion</t>
        </is>
      </c>
      <c r="P3" s="19" t="inlineStr">
        <is>
          <t>WALE (yrs)</t>
        </is>
      </c>
      <c r="Q3" s="19" t="inlineStr">
        <is>
          <t>Tenants</t>
        </is>
      </c>
      <c r="R3" s="19" t="inlineStr">
        <is>
          <t>Cap rate</t>
        </is>
      </c>
      <c r="S3" s="19" t="inlineStr">
        <is>
          <t>Discount rate</t>
        </is>
      </c>
      <c r="T3" s="19" t="inlineStr">
        <is>
          <t>Market value (INR cr)</t>
        </is>
      </c>
      <c r="U3" s="19" t="inlineStr">
        <is>
          <t>Value/sqft (INR)</t>
        </is>
      </c>
      <c r="V3" s="19" t="inlineStr">
        <is>
          <t>Mgmt fee (valuation DCF)</t>
        </is>
      </c>
      <c r="W3" s="19" t="inlineStr">
        <is>
          <t>Insurance (valuation DCF)</t>
        </is>
      </c>
      <c r="X3" s="19" t="inlineStr">
        <is>
          <t>Notes / source</t>
        </is>
      </c>
    </row>
    <row r="4" ht="44" customHeight="1" s="18">
      <c r="A4" s="21" t="inlineStr">
        <is>
          <t>M/S Devbhumi Realtors Pvt Ltd</t>
        </is>
      </c>
      <c r="B4" s="22" t="inlineStr">
        <is>
          <t>Sattva Knowledge City</t>
        </is>
      </c>
      <c r="C4" s="20" t="inlineStr">
        <is>
          <t>Office</t>
        </is>
      </c>
      <c r="D4" s="20" t="inlineStr">
        <is>
          <t>Hyderabad</t>
        </is>
      </c>
      <c r="E4" s="21" t="inlineStr">
        <is>
          <t>HITEC City</t>
        </is>
      </c>
      <c r="F4" s="21" t="inlineStr">
        <is>
          <t>IT Corridor–HITEC City</t>
        </is>
      </c>
      <c r="G4" s="23" t="inlineStr">
        <is>
          <t>Plot No.2, Survey No. 83/1, Raidurg Panmaktha Village, Serilingampally Mandal, Ranga Reddy District, Telangana.</t>
        </is>
      </c>
      <c r="H4" s="24" t="n">
        <v>7295223</v>
      </c>
      <c r="I4" s="25" t="n">
        <v>7.3</v>
      </c>
      <c r="J4" s="25" t="n"/>
      <c r="K4" s="26" t="n">
        <v>0.997</v>
      </c>
      <c r="L4" s="26" t="n"/>
      <c r="M4" s="25" t="n">
        <v>120</v>
      </c>
      <c r="N4" s="25" t="n">
        <v>80.40000000000001</v>
      </c>
      <c r="O4" s="26">
        <f>IF(OR(M4="",N4="",N4=0),"",M4/N4-1)</f>
        <v/>
      </c>
      <c r="P4" s="25" t="n">
        <v>10</v>
      </c>
      <c r="Q4" s="24" t="n"/>
      <c r="R4" s="26" t="n">
        <v>0.075</v>
      </c>
      <c r="S4" s="26" t="n">
        <v>0.1146</v>
      </c>
      <c r="T4" s="27" t="n">
        <v>12292</v>
      </c>
      <c r="U4" s="27">
        <f>IF(OR(T4="",H4="",H4=0),"",T4*10000000/H4)</f>
        <v/>
      </c>
      <c r="V4" s="23" t="inlineStr">
        <is>
          <t>3.0% of the Facility Rentals</t>
        </is>
      </c>
      <c r="W4" s="23" t="inlineStr">
        <is>
          <t>INR 15.7 Mn from Apr'26 to Mar'27 (Mgmt input; 5% p.a. escalation from Apr'27)</t>
        </is>
      </c>
      <c r="X4" s="23" t="inlineStr">
        <is>
          <t>Detailed sec 7 (pdf p.157); Valuation Certificate sec 6; Value Summary sec 4 (pdf p.55-56)</t>
        </is>
      </c>
    </row>
    <row r="5" ht="44" customHeight="1" s="18">
      <c r="A5" s="21" t="inlineStr">
        <is>
          <t>M/S Worldwide Realcon Pvt Ltd</t>
        </is>
      </c>
      <c r="B5" s="22" t="inlineStr">
        <is>
          <t>Sattva Knowledge Park</t>
        </is>
      </c>
      <c r="C5" s="20" t="inlineStr">
        <is>
          <t>Office</t>
        </is>
      </c>
      <c r="D5" s="20" t="inlineStr">
        <is>
          <t>Hyderabad</t>
        </is>
      </c>
      <c r="E5" s="21" t="inlineStr">
        <is>
          <t>HITEC City</t>
        </is>
      </c>
      <c r="F5" s="21" t="inlineStr">
        <is>
          <t>IT Corridor–HITEC City</t>
        </is>
      </c>
      <c r="G5" s="23" t="inlineStr">
        <is>
          <t>Plot No. 16, Survey No. 83/1, Raidurg Panmaktha Village, Serilingampally Mandal, Ranga Reddy District, Telangana.</t>
        </is>
      </c>
      <c r="H5" s="24" t="n">
        <v>3300963</v>
      </c>
      <c r="I5" s="25" t="n">
        <v>3.3</v>
      </c>
      <c r="J5" s="25" t="n"/>
      <c r="K5" s="26" t="n">
        <v>0.968</v>
      </c>
      <c r="L5" s="26" t="n"/>
      <c r="M5" s="25" t="n">
        <v>120</v>
      </c>
      <c r="N5" s="25" t="n">
        <v>79</v>
      </c>
      <c r="O5" s="26">
        <f>IF(OR(M5="",N5="",N5=0),"",M5/N5-1)</f>
        <v/>
      </c>
      <c r="P5" s="25" t="n">
        <v>10</v>
      </c>
      <c r="Q5" s="24" t="n"/>
      <c r="R5" s="26" t="n">
        <v>0.075</v>
      </c>
      <c r="S5" s="26" t="n">
        <v>0.1146</v>
      </c>
      <c r="T5" s="27" t="n">
        <v>5675.5</v>
      </c>
      <c r="U5" s="27">
        <f>IF(OR(T5="",H5="",H5=0),"",T5*10000000/H5)</f>
        <v/>
      </c>
      <c r="V5" s="23" t="inlineStr">
        <is>
          <t>3.0% of the Facility Rentals</t>
        </is>
      </c>
      <c r="W5" s="23" t="inlineStr">
        <is>
          <t>INR 4.1 Mn from Apr'26 to Mar'27 (Mgmt input; 5% p.a. escalation from Apr'27)</t>
        </is>
      </c>
      <c r="X5" s="23" t="inlineStr">
        <is>
          <t>Detailed sec 8 (pdf p.176); Valuation Certificate sec 6; Value Summary sec 4 (pdf p.55-56)</t>
        </is>
      </c>
    </row>
    <row r="6" ht="44" customHeight="1" s="18">
      <c r="A6" s="21" t="inlineStr">
        <is>
          <t>M/S Sattva Knowledge Centre Pvt Ltd</t>
        </is>
      </c>
      <c r="B6" s="22" t="inlineStr">
        <is>
          <t>Sattva Knowledge Capital</t>
        </is>
      </c>
      <c r="C6" s="20" t="inlineStr">
        <is>
          <t>Office</t>
        </is>
      </c>
      <c r="D6" s="20" t="inlineStr">
        <is>
          <t>Hyderabad</t>
        </is>
      </c>
      <c r="E6" s="21" t="inlineStr">
        <is>
          <t>Nanakramguda</t>
        </is>
      </c>
      <c r="F6" s="21" t="inlineStr">
        <is>
          <t>Extended IT Corridor</t>
        </is>
      </c>
      <c r="G6" s="23" t="inlineStr">
        <is>
          <t>Plot No. 8 (Part), Survey No. 115, Nanakramguda Village, Serilingampally Mandal, Ranga Reddy District, Telangana.</t>
        </is>
      </c>
      <c r="H6" s="24" t="n">
        <v>2295894</v>
      </c>
      <c r="I6" s="25" t="n">
        <v>2.3</v>
      </c>
      <c r="J6" s="25" t="n"/>
      <c r="K6" s="26" t="n"/>
      <c r="L6" s="26" t="n"/>
      <c r="M6" s="25" t="n">
        <v>68</v>
      </c>
      <c r="N6" s="25" t="n">
        <v>66.40000000000001</v>
      </c>
      <c r="O6" s="26">
        <f>IF(OR(M6="",N6="",N6=0),"",M6/N6-1)</f>
        <v/>
      </c>
      <c r="P6" s="25" t="n"/>
      <c r="Q6" s="24" t="n"/>
      <c r="R6" s="26" t="n">
        <v>0.0775</v>
      </c>
      <c r="S6" s="26" t="n">
        <v>0.1146</v>
      </c>
      <c r="T6" s="27" t="n">
        <v>2942.5</v>
      </c>
      <c r="U6" s="27">
        <f>IF(OR(T6="",H6="",H6=0),"",T6*10000000/H6)</f>
        <v/>
      </c>
      <c r="V6" s="23" t="inlineStr">
        <is>
          <t>3.0% of the Facility Rentals</t>
        </is>
      </c>
      <c r="W6" s="23" t="inlineStr">
        <is>
          <t>INR 2.1 Mn from Apr'26 to Mar'27 (Mgmt input; 5% p.a. escalation from Apr'27)</t>
        </is>
      </c>
      <c r="X6" s="23" t="inlineStr">
        <is>
          <t>Detailed sec 9 (pdf p.191); Valuation Certificate sec 6; Value Summary sec 4 (pdf p.55-56)</t>
        </is>
      </c>
    </row>
    <row r="7" ht="44" customHeight="1" s="18">
      <c r="A7" s="21" t="inlineStr">
        <is>
          <t>One Bkc Realtors Private Limited</t>
        </is>
      </c>
      <c r="B7" s="22" t="inlineStr">
        <is>
          <t>One BKC</t>
        </is>
      </c>
      <c r="C7" s="20" t="inlineStr">
        <is>
          <t>Office</t>
        </is>
      </c>
      <c r="D7" s="20" t="inlineStr">
        <is>
          <t>Mumbai</t>
        </is>
      </c>
      <c r="E7" s="21" t="inlineStr">
        <is>
          <t>BKC &amp; BKC-O</t>
        </is>
      </c>
      <c r="F7" s="21" t="inlineStr">
        <is>
          <t>BKC &amp; BKC-O</t>
        </is>
      </c>
      <c r="G7" s="23" t="inlineStr">
        <is>
          <t>Plot No. C-66, C.T.S. No. 4207 (part), Village Kole-Kalyan, Mumbai Suburban District, G Block, Bandra- Kurla Complex, Bandra East, Mumbai</t>
        </is>
      </c>
      <c r="H7" s="24" t="n">
        <v>750044</v>
      </c>
      <c r="I7" s="25" t="n">
        <v>0.8</v>
      </c>
      <c r="J7" s="25" t="n"/>
      <c r="K7" s="26" t="n">
        <v>0.872</v>
      </c>
      <c r="L7" s="26" t="n"/>
      <c r="M7" s="25" t="n">
        <v>420</v>
      </c>
      <c r="N7" s="25" t="n">
        <v>366.7</v>
      </c>
      <c r="O7" s="26">
        <f>IF(OR(M7="",N7="",N7=0),"",M7/N7-1)</f>
        <v/>
      </c>
      <c r="P7" s="25" t="n">
        <v>3.8</v>
      </c>
      <c r="Q7" s="24" t="n"/>
      <c r="R7" s="26" t="n">
        <v>0.075</v>
      </c>
      <c r="S7" s="26" t="n">
        <v>0.1146</v>
      </c>
      <c r="T7" s="27" t="n">
        <v>4666.7</v>
      </c>
      <c r="U7" s="27">
        <f>IF(OR(T7="",H7="",H7=0),"",T7*10000000/H7)</f>
        <v/>
      </c>
      <c r="V7" s="23" t="inlineStr">
        <is>
          <t>3.0% of the Facility Rentals</t>
        </is>
      </c>
      <c r="W7" s="23" t="inlineStr">
        <is>
          <t>INR 3.2 Mn from Apr'26 to Mar'27 (Mgmt input; 5% p.a. escalation from Apr'27)</t>
        </is>
      </c>
      <c r="X7" s="23" t="inlineStr">
        <is>
          <t>Detailed sec 10 (pdf p.206); Valuation Certificate sec 6; Value Summary sec 4 (pdf p.55-56)</t>
        </is>
      </c>
    </row>
    <row r="8" ht="33.3" customHeight="1" s="18">
      <c r="A8" s="21" t="inlineStr">
        <is>
          <t>One World Center Private Limited</t>
        </is>
      </c>
      <c r="B8" s="22" t="inlineStr">
        <is>
          <t>One World Center</t>
        </is>
      </c>
      <c r="C8" s="20" t="inlineStr">
        <is>
          <t>Office</t>
        </is>
      </c>
      <c r="D8" s="20" t="inlineStr">
        <is>
          <t>Mumbai</t>
        </is>
      </c>
      <c r="E8" s="21" t="inlineStr">
        <is>
          <t>Prabhadevi</t>
        </is>
      </c>
      <c r="F8" s="21" t="inlineStr">
        <is>
          <t>EXT - CBD</t>
        </is>
      </c>
      <c r="G8" s="23" t="inlineStr">
        <is>
          <t>Survey No. 841, Senapati Bapat Marg, Elphinstone Road, Lower Parel, Mumbai</t>
        </is>
      </c>
      <c r="H8" s="24" t="n">
        <v>1752214</v>
      </c>
      <c r="I8" s="25" t="n">
        <v>1.8</v>
      </c>
      <c r="J8" s="25" t="n"/>
      <c r="K8" s="26" t="n">
        <v>0.925</v>
      </c>
      <c r="L8" s="26" t="n"/>
      <c r="M8" s="25" t="n">
        <v>255</v>
      </c>
      <c r="N8" s="25" t="n">
        <v>211.7</v>
      </c>
      <c r="O8" s="26">
        <f>IF(OR(M8="",N8="",N8=0),"",M8/N8-1)</f>
        <v/>
      </c>
      <c r="P8" s="25" t="n">
        <v>3.5</v>
      </c>
      <c r="Q8" s="24" t="n"/>
      <c r="R8" s="26" t="n">
        <v>0.0775</v>
      </c>
      <c r="S8" s="26" t="n">
        <v>0.1146</v>
      </c>
      <c r="T8" s="27" t="n">
        <v>6276.7</v>
      </c>
      <c r="U8" s="27">
        <f>IF(OR(T8="",H8="",H8=0),"",T8*10000000/H8)</f>
        <v/>
      </c>
      <c r="V8" s="23" t="inlineStr">
        <is>
          <t>3.0% of the Facility Rentals</t>
        </is>
      </c>
      <c r="W8" s="23" t="inlineStr">
        <is>
          <t>INR 4.1 Mn from Apr'26 to Mar'27 (Mgmt input; 5% p.a. escalation from Apr'27)</t>
        </is>
      </c>
      <c r="X8" s="23" t="inlineStr">
        <is>
          <t>Detailed sec 11 (pdf p.222); Valuation Certificate sec 6; Value Summary sec 4 (pdf p.55-56)</t>
        </is>
      </c>
    </row>
    <row r="9" ht="33.3" customHeight="1" s="18">
      <c r="A9" s="21" t="inlineStr">
        <is>
          <t>One International Center Pvt Ltd</t>
        </is>
      </c>
      <c r="B9" s="22" t="inlineStr">
        <is>
          <t>One International Center</t>
        </is>
      </c>
      <c r="C9" s="20" t="inlineStr">
        <is>
          <t>Office</t>
        </is>
      </c>
      <c r="D9" s="20" t="inlineStr">
        <is>
          <t>Mumbai</t>
        </is>
      </c>
      <c r="E9" s="21" t="inlineStr">
        <is>
          <t>Prabhadevi</t>
        </is>
      </c>
      <c r="F9" s="21" t="inlineStr">
        <is>
          <t>EXT - CBD</t>
        </is>
      </c>
      <c r="G9" s="23" t="inlineStr">
        <is>
          <t>Part of Plot 612 &amp; 613, Senapati Bapat Marg, Prabhadevi, Dadar (W), Mumbai</t>
        </is>
      </c>
      <c r="H9" s="24" t="n">
        <v>1778186</v>
      </c>
      <c r="I9" s="25" t="n">
        <v>1.8</v>
      </c>
      <c r="J9" s="25" t="n"/>
      <c r="K9" s="26" t="n">
        <v>0.891</v>
      </c>
      <c r="L9" s="26" t="n"/>
      <c r="M9" s="25" t="n">
        <v>220</v>
      </c>
      <c r="N9" s="25" t="n">
        <v>186.9</v>
      </c>
      <c r="O9" s="26">
        <f>IF(OR(M9="",N9="",N9=0),"",M9/N9-1)</f>
        <v/>
      </c>
      <c r="P9" s="25" t="n">
        <v>2.6</v>
      </c>
      <c r="Q9" s="24" t="n"/>
      <c r="R9" s="26" t="n">
        <v>0.0775</v>
      </c>
      <c r="S9" s="26" t="n">
        <v>0.1146</v>
      </c>
      <c r="T9" s="27" t="n">
        <v>5534.3</v>
      </c>
      <c r="U9" s="27">
        <f>IF(OR(T9="",H9="",H9=0),"",T9*10000000/H9)</f>
        <v/>
      </c>
      <c r="V9" s="23" t="inlineStr">
        <is>
          <t>3.0% of the Facility Rentals</t>
        </is>
      </c>
      <c r="W9" s="23" t="inlineStr">
        <is>
          <t>INR 4.4 Mn from Apr'26 to Mar'27 (Mgmt input; 5% p.a. escalation from Apr'27)</t>
        </is>
      </c>
      <c r="X9" s="23" t="inlineStr">
        <is>
          <t>Detailed sec 12 (pdf p.238); Valuation Certificate sec 6; Value Summary sec 4 (pdf p.55-56)</t>
        </is>
      </c>
    </row>
    <row r="10" ht="33.3" customHeight="1" s="18">
      <c r="A10" s="21" t="inlineStr">
        <is>
          <t>One International Center Private Limited</t>
        </is>
      </c>
      <c r="B10" s="22" t="inlineStr">
        <is>
          <t>One Unity Center</t>
        </is>
      </c>
      <c r="C10" s="20" t="inlineStr">
        <is>
          <t>Office</t>
        </is>
      </c>
      <c r="D10" s="20" t="inlineStr">
        <is>
          <t>Mumbai</t>
        </is>
      </c>
      <c r="E10" s="21" t="inlineStr">
        <is>
          <t>Prabhadevi</t>
        </is>
      </c>
      <c r="F10" s="21" t="inlineStr">
        <is>
          <t>EXT - CBD</t>
        </is>
      </c>
      <c r="G10" s="23" t="inlineStr">
        <is>
          <t>Part of Plot 612 &amp; 613, Senapati Bapat Marg, Prabhadevi, Dadar (W), Mumbai.</t>
        </is>
      </c>
      <c r="H10" s="24" t="n">
        <v>1002111</v>
      </c>
      <c r="I10" s="25" t="n">
        <v>1</v>
      </c>
      <c r="J10" s="25" t="n"/>
      <c r="K10" s="26" t="n">
        <v>0.844</v>
      </c>
      <c r="L10" s="26" t="n"/>
      <c r="M10" s="25" t="n">
        <v>245</v>
      </c>
      <c r="N10" s="25" t="n">
        <v>198.8</v>
      </c>
      <c r="O10" s="26">
        <f>IF(OR(M10="",N10="",N10=0),"",M10/N10-1)</f>
        <v/>
      </c>
      <c r="P10" s="25" t="n">
        <v>5.7</v>
      </c>
      <c r="Q10" s="24" t="n"/>
      <c r="R10" s="26" t="n">
        <v>0.0775</v>
      </c>
      <c r="S10" s="26" t="n">
        <v>0.1146</v>
      </c>
      <c r="T10" s="27" t="n">
        <v>3364.2</v>
      </c>
      <c r="U10" s="27">
        <f>IF(OR(T10="",H10="",H10=0),"",T10*10000000/H10)</f>
        <v/>
      </c>
      <c r="V10" s="23" t="inlineStr">
        <is>
          <t>3.0% of the Facility Rentals</t>
        </is>
      </c>
      <c r="W10" s="23" t="inlineStr">
        <is>
          <t>INR 2.5 Mn from Apr'26 to Mar'27 (Mgmt input; 5% p.a. escalation from Apr'27)</t>
        </is>
      </c>
      <c r="X10" s="23" t="inlineStr">
        <is>
          <t>Detailed sec 13 (pdf p.254); Valuation Certificate sec 6; Value Summary sec 4 (pdf p.55-56)</t>
        </is>
      </c>
    </row>
    <row r="11" ht="33.3" customHeight="1" s="18">
      <c r="A11" s="21" t="inlineStr">
        <is>
          <t>Prima Bay Private Limited</t>
        </is>
      </c>
      <c r="B11" s="22" t="inlineStr">
        <is>
          <t>Prima Bay</t>
        </is>
      </c>
      <c r="C11" s="20" t="inlineStr">
        <is>
          <t>Office</t>
        </is>
      </c>
      <c r="D11" s="20" t="inlineStr">
        <is>
          <t>Mumbai</t>
        </is>
      </c>
      <c r="E11" s="21" t="inlineStr">
        <is>
          <t>Powai</t>
        </is>
      </c>
      <c r="F11" s="21" t="inlineStr">
        <is>
          <t>PBD East</t>
        </is>
      </c>
      <c r="G11" s="23" t="inlineStr">
        <is>
          <t>C.T.S. No. 117A/1D (Part), Village Tungwa, Powai, Mumbai</t>
        </is>
      </c>
      <c r="H11" s="24" t="n">
        <v>806228</v>
      </c>
      <c r="I11" s="25" t="n">
        <v>0.8</v>
      </c>
      <c r="J11" s="25" t="n"/>
      <c r="K11" s="26" t="n">
        <v>0.88</v>
      </c>
      <c r="L11" s="26" t="n"/>
      <c r="M11" s="25" t="n">
        <v>165</v>
      </c>
      <c r="N11" s="25" t="n">
        <v>165.6</v>
      </c>
      <c r="O11" s="26">
        <f>IF(OR(M11="",N11="",N11=0),"",M11/N11-1)</f>
        <v/>
      </c>
      <c r="P11" s="25" t="n">
        <v>4.2</v>
      </c>
      <c r="Q11" s="24" t="n"/>
      <c r="R11" s="26" t="n">
        <v>0.08</v>
      </c>
      <c r="S11" s="26" t="n">
        <v>0.1146</v>
      </c>
      <c r="T11" s="27" t="n">
        <v>1879.4</v>
      </c>
      <c r="U11" s="27">
        <f>IF(OR(T11="",H11="",H11=0),"",T11*10000000/H11)</f>
        <v/>
      </c>
      <c r="V11" s="23" t="inlineStr">
        <is>
          <t>3.0% of the Facility Rentals</t>
        </is>
      </c>
      <c r="W11" s="23" t="inlineStr">
        <is>
          <t>INR 1.6 Mn from Apr'26 to Mar'27 (Mgmt input; 5% p.a. escalation from Apr'27)</t>
        </is>
      </c>
      <c r="X11" s="23" t="inlineStr">
        <is>
          <t>Detailed sec 14 (pdf p.270); Valuation Certificate sec 6; Value Summary sec 4 (pdf p.55-56)</t>
        </is>
      </c>
    </row>
    <row r="12" ht="33.3" customHeight="1" s="18">
      <c r="A12" s="21" t="inlineStr">
        <is>
          <t>Cessna Garden Developers Private Limited</t>
        </is>
      </c>
      <c r="B12" s="22" t="inlineStr">
        <is>
          <t>Cessna Business Park</t>
        </is>
      </c>
      <c r="C12" s="20" t="inlineStr">
        <is>
          <t>Office</t>
        </is>
      </c>
      <c r="D12" s="20" t="inlineStr">
        <is>
          <t>Bengaluru</t>
        </is>
      </c>
      <c r="E12" s="21" t="inlineStr">
        <is>
          <t>Kadubeesanahalli</t>
        </is>
      </c>
      <c r="F12" s="21" t="inlineStr">
        <is>
          <t>Outer Ring-Road (ORR)</t>
        </is>
      </c>
      <c r="G12" s="23" t="inlineStr">
        <is>
          <t>Kadubeesanahalli Village, Varthur Hobli, Bengaluru South Taluk, Bengaluru.</t>
        </is>
      </c>
      <c r="H12" s="24" t="n">
        <v>4222478</v>
      </c>
      <c r="I12" s="25" t="n">
        <v>4.2</v>
      </c>
      <c r="J12" s="25" t="n"/>
      <c r="K12" s="26" t="n">
        <v>0.944</v>
      </c>
      <c r="L12" s="26" t="n"/>
      <c r="M12" s="25" t="n">
        <v>95</v>
      </c>
      <c r="N12" s="25" t="n">
        <v>70.90000000000001</v>
      </c>
      <c r="O12" s="26">
        <f>IF(OR(M12="",N12="",N12=0),"",M12/N12-1)</f>
        <v/>
      </c>
      <c r="P12" s="25" t="n">
        <v>16.1</v>
      </c>
      <c r="Q12" s="24" t="n"/>
      <c r="R12" s="26" t="n">
        <v>0.0766</v>
      </c>
      <c r="S12" s="26" t="n">
        <v>0.1146</v>
      </c>
      <c r="T12" s="27" t="n">
        <v>4906.1</v>
      </c>
      <c r="U12" s="27">
        <f>IF(OR(T12="",H12="",H12=0),"",T12*10000000/H12)</f>
        <v/>
      </c>
      <c r="V12" s="23" t="inlineStr">
        <is>
          <t>3.0% of the Facility Rentals</t>
        </is>
      </c>
      <c r="W12" s="23" t="inlineStr">
        <is>
          <t>INR 7.5 Mn from Apr'26 to Mar'27 (Mgmt input; 5% p.a. escalation from Apr'27)</t>
        </is>
      </c>
      <c r="X12" s="23" t="inlineStr">
        <is>
          <t>Detailed sec 15 (pdf p.286); Valuation Certificate sec 6; Value Summary sec 4 (pdf p.55-56)</t>
        </is>
      </c>
    </row>
    <row r="13" ht="33.3" customHeight="1" s="18">
      <c r="A13" s="21" t="inlineStr">
        <is>
          <t>Exora Business Park Private Limited</t>
        </is>
      </c>
      <c r="B13" s="22" t="inlineStr">
        <is>
          <t>Exora Business Park</t>
        </is>
      </c>
      <c r="C13" s="20" t="inlineStr">
        <is>
          <t>Office</t>
        </is>
      </c>
      <c r="D13" s="20" t="inlineStr">
        <is>
          <t>Bengaluru</t>
        </is>
      </c>
      <c r="E13" s="21" t="inlineStr">
        <is>
          <t>Marathahalli</t>
        </is>
      </c>
      <c r="F13" s="21" t="inlineStr">
        <is>
          <t>Outer Ring-Road (ORR)</t>
        </is>
      </c>
      <c r="G13" s="23" t="inlineStr">
        <is>
          <t>Amani Bellandur Khane Village, Bengaluru East Taluk, Bengaluru.</t>
        </is>
      </c>
      <c r="H13" s="24" t="n">
        <v>2221078</v>
      </c>
      <c r="I13" s="25" t="n">
        <v>2.2</v>
      </c>
      <c r="J13" s="25" t="n"/>
      <c r="K13" s="26" t="n">
        <v>0.777</v>
      </c>
      <c r="L13" s="26" t="n"/>
      <c r="M13" s="25" t="n">
        <v>100</v>
      </c>
      <c r="N13" s="25" t="n">
        <v>89.8</v>
      </c>
      <c r="O13" s="26">
        <f>IF(OR(M13="",N13="",N13=0),"",M13/N13-1)</f>
        <v/>
      </c>
      <c r="P13" s="25" t="n">
        <v>6.6</v>
      </c>
      <c r="Q13" s="24" t="n"/>
      <c r="R13" s="26" t="n">
        <v>0.08</v>
      </c>
      <c r="S13" s="26" t="n">
        <v>0.1146</v>
      </c>
      <c r="T13" s="27" t="n">
        <v>3451.7</v>
      </c>
      <c r="U13" s="27">
        <f>IF(OR(T13="",H13="",H13=0),"",T13*10000000/H13)</f>
        <v/>
      </c>
      <c r="V13" s="23" t="inlineStr">
        <is>
          <t>3.0% of the Facility Rentals</t>
        </is>
      </c>
      <c r="W13" s="23" t="inlineStr">
        <is>
          <t>INR 3.3 Mn from Apr'26 to Mar'27 (Mgmt input; 5% p.a. escalation from Apr'27)</t>
        </is>
      </c>
      <c r="X13" s="23" t="inlineStr">
        <is>
          <t>Detailed sec 16 (pdf p.305); Valuation Certificate sec 6; Value Summary sec 4 (pdf p.55-56)</t>
        </is>
      </c>
    </row>
    <row r="14" ht="44" customHeight="1" s="18">
      <c r="A14" s="21" t="inlineStr">
        <is>
          <t>M/S Gv Techparks Pvt Ltd</t>
        </is>
      </c>
      <c r="B14" s="22" t="inlineStr">
        <is>
          <t>Sattva Global City</t>
        </is>
      </c>
      <c r="C14" s="20" t="inlineStr">
        <is>
          <t>Office</t>
        </is>
      </c>
      <c r="D14" s="20" t="inlineStr">
        <is>
          <t>Bengaluru</t>
        </is>
      </c>
      <c r="E14" s="21" t="inlineStr">
        <is>
          <t>Tumkur Road</t>
        </is>
      </c>
      <c r="F14" s="21" t="inlineStr">
        <is>
          <t>Peripheral Business District - Others (along Mysore Road)</t>
        </is>
      </c>
      <c r="G14" s="23" t="inlineStr">
        <is>
          <t>Pattanagere and Mylasandra Villages, Kengeri hobli, Bengaluru</t>
        </is>
      </c>
      <c r="H14" s="24" t="n"/>
      <c r="I14" s="25" t="n"/>
      <c r="J14" s="25" t="n"/>
      <c r="K14" s="26" t="n">
        <v>0.8110000000000001</v>
      </c>
      <c r="L14" s="26" t="n"/>
      <c r="M14" s="25" t="n"/>
      <c r="N14" s="25" t="n">
        <v>58.5</v>
      </c>
      <c r="O14" s="26">
        <f>IF(OR(M14="",N14="",N14=0),"",M14/N14-1)</f>
        <v/>
      </c>
      <c r="P14" s="25" t="n">
        <v>8.699999999999999</v>
      </c>
      <c r="Q14" s="24" t="n"/>
      <c r="R14" s="26" t="n">
        <v>0.08500000000000001</v>
      </c>
      <c r="S14" s="26" t="n">
        <v>0.1146</v>
      </c>
      <c r="T14" s="27" t="n">
        <v>4414.8</v>
      </c>
      <c r="U14" s="27">
        <f>IF(OR(T14="",H14="",H14=0),"",T14*10000000/H14)</f>
        <v/>
      </c>
      <c r="V14" s="23" t="inlineStr">
        <is>
          <t>3.0% of the Facility Rentals</t>
        </is>
      </c>
      <c r="W14" s="23" t="inlineStr">
        <is>
          <t>INR 6.12 Mn from Apr'26 to Mar'27 (Mgmt input; 5% p.a. escalation from Apr'27)</t>
        </is>
      </c>
      <c r="X14" s="23" t="inlineStr">
        <is>
          <t>Operational block MV 34223 (4.2 msf) + Future Development MV 9925 (8.0 msf) | Detailed sec 17 (pdf p.321); Valuation Certificate sec 6; Value Summary sec 4 (pdf p.55-56)</t>
        </is>
      </c>
    </row>
    <row r="15" ht="33.3" customHeight="1" s="18">
      <c r="A15" s="21" t="inlineStr">
        <is>
          <t>Softzone Techpark Limited</t>
        </is>
      </c>
      <c r="B15" s="22" t="inlineStr">
        <is>
          <t>Sattva Softzone</t>
        </is>
      </c>
      <c r="C15" s="20" t="inlineStr">
        <is>
          <t>Office</t>
        </is>
      </c>
      <c r="D15" s="20" t="inlineStr">
        <is>
          <t>Bengaluru</t>
        </is>
      </c>
      <c r="E15" s="21" t="inlineStr">
        <is>
          <t>Bellandur</t>
        </is>
      </c>
      <c r="F15" s="21" t="inlineStr">
        <is>
          <t>Outer Ring-Road (ORR)</t>
        </is>
      </c>
      <c r="G15" s="23" t="inlineStr">
        <is>
          <t>Khata No.799/80/1/81/1/81/2, Ward No.150-Bellandur, Bengaluru</t>
        </is>
      </c>
      <c r="H15" s="24" t="n">
        <v>1003221</v>
      </c>
      <c r="I15" s="25" t="n">
        <v>1</v>
      </c>
      <c r="J15" s="25" t="n"/>
      <c r="K15" s="26" t="n">
        <v>0.905</v>
      </c>
      <c r="L15" s="26" t="n"/>
      <c r="M15" s="25" t="n">
        <v>107</v>
      </c>
      <c r="N15" s="25" t="n">
        <v>57.6</v>
      </c>
      <c r="O15" s="26">
        <f>IF(OR(M15="",N15="",N15=0),"",M15/N15-1)</f>
        <v/>
      </c>
      <c r="P15" s="25" t="n">
        <v>5.9</v>
      </c>
      <c r="Q15" s="24" t="n"/>
      <c r="R15" s="26" t="n">
        <v>0.08</v>
      </c>
      <c r="S15" s="26" t="n">
        <v>0.1146</v>
      </c>
      <c r="T15" s="27" t="n">
        <v>1818.4</v>
      </c>
      <c r="U15" s="27">
        <f>IF(OR(T15="",H15="",H15=0),"",T15*10000000/H15)</f>
        <v/>
      </c>
      <c r="V15" s="23" t="inlineStr">
        <is>
          <t>3.0% of the Facility Rentals</t>
        </is>
      </c>
      <c r="W15" s="23" t="inlineStr">
        <is>
          <t>INR 1.3 Mn from Apr'26 to Mar'27 (Mgmt input; 5% p.a. escalation from Apr'27)</t>
        </is>
      </c>
      <c r="X15" s="23" t="inlineStr">
        <is>
          <t>Detailed sec 18 (pdf p.340); Valuation Certificate sec 6; Value Summary sec 4 (pdf p.55-56)</t>
        </is>
      </c>
    </row>
    <row r="16" ht="44" customHeight="1" s="18">
      <c r="A16" s="21" t="inlineStr">
        <is>
          <t>Darshita Hi-rise Pvt Ltd.</t>
        </is>
      </c>
      <c r="B16" s="22" t="inlineStr">
        <is>
          <t>Sattva Knowledge Court</t>
        </is>
      </c>
      <c r="C16" s="20" t="inlineStr">
        <is>
          <t>Office</t>
        </is>
      </c>
      <c r="D16" s="20" t="inlineStr">
        <is>
          <t>Bengaluru</t>
        </is>
      </c>
      <c r="E16" s="21" t="inlineStr">
        <is>
          <t>Whitefield</t>
        </is>
      </c>
      <c r="F16" s="21" t="inlineStr">
        <is>
          <t>Peripheral Business District - Whitefield (PBD-W)</t>
        </is>
      </c>
      <c r="G16" s="23" t="inlineStr">
        <is>
          <t>Survey No.77, bearing Khatha No-299, Doddanekkundi Village, K.R Puram Hobli, Bengaluru East Taluk, Bengaluru</t>
        </is>
      </c>
      <c r="H16" s="24" t="n">
        <v>879373</v>
      </c>
      <c r="I16" s="25" t="n">
        <v>0.9</v>
      </c>
      <c r="J16" s="25" t="n"/>
      <c r="K16" s="26" t="n">
        <v>0.918</v>
      </c>
      <c r="L16" s="26" t="n"/>
      <c r="M16" s="25" t="n">
        <v>80</v>
      </c>
      <c r="N16" s="25" t="n">
        <v>72.09999999999999</v>
      </c>
      <c r="O16" s="26">
        <f>IF(OR(M16="",N16="",N16=0),"",M16/N16-1)</f>
        <v/>
      </c>
      <c r="P16" s="25" t="n">
        <v>11.3</v>
      </c>
      <c r="Q16" s="24" t="n"/>
      <c r="R16" s="26" t="n">
        <v>0.08</v>
      </c>
      <c r="S16" s="26" t="n">
        <v>0.1146</v>
      </c>
      <c r="T16" s="27" t="n">
        <v>1258.6</v>
      </c>
      <c r="U16" s="27">
        <f>IF(OR(T16="",H16="",H16=0),"",T16*10000000/H16)</f>
        <v/>
      </c>
      <c r="V16" s="23" t="inlineStr">
        <is>
          <t>3.0% of the Facility Rentals</t>
        </is>
      </c>
      <c r="W16" s="23" t="inlineStr">
        <is>
          <t>INR 1.2 Mn from Apr'26 to Mar'27 (Mgmt input; 5% p.a. escalation from Apr'27)</t>
        </is>
      </c>
      <c r="X16" s="23" t="inlineStr">
        <is>
          <t>Detailed sec 19 (pdf p.357); Valuation Certificate sec 6; Value Summary sec 4 (pdf p.55-56)</t>
        </is>
      </c>
    </row>
    <row r="17" ht="33.3" customHeight="1" s="18">
      <c r="A17" s="21" t="inlineStr">
        <is>
          <t>Salarpuria Griha Nirman Pvt Ltd</t>
        </is>
      </c>
      <c r="B17" s="22" t="inlineStr">
        <is>
          <t>Sattva Techpoint</t>
        </is>
      </c>
      <c r="C17" s="20" t="inlineStr">
        <is>
          <t>Office</t>
        </is>
      </c>
      <c r="D17" s="20" t="inlineStr">
        <is>
          <t>Bengaluru</t>
        </is>
      </c>
      <c r="E17" s="21" t="inlineStr">
        <is>
          <t>Whitefield / KR Puram</t>
        </is>
      </c>
      <c r="F17" s="21" t="inlineStr">
        <is>
          <t>EBD (Eastern Business District)</t>
        </is>
      </c>
      <c r="G17" s="23" t="inlineStr">
        <is>
          <t>Municipal No 30, 100 Feet Road, Srinivagilu, Ward No. 68, Bengaluru.</t>
        </is>
      </c>
      <c r="H17" s="24" t="n">
        <v>334593</v>
      </c>
      <c r="I17" s="25" t="n">
        <v>0.3</v>
      </c>
      <c r="J17" s="25" t="n"/>
      <c r="K17" s="26" t="n"/>
      <c r="L17" s="26" t="n"/>
      <c r="M17" s="25" t="n">
        <v>135</v>
      </c>
      <c r="N17" s="25" t="n">
        <v>129.8</v>
      </c>
      <c r="O17" s="26">
        <f>IF(OR(M17="",N17="",N17=0),"",M17/N17-1)</f>
        <v/>
      </c>
      <c r="P17" s="25" t="n">
        <v>10.9</v>
      </c>
      <c r="Q17" s="24" t="n"/>
      <c r="R17" s="26" t="n">
        <v>0.08</v>
      </c>
      <c r="S17" s="26" t="n">
        <v>0.1146</v>
      </c>
      <c r="T17" s="27" t="n">
        <v>746.4</v>
      </c>
      <c r="U17" s="27">
        <f>IF(OR(T17="",H17="",H17=0),"",T17*10000000/H17)</f>
        <v/>
      </c>
      <c r="V17" s="23" t="inlineStr">
        <is>
          <t>Property Management Fee 3.0% of Facility Rentals (below NOI line)</t>
        </is>
      </c>
      <c r="W17" s="23" t="inlineStr">
        <is>
          <t>INR 0.5 Mn from Apr'26 to Mar'27 (Mgmt input; 5% p.a. escalation from Apr'27)</t>
        </is>
      </c>
      <c r="X17" s="23" t="inlineStr">
        <is>
          <t>Detailed sec 20 (pdf p.373); Valuation Certificate sec 6; Value Summary sec 4 (pdf p.55-56)</t>
        </is>
      </c>
    </row>
    <row r="18" ht="33.3" customHeight="1" s="18">
      <c r="A18" s="21" t="inlineStr">
        <is>
          <t>Pluto Business Parks Private Limited</t>
        </is>
      </c>
      <c r="B18" s="22" t="inlineStr">
        <is>
          <t>One Trade Tower</t>
        </is>
      </c>
      <c r="C18" s="20" t="inlineStr">
        <is>
          <t>Office</t>
        </is>
      </c>
      <c r="D18" s="20" t="inlineStr">
        <is>
          <t>Bengaluru</t>
        </is>
      </c>
      <c r="E18" s="21" t="inlineStr">
        <is>
          <t>Palace Road</t>
        </is>
      </c>
      <c r="F18" s="21" t="inlineStr">
        <is>
          <t>CBD (Central Business District)</t>
        </is>
      </c>
      <c r="G18" s="23" t="inlineStr">
        <is>
          <t>Municipal No. 46, Situated At Palace Road, Municipal Ward No.77, Sampangiramnagar, Bengaluru.</t>
        </is>
      </c>
      <c r="H18" s="24" t="n">
        <v>175336</v>
      </c>
      <c r="I18" s="25" t="n">
        <v>0.2</v>
      </c>
      <c r="J18" s="25" t="n"/>
      <c r="K18" s="26" t="n"/>
      <c r="L18" s="26" t="n"/>
      <c r="M18" s="25" t="n">
        <v>210</v>
      </c>
      <c r="N18" s="25" t="n">
        <v>187.8</v>
      </c>
      <c r="O18" s="26">
        <f>IF(OR(M18="",N18="",N18=0),"",M18/N18-1)</f>
        <v/>
      </c>
      <c r="P18" s="25" t="n">
        <v>3.2</v>
      </c>
      <c r="Q18" s="24" t="n"/>
      <c r="R18" s="26" t="n">
        <v>0.0775</v>
      </c>
      <c r="S18" s="26" t="n">
        <v>0.1146</v>
      </c>
      <c r="T18" s="27" t="n">
        <v>611.2</v>
      </c>
      <c r="U18" s="27">
        <f>IF(OR(T18="",H18="",H18=0),"",T18*10000000/H18)</f>
        <v/>
      </c>
      <c r="V18" s="23" t="inlineStr">
        <is>
          <t>3.0% of the Facility Rentals</t>
        </is>
      </c>
      <c r="W18" s="23" t="inlineStr">
        <is>
          <t>INR 1.0 Mn from Apr'26 to Mar'27 (Mgmt input; 5% p.a. escalation from Apr'27)</t>
        </is>
      </c>
      <c r="X18" s="23" t="inlineStr">
        <is>
          <t>Detailed sec 21 (pdf p.389); Valuation Certificate sec 6; Value Summary sec 4 (pdf p.55-56)</t>
        </is>
      </c>
    </row>
    <row r="19" ht="33.3" customHeight="1" s="18">
      <c r="A19" s="21" t="inlineStr">
        <is>
          <t>Siddeshwari Grihanirman Pvt. Ltd.</t>
        </is>
      </c>
      <c r="B19" s="22" t="inlineStr">
        <is>
          <t>Sattva Horizon</t>
        </is>
      </c>
      <c r="C19" s="20" t="inlineStr">
        <is>
          <t>Office</t>
        </is>
      </c>
      <c r="D19" s="20" t="inlineStr">
        <is>
          <t>Bengaluru</t>
        </is>
      </c>
      <c r="E19" s="21" t="inlineStr">
        <is>
          <t>Bellary Road</t>
        </is>
      </c>
      <c r="F19" s="21" t="inlineStr">
        <is>
          <t>NBD -Bellary Road (Beyond Kogilu cross)</t>
        </is>
      </c>
      <c r="G19" s="23" t="inlineStr">
        <is>
          <t>Khata No.1303/6/1 &amp; 7/1, Venkatala, Ward No.01-Kempegowda Ward, Yelahanka, Bengaluru.</t>
        </is>
      </c>
      <c r="H19" s="24" t="n">
        <v>615560</v>
      </c>
      <c r="I19" s="25" t="n">
        <v>0.6</v>
      </c>
      <c r="J19" s="25" t="n"/>
      <c r="K19" s="26" t="n"/>
      <c r="L19" s="26" t="n"/>
      <c r="M19" s="25" t="n">
        <v>66</v>
      </c>
      <c r="N19" s="25" t="n">
        <v>62</v>
      </c>
      <c r="O19" s="26">
        <f>IF(OR(M19="",N19="",N19=0),"",M19/N19-1)</f>
        <v/>
      </c>
      <c r="P19" s="25" t="n">
        <v>18.5</v>
      </c>
      <c r="Q19" s="24" t="n"/>
      <c r="R19" s="26" t="n">
        <v>0.08</v>
      </c>
      <c r="S19" s="26" t="n">
        <v>0.1146</v>
      </c>
      <c r="T19" s="27" t="n">
        <v>655.6</v>
      </c>
      <c r="U19" s="27">
        <f>IF(OR(T19="",H19="",H19=0),"",T19*10000000/H19)</f>
        <v/>
      </c>
      <c r="V19" s="23" t="inlineStr">
        <is>
          <t>3.0% of the Facility Rentals</t>
        </is>
      </c>
      <c r="W19" s="23" t="inlineStr">
        <is>
          <t>INR 0.7 Mn from Apr'26 to Mar'27 (Mgmt input; 5% p.a. escalation from Apr'27)</t>
        </is>
      </c>
      <c r="X19" s="23" t="inlineStr">
        <is>
          <t>Detailed sec 22 (pdf p.403); Valuation Certificate sec 6; Value Summary sec 4 (pdf p.55-56)</t>
        </is>
      </c>
    </row>
    <row r="20" ht="44" customHeight="1" s="18">
      <c r="A20" s="21" t="inlineStr">
        <is>
          <t>Salarpuria Properties Pvt Ltd</t>
        </is>
      </c>
      <c r="B20" s="22" t="inlineStr">
        <is>
          <t>Sattva Touchstone</t>
        </is>
      </c>
      <c r="C20" s="20" t="inlineStr">
        <is>
          <t>Office</t>
        </is>
      </c>
      <c r="D20" s="20" t="inlineStr">
        <is>
          <t>Bengaluru</t>
        </is>
      </c>
      <c r="E20" s="21" t="inlineStr">
        <is>
          <t>Kadubeesanahalli</t>
        </is>
      </c>
      <c r="F20" s="21" t="inlineStr">
        <is>
          <t>Outer Ring-Road (ORR)</t>
        </is>
      </c>
      <c r="G20" s="23" t="inlineStr">
        <is>
          <t>Sy. No. 15/1A &amp; 14-P7, Kadubeesanahalli Village, Varthur Hobli, Mahadevapura Zone, Ward No. 150- Bellandur, Bengaluru.</t>
        </is>
      </c>
      <c r="H20" s="24" t="n">
        <v>321440</v>
      </c>
      <c r="I20" s="25" t="n">
        <v>0.3</v>
      </c>
      <c r="J20" s="25" t="n"/>
      <c r="K20" s="26" t="n">
        <v>0.432</v>
      </c>
      <c r="L20" s="26" t="n"/>
      <c r="M20" s="25" t="n">
        <v>78</v>
      </c>
      <c r="N20" s="25" t="n">
        <v>78.3</v>
      </c>
      <c r="O20" s="26">
        <f>IF(OR(M20="",N20="",N20=0),"",M20/N20-1)</f>
        <v/>
      </c>
      <c r="P20" s="25" t="n">
        <v>2.3</v>
      </c>
      <c r="Q20" s="24" t="n"/>
      <c r="R20" s="26" t="n">
        <v>0.0825</v>
      </c>
      <c r="S20" s="26" t="n">
        <v>0.1146</v>
      </c>
      <c r="T20" s="27" t="n">
        <v>398.1</v>
      </c>
      <c r="U20" s="27">
        <f>IF(OR(T20="",H20="",H20=0),"",T20*10000000/H20)</f>
        <v/>
      </c>
      <c r="V20" s="23" t="inlineStr">
        <is>
          <t>3.0% of the Facility Rentals</t>
        </is>
      </c>
      <c r="W20" s="23" t="inlineStr">
        <is>
          <t>INR 0.6 Mn from Apr'26 to Mar'27 (Mgmt input; 5% p.a. escalation from Apr'27)</t>
        </is>
      </c>
      <c r="X20" s="23" t="inlineStr">
        <is>
          <t>Detailed sec 23 (pdf p.416); Valuation Certificate sec 6; Value Summary sec 4 (pdf p.55-56)</t>
        </is>
      </c>
    </row>
    <row r="21" ht="44" customHeight="1" s="18">
      <c r="A21" s="21" t="inlineStr">
        <is>
          <t>Quadro Info technologies Pvt Ltd</t>
        </is>
      </c>
      <c r="B21" s="22" t="inlineStr">
        <is>
          <t>Sattva Infozone</t>
        </is>
      </c>
      <c r="C21" s="20" t="inlineStr">
        <is>
          <t>Office</t>
        </is>
      </c>
      <c r="D21" s="20" t="inlineStr">
        <is>
          <t>Bengaluru</t>
        </is>
      </c>
      <c r="E21" s="21" t="inlineStr">
        <is>
          <t>Peripheral (PBD)</t>
        </is>
      </c>
      <c r="F21" s="21" t="inlineStr">
        <is>
          <t>Peripheral Business District (PBD-O)</t>
        </is>
      </c>
      <c r="G21" s="23" t="inlineStr">
        <is>
          <t>Sy Nos. 39(P), 41(P) &amp; 42(P), Electronic City, Doddathogur Village, Begur, Hobli, Bengaluru South Taluk, Bengaluru.</t>
        </is>
      </c>
      <c r="H21" s="24" t="n">
        <v>444591</v>
      </c>
      <c r="I21" s="25" t="n">
        <v>0.4</v>
      </c>
      <c r="J21" s="25" t="n"/>
      <c r="K21" s="26" t="n">
        <v>0.822</v>
      </c>
      <c r="L21" s="26" t="n"/>
      <c r="M21" s="25" t="n">
        <v>61</v>
      </c>
      <c r="N21" s="25" t="n">
        <v>54.4</v>
      </c>
      <c r="O21" s="26">
        <f>IF(OR(M21="",N21="",N21=0),"",M21/N21-1)</f>
        <v/>
      </c>
      <c r="P21" s="25" t="n">
        <v>3.7</v>
      </c>
      <c r="Q21" s="24" t="n"/>
      <c r="R21" s="26" t="n">
        <v>0.0825</v>
      </c>
      <c r="S21" s="26" t="n">
        <v>0.1146</v>
      </c>
      <c r="T21" s="27" t="n">
        <v>417.8</v>
      </c>
      <c r="U21" s="27">
        <f>IF(OR(T21="",H21="",H21=0),"",T21*10000000/H21)</f>
        <v/>
      </c>
      <c r="V21" s="23" t="inlineStr">
        <is>
          <t>3.0% of the Facility Rentals</t>
        </is>
      </c>
      <c r="W21" s="23" t="inlineStr">
        <is>
          <t>INR 0.5 Mn from Apr'26 to Mar'27 (Mgmt input; 5% p.a. escalation from Apr'27)</t>
        </is>
      </c>
      <c r="X21" s="23" t="inlineStr">
        <is>
          <t>Detailed sec 24 (pdf p.432); Valuation Certificate sec 6; Value Summary sec 4 (pdf p.55-56)</t>
        </is>
      </c>
    </row>
    <row r="22" ht="44" customHeight="1" s="18">
      <c r="A22" s="21" t="inlineStr">
        <is>
          <t>2. Softzone Techpark Limited</t>
        </is>
      </c>
      <c r="B22" s="22" t="inlineStr">
        <is>
          <t>Sattva Magnificia (I &amp; II)</t>
        </is>
      </c>
      <c r="C22" s="20" t="inlineStr">
        <is>
          <t>Office</t>
        </is>
      </c>
      <c r="D22" s="20" t="inlineStr">
        <is>
          <t>Bengaluru</t>
        </is>
      </c>
      <c r="E22" s="21" t="inlineStr">
        <is>
          <t>KR Puram</t>
        </is>
      </c>
      <c r="F22" s="21" t="inlineStr">
        <is>
          <t>Extended Business District - EBD (KR Puram)</t>
        </is>
      </c>
      <c r="G22" s="23" t="inlineStr">
        <is>
          <t>Khata No:23/23/57/18/78/23 Beniganahalli and Vijinapura Village, K.R Puram Hobli, HAL Sub-division, Mahadevapura Zone, Bengaluru.</t>
        </is>
      </c>
      <c r="H22" s="24" t="n">
        <v>191976</v>
      </c>
      <c r="I22" s="25" t="n">
        <v>0.2</v>
      </c>
      <c r="J22" s="25" t="n"/>
      <c r="K22" s="26" t="n"/>
      <c r="L22" s="26" t="n"/>
      <c r="M22" s="25" t="n">
        <v>107</v>
      </c>
      <c r="N22" s="25" t="n">
        <v>101.8</v>
      </c>
      <c r="O22" s="26">
        <f>IF(OR(M22="",N22="",N22=0),"",M22/N22-1)</f>
        <v/>
      </c>
      <c r="P22" s="25" t="n">
        <v>8.6</v>
      </c>
      <c r="Q22" s="24" t="n"/>
      <c r="R22" s="26" t="n">
        <v>0.08</v>
      </c>
      <c r="S22" s="26" t="n">
        <v>0.1146</v>
      </c>
      <c r="T22" s="27" t="n">
        <v>326.2</v>
      </c>
      <c r="U22" s="27">
        <f>IF(OR(T22="",H22="",H22=0),"",T22*10000000/H22)</f>
        <v/>
      </c>
      <c r="V22" s="23" t="inlineStr">
        <is>
          <t>3.0% of the Facility Rentals</t>
        </is>
      </c>
      <c r="W22" s="23" t="inlineStr">
        <is>
          <t>INR 0.1 Mn from Apr'26 to Mar'27 (Mgmt input; 5% p.a. escalation from Apr'27)</t>
        </is>
      </c>
      <c r="X22" s="23" t="inlineStr">
        <is>
          <t>Magnificia I (MV 1357) + II (MV 1905) combined | Detailed sec 25 (pdf p.448); Valuation Certificate sec 6; Value Summary sec 4 (pdf p.55-56)</t>
        </is>
      </c>
    </row>
    <row r="23" ht="44" customHeight="1" s="18">
      <c r="A23" s="21" t="inlineStr">
        <is>
          <t>Jaganmayi Real Estate</t>
        </is>
      </c>
      <c r="B23" s="22" t="inlineStr">
        <is>
          <t>Sattva South Avenue</t>
        </is>
      </c>
      <c r="C23" s="20" t="inlineStr">
        <is>
          <t>Office</t>
        </is>
      </c>
      <c r="D23" s="20" t="inlineStr">
        <is>
          <t>Bengaluru</t>
        </is>
      </c>
      <c r="E23" s="21" t="inlineStr">
        <is>
          <t>Peripheral (PBD)</t>
        </is>
      </c>
      <c r="F23" s="21" t="inlineStr">
        <is>
          <t>Peripheral Business District (PBD-O)</t>
        </is>
      </c>
      <c r="G23" s="23" t="inlineStr">
        <is>
          <t>Plot No. 33, 33A &amp; 33B, Sy. No.20, 22 &amp; 23, Veerasandra Industrial Area, Veerasandra Village, Attibele Hobli, Anekal Taluk, Bengaluru</t>
        </is>
      </c>
      <c r="H23" s="24" t="n">
        <v>341553</v>
      </c>
      <c r="I23" s="25" t="n">
        <v>0.3</v>
      </c>
      <c r="J23" s="25" t="n"/>
      <c r="K23" s="26" t="n">
        <v>0.598</v>
      </c>
      <c r="L23" s="26" t="n"/>
      <c r="M23" s="25" t="n">
        <v>68</v>
      </c>
      <c r="N23" s="25" t="n">
        <v>69.2</v>
      </c>
      <c r="O23" s="26">
        <f>IF(OR(M23="",N23="",N23=0),"",M23/N23-1)</f>
        <v/>
      </c>
      <c r="P23" s="25" t="n">
        <v>9.6</v>
      </c>
      <c r="Q23" s="24" t="n"/>
      <c r="R23" s="26" t="n">
        <v>0.0825</v>
      </c>
      <c r="S23" s="26" t="n">
        <v>0.1146</v>
      </c>
      <c r="T23" s="27" t="n">
        <v>406.2</v>
      </c>
      <c r="U23" s="27">
        <f>IF(OR(T23="",H23="",H23=0),"",T23*10000000/H23)</f>
        <v/>
      </c>
      <c r="V23" s="23" t="inlineStr">
        <is>
          <t>3.0% of the Facility Rentals</t>
        </is>
      </c>
      <c r="W23" s="23" t="inlineStr">
        <is>
          <t>INR 0.4 Mn from Apr'26 to Mar'27 (Mgmt input; 5% p.a. escalation from Apr'27)</t>
        </is>
      </c>
      <c r="X23" s="23" t="inlineStr">
        <is>
          <t>Detailed sec 26 (pdf p.467); Valuation Certificate sec 6; Value Summary sec 4 (pdf p.55-56)</t>
        </is>
      </c>
    </row>
    <row r="24" ht="44" customHeight="1" s="18">
      <c r="A24" s="21" t="inlineStr">
        <is>
          <t>Debonair Realtors Pvt Ltd</t>
        </is>
      </c>
      <c r="B24" s="22" t="inlineStr">
        <is>
          <t>Sattva Eminence</t>
        </is>
      </c>
      <c r="C24" s="20" t="inlineStr">
        <is>
          <t>Office</t>
        </is>
      </c>
      <c r="D24" s="20" t="inlineStr">
        <is>
          <t>Bengaluru</t>
        </is>
      </c>
      <c r="E24" s="21" t="inlineStr">
        <is>
          <t>Outer Ring Road</t>
        </is>
      </c>
      <c r="F24" s="21" t="inlineStr">
        <is>
          <t>Outer Ring-Road (ORR)</t>
        </is>
      </c>
      <c r="G24" s="23" t="inlineStr">
        <is>
          <t>Sy No. 174/175/176, Khata No: 239/240, Amani Bellandur Khane Village, Varthur Hobli, Bengaluru East Taluk, Bengaluru</t>
        </is>
      </c>
      <c r="H24" s="24" t="n">
        <v>164198</v>
      </c>
      <c r="I24" s="25" t="n">
        <v>0.2</v>
      </c>
      <c r="J24" s="25" t="n"/>
      <c r="K24" s="26" t="n">
        <v>0.999</v>
      </c>
      <c r="L24" s="26" t="n"/>
      <c r="M24" s="25" t="n">
        <v>86</v>
      </c>
      <c r="N24" s="25" t="n">
        <v>65.7</v>
      </c>
      <c r="O24" s="26">
        <f>IF(OR(M24="",N24="",N24=0),"",M24/N24-1)</f>
        <v/>
      </c>
      <c r="P24" s="25" t="n">
        <v>13.5</v>
      </c>
      <c r="Q24" s="24" t="n"/>
      <c r="R24" s="26" t="n">
        <v>0.08</v>
      </c>
      <c r="S24" s="26" t="n">
        <v>0.1146</v>
      </c>
      <c r="T24" s="27" t="n">
        <v>237</v>
      </c>
      <c r="U24" s="27">
        <f>IF(OR(T24="",H24="",H24=0),"",T24*10000000/H24)</f>
        <v/>
      </c>
      <c r="V24" s="23" t="inlineStr">
        <is>
          <t>3.0% of the Facility Rentals</t>
        </is>
      </c>
      <c r="W24" s="23" t="inlineStr">
        <is>
          <t>INR 0.2 Mn from Apr'26 to Mar'27 (Mgmt input; 5% p.a. escalation from Apr'27)</t>
        </is>
      </c>
      <c r="X24" s="23" t="inlineStr">
        <is>
          <t>Detailed sec 27 (pdf p.482); Valuation Certificate sec 6; Value Summary sec 4 (pdf p.55-56)</t>
        </is>
      </c>
    </row>
    <row r="25" ht="33.3" customHeight="1" s="18">
      <c r="A25" s="21" t="inlineStr">
        <is>
          <t>Harkeshwar Realtors Private Limited</t>
        </is>
      </c>
      <c r="B25" s="22" t="inlineStr">
        <is>
          <t>Sattva Cosmo Lavelle</t>
        </is>
      </c>
      <c r="C25" s="20" t="inlineStr">
        <is>
          <t>Office</t>
        </is>
      </c>
      <c r="D25" s="20" t="inlineStr">
        <is>
          <t>Bengaluru</t>
        </is>
      </c>
      <c r="E25" s="21" t="inlineStr">
        <is>
          <t>Lavelle Road</t>
        </is>
      </c>
      <c r="F25" s="21" t="inlineStr">
        <is>
          <t>CBD (Central Business District)</t>
        </is>
      </c>
      <c r="G25" s="23" t="inlineStr">
        <is>
          <t>Municipal No. 9 (Old Nos. 9, 9/3, &amp; 9/4), Residency Road, Richmond Circle, Bengaluru</t>
        </is>
      </c>
      <c r="H25" s="24" t="n">
        <v>77022</v>
      </c>
      <c r="I25" s="25" t="n">
        <v>0.1</v>
      </c>
      <c r="J25" s="25" t="n"/>
      <c r="K25" s="26" t="n"/>
      <c r="L25" s="26" t="n"/>
      <c r="M25" s="25" t="n">
        <v>235</v>
      </c>
      <c r="N25" s="25" t="n">
        <v>235</v>
      </c>
      <c r="O25" s="26">
        <f>IF(OR(M25="",N25="",N25=0),"",M25/N25-1)</f>
        <v/>
      </c>
      <c r="P25" s="25" t="n">
        <v>14.8</v>
      </c>
      <c r="Q25" s="24" t="n"/>
      <c r="R25" s="26" t="n">
        <v>0.0775</v>
      </c>
      <c r="S25" s="26" t="n">
        <v>0.1146</v>
      </c>
      <c r="T25" s="27" t="n">
        <v>297.8</v>
      </c>
      <c r="U25" s="27">
        <f>IF(OR(T25="",H25="",H25=0),"",T25*10000000/H25)</f>
        <v/>
      </c>
      <c r="V25" s="23" t="inlineStr">
        <is>
          <t>3.0% of the Facility Rentals</t>
        </is>
      </c>
      <c r="W25" s="23" t="inlineStr">
        <is>
          <t>INR 0.2 Mn from Apr'26 to Mar'27 (Mgmt input; 5% p.a. escalation from Apr'27)</t>
        </is>
      </c>
      <c r="X25" s="23" t="inlineStr">
        <is>
          <t>Detailed sec 28 (pdf p.497); Valuation Certificate sec 6; Value Summary sec 4 (pdf p.55-56)</t>
        </is>
      </c>
    </row>
    <row r="26" ht="44" customHeight="1" s="18">
      <c r="A26" s="21" t="inlineStr">
        <is>
          <t>Salarpuria Developers Pvt Ltd</t>
        </is>
      </c>
      <c r="B26" s="22" t="inlineStr">
        <is>
          <t>Sattva Premia</t>
        </is>
      </c>
      <c r="C26" s="20" t="inlineStr">
        <is>
          <t>Office</t>
        </is>
      </c>
      <c r="D26" s="20" t="inlineStr">
        <is>
          <t>Bengaluru</t>
        </is>
      </c>
      <c r="E26" s="21" t="inlineStr">
        <is>
          <t>Kadubeesanahalli</t>
        </is>
      </c>
      <c r="F26" s="21" t="inlineStr">
        <is>
          <t>ORR</t>
        </is>
      </c>
      <c r="G26" s="23" t="inlineStr">
        <is>
          <t>Sy No. 16, Khata No.316/1 to 316/5, Outer Ring Road Kadubeesanahalli Village, Mahadevapura Zone, Bengaluru East Taluk, Bengaluru.</t>
        </is>
      </c>
      <c r="H26" s="24" t="n">
        <v>113172</v>
      </c>
      <c r="I26" s="25" t="n">
        <v>0.1</v>
      </c>
      <c r="J26" s="25" t="n"/>
      <c r="K26" s="26" t="n">
        <v>1</v>
      </c>
      <c r="L26" s="26" t="n"/>
      <c r="M26" s="25" t="n">
        <v>80</v>
      </c>
      <c r="N26" s="25" t="n">
        <v>80</v>
      </c>
      <c r="O26" s="26">
        <f>IF(OR(M26="",N26="",N26=0),"",M26/N26-1)</f>
        <v/>
      </c>
      <c r="P26" s="25" t="n">
        <v>14.5</v>
      </c>
      <c r="Q26" s="24" t="n"/>
      <c r="R26" s="26" t="n">
        <v>0.0825</v>
      </c>
      <c r="S26" s="26" t="n">
        <v>0.1146</v>
      </c>
      <c r="T26" s="27" t="n">
        <v>133.8</v>
      </c>
      <c r="U26" s="27">
        <f>IF(OR(T26="",H26="",H26=0),"",T26*10000000/H26)</f>
        <v/>
      </c>
      <c r="V26" s="23" t="inlineStr">
        <is>
          <t>3.0% of the Facility Rentals</t>
        </is>
      </c>
      <c r="W26" s="23" t="inlineStr">
        <is>
          <t>INR 0.1 Mn from Apr'26 to Mar'27 (Mgmt input; 5% p.a. escalation from Apr'27)</t>
        </is>
      </c>
      <c r="X26" s="23" t="inlineStr">
        <is>
          <t>Detailed sec 29 (pdf p.512); Valuation Certificate sec 6; Value Summary sec 4 (pdf p.55-56)</t>
        </is>
      </c>
    </row>
    <row r="27" ht="33.3" customHeight="1" s="18">
      <c r="A27" s="21" t="inlineStr">
        <is>
          <t>Sattva Developers Pvt Ltd</t>
        </is>
      </c>
      <c r="B27" s="22" t="inlineStr">
        <is>
          <t>Sattva Supreme</t>
        </is>
      </c>
      <c r="C27" s="20" t="inlineStr">
        <is>
          <t>Office</t>
        </is>
      </c>
      <c r="D27" s="20" t="inlineStr">
        <is>
          <t>Bengaluru</t>
        </is>
      </c>
      <c r="E27" s="21" t="inlineStr">
        <is>
          <t>Munnekolala</t>
        </is>
      </c>
      <c r="F27" s="21" t="inlineStr">
        <is>
          <t>Outer Ring-Road (ORR)</t>
        </is>
      </c>
      <c r="G27" s="23" t="inlineStr">
        <is>
          <t>Sy. No. 92/5 of Munnekolala Village, Varthur Hobli, Bengaluru East Taluk, Bengaluru</t>
        </is>
      </c>
      <c r="H27" s="24" t="n">
        <v>63929</v>
      </c>
      <c r="I27" s="25" t="n">
        <v>0.1</v>
      </c>
      <c r="J27" s="25" t="n"/>
      <c r="K27" s="26" t="n">
        <v>0.322</v>
      </c>
      <c r="L27" s="26" t="n"/>
      <c r="M27" s="25" t="n">
        <v>80</v>
      </c>
      <c r="N27" s="25" t="n">
        <v>91.09999999999999</v>
      </c>
      <c r="O27" s="26">
        <f>IF(OR(M27="",N27="",N27=0),"",M27/N27-1)</f>
        <v/>
      </c>
      <c r="P27" s="25" t="n">
        <v>3.7</v>
      </c>
      <c r="Q27" s="24" t="n"/>
      <c r="R27" s="26" t="n">
        <v>0.08500000000000001</v>
      </c>
      <c r="S27" s="26" t="n">
        <v>0.1146</v>
      </c>
      <c r="T27" s="27" t="n">
        <v>72.5</v>
      </c>
      <c r="U27" s="27">
        <f>IF(OR(T27="",H27="",H27=0),"",T27*10000000/H27)</f>
        <v/>
      </c>
      <c r="V27" s="23" t="inlineStr">
        <is>
          <t>Property Management Fee 3.0% of Facility Rentals (below NOI line)</t>
        </is>
      </c>
      <c r="W27" s="23" t="inlineStr">
        <is>
          <t>INR 0.2 Mn from Apr'26 to Mar'27 (Mgmt input; 5% p.a. escalation from Apr'27)</t>
        </is>
      </c>
      <c r="X27" s="23" t="inlineStr">
        <is>
          <t>Detailed sec 30 (pdf p.526); Valuation Certificate sec 6; Value Summary sec 4 (pdf p.55-56)</t>
        </is>
      </c>
    </row>
    <row r="28" ht="44" customHeight="1" s="18">
      <c r="A28" s="21" t="inlineStr">
        <is>
          <t>Darshita Housing Pvt. Ltd.</t>
        </is>
      </c>
      <c r="B28" s="22" t="inlineStr">
        <is>
          <t>Sattva Endeavour</t>
        </is>
      </c>
      <c r="C28" s="20" t="inlineStr">
        <is>
          <t>Office</t>
        </is>
      </c>
      <c r="D28" s="20" t="inlineStr">
        <is>
          <t>Bengaluru</t>
        </is>
      </c>
      <c r="E28" s="21" t="inlineStr">
        <is>
          <t>Peripheral (PBD)</t>
        </is>
      </c>
      <c r="F28" s="21" t="inlineStr">
        <is>
          <t>Peripheral Business District (PBD – O)</t>
        </is>
      </c>
      <c r="G28" s="23" t="inlineStr">
        <is>
          <t>Sy No 44(P), 44/1A1, 46(P) and 47(P), Electronic City 2nd Phase, Begur (Konnappana Agrahara Village), Bengaluru South Taluk, Bengaluru.</t>
        </is>
      </c>
      <c r="H28" s="24" t="n">
        <v>739671</v>
      </c>
      <c r="I28" s="25" t="n">
        <v>0.7</v>
      </c>
      <c r="J28" s="25" t="n"/>
      <c r="K28" s="26" t="n"/>
      <c r="L28" s="26" t="n"/>
      <c r="M28" s="25" t="n">
        <v>66</v>
      </c>
      <c r="N28" s="25" t="n"/>
      <c r="O28" s="26">
        <f>IF(OR(M28="",N28="",N28=0),"",M28/N28-1)</f>
        <v/>
      </c>
      <c r="P28" s="25" t="n"/>
      <c r="Q28" s="24" t="n"/>
      <c r="R28" s="26" t="n">
        <v>0.0825</v>
      </c>
      <c r="S28" s="26" t="n">
        <v>0.124</v>
      </c>
      <c r="T28" s="27" t="n">
        <v>644.3</v>
      </c>
      <c r="U28" s="27">
        <f>IF(OR(T28="",H28="",H28=0),"",T28*10000000/H28)</f>
        <v/>
      </c>
      <c r="V28" s="23" t="inlineStr">
        <is>
          <t>3.0% of the Facility Rentals</t>
        </is>
      </c>
      <c r="W28" s="23" t="inlineStr">
        <is>
          <t>INR 1.4 Mn from Apr'26 to Mar'27 (Mgmt input; 5% p.a. escalation from Apr'27)</t>
        </is>
      </c>
      <c r="X28" s="23" t="inlineStr">
        <is>
          <t>Detailed sec 31 (pdf p.541); Valuation Certificate sec 6; Value Summary sec 4 (pdf p.55-56)</t>
        </is>
      </c>
    </row>
    <row r="29" ht="33.3" customHeight="1" s="18">
      <c r="A29" s="21" t="inlineStr">
        <is>
          <t>Salarpuria Builders Private Limited</t>
        </is>
      </c>
      <c r="B29" s="22" t="inlineStr">
        <is>
          <t>Sattva Spectrum</t>
        </is>
      </c>
      <c r="C29" s="20" t="inlineStr">
        <is>
          <t>Office</t>
        </is>
      </c>
      <c r="D29" s="20" t="inlineStr">
        <is>
          <t>Bengaluru</t>
        </is>
      </c>
      <c r="E29" s="21" t="inlineStr">
        <is>
          <t>Peripheral (PBD)</t>
        </is>
      </c>
      <c r="F29" s="21" t="inlineStr">
        <is>
          <t>Peripheral Business District (PBD-O)</t>
        </is>
      </c>
      <c r="G29" s="23" t="inlineStr">
        <is>
          <t>Municipal No. 2355 / 78/6,5, 3, 8B, 9(P), Marathahalli Division, Doddakanelli, Marathahalli, Bengaluru</t>
        </is>
      </c>
      <c r="H29" s="24" t="n">
        <v>480962</v>
      </c>
      <c r="I29" s="25" t="n">
        <v>0.5</v>
      </c>
      <c r="J29" s="25" t="n"/>
      <c r="K29" s="26" t="n"/>
      <c r="L29" s="26" t="n"/>
      <c r="M29" s="25" t="n">
        <v>75</v>
      </c>
      <c r="N29" s="25" t="n"/>
      <c r="O29" s="26">
        <f>IF(OR(M29="",N29="",N29=0),"",M29/N29-1)</f>
        <v/>
      </c>
      <c r="P29" s="25" t="n"/>
      <c r="Q29" s="24" t="n"/>
      <c r="R29" s="26" t="n">
        <v>0.0825</v>
      </c>
      <c r="S29" s="26" t="n">
        <v>0.124</v>
      </c>
      <c r="T29" s="27" t="n">
        <v>494.2</v>
      </c>
      <c r="U29" s="27">
        <f>IF(OR(T29="",H29="",H29=0),"",T29*10000000/H29)</f>
        <v/>
      </c>
      <c r="V29" s="23" t="inlineStr">
        <is>
          <t>3.0% of the Facility Rentals</t>
        </is>
      </c>
      <c r="W29" s="23" t="inlineStr">
        <is>
          <t>INR 0.9 Mn from Apr'26 to Mar'27 (Mgmt input; 5% p.a. escalation from Apr'27)</t>
        </is>
      </c>
      <c r="X29" s="23" t="inlineStr">
        <is>
          <t>Detailed sec 32 (pdf p.554); Valuation Certificate sec 6; Value Summary sec 4 (pdf p.55-56)</t>
        </is>
      </c>
    </row>
    <row r="30" ht="76" customHeight="1" s="18">
      <c r="A30" s="21" t="inlineStr">
        <is>
          <t>Kosmo One Business Park Private Limited</t>
        </is>
      </c>
      <c r="B30" s="22" t="inlineStr">
        <is>
          <t>Kosmo One</t>
        </is>
      </c>
      <c r="C30" s="20" t="inlineStr">
        <is>
          <t>Office</t>
        </is>
      </c>
      <c r="D30" s="20" t="inlineStr">
        <is>
          <t>Chennai</t>
        </is>
      </c>
      <c r="E30" s="21" t="inlineStr">
        <is>
          <t>Ambattur</t>
        </is>
      </c>
      <c r="F30" s="21" t="inlineStr">
        <is>
          <t>Ambattur</t>
        </is>
      </c>
      <c r="G30" s="23" t="inlineStr">
        <is>
          <t>Survey Nos. 195 Part, 196 Part, 197 Part, 198 Part, 199 Part And 200 Part, Mannurpet Village, And Survey Nos. 6 Part, 7 Part, 8 Part And 10 Part, Athipet Village, No. 14, 3Rd Main Road, Ambattur Industrial Estate, Ambattur, Chennai.</t>
        </is>
      </c>
      <c r="H30" s="24" t="n">
        <v>1911704</v>
      </c>
      <c r="I30" s="25" t="n">
        <v>1.9</v>
      </c>
      <c r="J30" s="25" t="n"/>
      <c r="K30" s="26" t="n">
        <v>0.971</v>
      </c>
      <c r="L30" s="26" t="n"/>
      <c r="M30" s="25" t="n">
        <v>57</v>
      </c>
      <c r="N30" s="25" t="n">
        <v>44.3</v>
      </c>
      <c r="O30" s="26">
        <f>IF(OR(M30="",N30="",N30=0),"",M30/N30-1)</f>
        <v/>
      </c>
      <c r="P30" s="25" t="n">
        <v>4.8</v>
      </c>
      <c r="Q30" s="24" t="n"/>
      <c r="R30" s="26" t="n">
        <v>0.08</v>
      </c>
      <c r="S30" s="26" t="n">
        <v>0.1146</v>
      </c>
      <c r="T30" s="27" t="n">
        <v>1623.7</v>
      </c>
      <c r="U30" s="27">
        <f>IF(OR(T30="",H30="",H30=0),"",T30*10000000/H30)</f>
        <v/>
      </c>
      <c r="V30" s="23" t="inlineStr">
        <is>
          <t>3.0% of the Facility Rentals</t>
        </is>
      </c>
      <c r="W30" s="23" t="inlineStr">
        <is>
          <t>INR 2.8 Mn from Apr'26 to Mar'27 (Mgmt input; 5% p.a. escalation from Apr'27)</t>
        </is>
      </c>
      <c r="X30" s="23" t="inlineStr">
        <is>
          <t>Detailed sec 33 (pdf p.567); Valuation Certificate sec 6; Value Summary sec 4 (pdf p.55-56)</t>
        </is>
      </c>
    </row>
    <row r="31" ht="33.3" customHeight="1" s="18">
      <c r="A31" s="21" t="inlineStr">
        <is>
          <t>One Qube Realtors Private Limited</t>
        </is>
      </c>
      <c r="B31" s="22" t="inlineStr">
        <is>
          <t>One Qube</t>
        </is>
      </c>
      <c r="C31" s="20" t="inlineStr">
        <is>
          <t>Office</t>
        </is>
      </c>
      <c r="D31" s="20" t="inlineStr">
        <is>
          <t>Gurugram</t>
        </is>
      </c>
      <c r="E31" s="21" t="inlineStr">
        <is>
          <t>NH-8 (Gurugram)</t>
        </is>
      </c>
      <c r="F31" s="21" t="inlineStr">
        <is>
          <t>NH-8 (Before Rajiv Chowk)</t>
        </is>
      </c>
      <c r="G31" s="23" t="inlineStr">
        <is>
          <t>Plot No. 20, Sector-18, Urban Estate, Gurugram, Haryana.</t>
        </is>
      </c>
      <c r="H31" s="24" t="n">
        <v>555964</v>
      </c>
      <c r="I31" s="25" t="n">
        <v>0.6</v>
      </c>
      <c r="J31" s="25" t="n"/>
      <c r="K31" s="26" t="n">
        <v>0.916</v>
      </c>
      <c r="L31" s="26" t="n"/>
      <c r="M31" s="25" t="n">
        <v>125</v>
      </c>
      <c r="N31" s="25" t="n">
        <v>107.5</v>
      </c>
      <c r="O31" s="26">
        <f>IF(OR(M31="",N31="",N31=0),"",M31/N31-1)</f>
        <v/>
      </c>
      <c r="P31" s="25" t="n">
        <v>7.2</v>
      </c>
      <c r="Q31" s="24" t="n"/>
      <c r="R31" s="26" t="n">
        <v>0.08</v>
      </c>
      <c r="S31" s="26" t="n">
        <v>0.1146</v>
      </c>
      <c r="T31" s="27" t="n">
        <v>1029.5</v>
      </c>
      <c r="U31" s="27">
        <f>IF(OR(T31="",H31="",H31=0),"",T31*10000000/H31)</f>
        <v/>
      </c>
      <c r="V31" s="23" t="inlineStr">
        <is>
          <t>3.0% of the Facility Rentals</t>
        </is>
      </c>
      <c r="W31" s="23" t="inlineStr">
        <is>
          <t>INR 1.2 Mn from Apr'26 to Mar'27 (Mgmt input; 5% p.a. escalation from Apr'27)</t>
        </is>
      </c>
      <c r="X31" s="23" t="inlineStr">
        <is>
          <t>Detailed sec 34 (pdf p.582); Valuation Certificate sec 6; Value Summary sec 4 (pdf p.55-56)</t>
        </is>
      </c>
    </row>
    <row r="32" ht="33.3" customHeight="1" s="18">
      <c r="A32" s="21" t="inlineStr">
        <is>
          <t>Pluto Atriza Business Parks Private Limited</t>
        </is>
      </c>
      <c r="B32" s="22" t="inlineStr">
        <is>
          <t>Fintech One</t>
        </is>
      </c>
      <c r="C32" s="20" t="inlineStr">
        <is>
          <t>Office</t>
        </is>
      </c>
      <c r="D32" s="20" t="inlineStr">
        <is>
          <t>GIFT City, Ahmedabad</t>
        </is>
      </c>
      <c r="E32" s="21" t="inlineStr">
        <is>
          <t>GIFT City</t>
        </is>
      </c>
      <c r="F32" s="21" t="inlineStr">
        <is>
          <t>GIFT City, Ahmedabad</t>
        </is>
      </c>
      <c r="G32" s="23" t="inlineStr">
        <is>
          <t>Survey No. 500, Village Ratanpur, Taluka And District: Gandhinagar, Gujarat.</t>
        </is>
      </c>
      <c r="H32" s="24" t="n">
        <v>452528</v>
      </c>
      <c r="I32" s="25" t="n">
        <v>0.5</v>
      </c>
      <c r="J32" s="25" t="n"/>
      <c r="K32" s="26" t="n">
        <v>0.98</v>
      </c>
      <c r="L32" s="26" t="n"/>
      <c r="M32" s="25" t="n">
        <v>63</v>
      </c>
      <c r="N32" s="25" t="n">
        <v>52</v>
      </c>
      <c r="O32" s="26">
        <f>IF(OR(M32="",N32="",N32=0),"",M32/N32-1)</f>
        <v/>
      </c>
      <c r="P32" s="25" t="n">
        <v>7.8</v>
      </c>
      <c r="Q32" s="24" t="n"/>
      <c r="R32" s="26" t="n">
        <v>0.08</v>
      </c>
      <c r="S32" s="26" t="n">
        <v>0.1146</v>
      </c>
      <c r="T32" s="27" t="n">
        <v>439.1</v>
      </c>
      <c r="U32" s="27">
        <f>IF(OR(T32="",H32="",H32=0),"",T32*10000000/H32)</f>
        <v/>
      </c>
      <c r="V32" s="23" t="inlineStr">
        <is>
          <t>3.0% of the Facility Rentals</t>
        </is>
      </c>
      <c r="W32" s="23" t="inlineStr">
        <is>
          <t>INR 0.9 Mn from Apr'26 to Mar'27 (Mgmt input; 5% p.a. escalation from Apr'27)</t>
        </is>
      </c>
      <c r="X32" s="23" t="inlineStr">
        <is>
          <t>Detailed sec 35 (pdf p.597); Valuation Certificate sec 6; Value Summary sec 4 (pdf p.55-56)</t>
        </is>
      </c>
    </row>
    <row r="33" ht="22.65" customHeight="1" s="18">
      <c r="A33" s="21" t="inlineStr">
        <is>
          <t>One BKC Solar Energy Private Limited</t>
        </is>
      </c>
      <c r="B33" s="22" t="inlineStr">
        <is>
          <t>One BKC Solar</t>
        </is>
      </c>
      <c r="C33" s="20" t="inlineStr">
        <is>
          <t>Solar</t>
        </is>
      </c>
      <c r="D33" s="20" t="inlineStr">
        <is>
          <t>Dhule, Maharashtra</t>
        </is>
      </c>
      <c r="E33" s="21" t="inlineStr">
        <is>
          <t>Bhadgaon</t>
        </is>
      </c>
      <c r="F33" s="21" t="n"/>
      <c r="G33" s="23" t="inlineStr">
        <is>
          <t>Bhadgaon, Dhule, Maharashtra</t>
        </is>
      </c>
      <c r="H33" s="24" t="n"/>
      <c r="I33" s="25" t="n"/>
      <c r="J33" s="25" t="n"/>
      <c r="K33" s="26" t="n"/>
      <c r="L33" s="26" t="n"/>
      <c r="M33" s="25" t="n"/>
      <c r="N33" s="25" t="n"/>
      <c r="O33" s="26">
        <f>IF(OR(M33="",N33="",N33=0),"",M33/N33-1)</f>
        <v/>
      </c>
      <c r="P33" s="25" t="n"/>
      <c r="Q33" s="24" t="n"/>
      <c r="R33" s="26" t="n"/>
      <c r="S33" s="26" t="n">
        <v>0.1146</v>
      </c>
      <c r="T33" s="27" t="n">
        <v>31.6</v>
      </c>
      <c r="U33" s="27">
        <f>IF(OR(T33="",H33="",H33=0),"",T33*10000000/H33)</f>
        <v/>
      </c>
      <c r="V33" s="23" t="inlineStr">
        <is>
          <t>Property Management Fee 3.0% of Facility Rentals (below NOI line)</t>
        </is>
      </c>
      <c r="W33" s="23" t="n"/>
      <c r="X33" s="23" t="inlineStr">
        <is>
          <t>Detailed sec 36 (pdf p.612); Valuation Certificate sec 6; Value Summary sec 4 (pdf p.55-56)</t>
        </is>
      </c>
    </row>
    <row r="34" ht="22.65" customHeight="1" s="18">
      <c r="A34" s="21" t="inlineStr">
        <is>
          <t>Prima Bay Solar Energy Private Limited</t>
        </is>
      </c>
      <c r="B34" s="22" t="inlineStr">
        <is>
          <t>Prima Bay Solar</t>
        </is>
      </c>
      <c r="C34" s="20" t="inlineStr">
        <is>
          <t>Solar</t>
        </is>
      </c>
      <c r="D34" s="20" t="inlineStr">
        <is>
          <t>Dhule, Maharashtra</t>
        </is>
      </c>
      <c r="E34" s="21" t="inlineStr">
        <is>
          <t>Bhadgaon (Dhule)</t>
        </is>
      </c>
      <c r="F34" s="21" t="n"/>
      <c r="G34" s="23" t="inlineStr">
        <is>
          <t>Bhadgaon, Dhule, Maharashtra</t>
        </is>
      </c>
      <c r="H34" s="24" t="n"/>
      <c r="I34" s="25" t="n"/>
      <c r="J34" s="25" t="n"/>
      <c r="K34" s="26" t="n"/>
      <c r="L34" s="26" t="n"/>
      <c r="M34" s="25" t="n"/>
      <c r="N34" s="25" t="n"/>
      <c r="O34" s="26">
        <f>IF(OR(M34="",N34="",N34=0),"",M34/N34-1)</f>
        <v/>
      </c>
      <c r="P34" s="25" t="n"/>
      <c r="Q34" s="24" t="n"/>
      <c r="R34" s="26" t="n"/>
      <c r="S34" s="26" t="n">
        <v>0.1146</v>
      </c>
      <c r="T34" s="27" t="n">
        <v>27.6</v>
      </c>
      <c r="U34" s="27">
        <f>IF(OR(T34="",H34="",H34=0),"",T34*10000000/H34)</f>
        <v/>
      </c>
      <c r="V34" s="23" t="inlineStr">
        <is>
          <t>Property Management Fee 3.0% of Facility Rentals (below NOI line)</t>
        </is>
      </c>
      <c r="W34" s="23" t="n"/>
      <c r="X34" s="23" t="inlineStr">
        <is>
          <t>Detailed sec 37 (pdf p.619); Valuation Certificate sec 6; Value Summary sec 4 (pdf p.55-56)</t>
        </is>
      </c>
    </row>
    <row r="35" ht="22.65" customHeight="1" s="18">
      <c r="A35" s="21" t="inlineStr">
        <is>
          <t>Shirasa Regency Park Private Limited</t>
        </is>
      </c>
      <c r="B35" s="22" t="inlineStr">
        <is>
          <t>Karnataka Solar I</t>
        </is>
      </c>
      <c r="C35" s="20" t="inlineStr">
        <is>
          <t>Solar</t>
        </is>
      </c>
      <c r="D35" s="20" t="inlineStr">
        <is>
          <t>Chitradurga, Karnataka</t>
        </is>
      </c>
      <c r="E35" s="21" t="inlineStr">
        <is>
          <t>Nanivala Challakare</t>
        </is>
      </c>
      <c r="F35" s="21" t="n"/>
      <c r="G35" s="23" t="inlineStr">
        <is>
          <t>Taluk Nanivala Challakare, District: Chitradurga, Karnataka</t>
        </is>
      </c>
      <c r="H35" s="24" t="n"/>
      <c r="I35" s="25" t="n"/>
      <c r="J35" s="25" t="n"/>
      <c r="K35" s="26" t="n"/>
      <c r="L35" s="26" t="n"/>
      <c r="M35" s="25" t="n"/>
      <c r="N35" s="25" t="n"/>
      <c r="O35" s="26">
        <f>IF(OR(M35="",N35="",N35=0),"",M35/N35-1)</f>
        <v/>
      </c>
      <c r="P35" s="25" t="n"/>
      <c r="Q35" s="24" t="n"/>
      <c r="R35" s="26" t="n"/>
      <c r="S35" s="26" t="n">
        <v>0.1146</v>
      </c>
      <c r="T35" s="27" t="n">
        <v>228.2</v>
      </c>
      <c r="U35" s="27">
        <f>IF(OR(T35="",H35="",H35=0),"",T35*10000000/H35)</f>
        <v/>
      </c>
      <c r="V35" s="23" t="inlineStr">
        <is>
          <t>Property Management Fee 3.0% of Facility Rentals (below NOI line)</t>
        </is>
      </c>
      <c r="W35" s="23" t="n"/>
      <c r="X35" s="23" t="inlineStr">
        <is>
          <t>Detailed sec 38 (pdf p.626); Valuation Certificate sec 6; Value Summary sec 4 (pdf p.55-56)</t>
        </is>
      </c>
    </row>
    <row r="36" ht="22.65" customHeight="1" s="18">
      <c r="A36" s="21" t="inlineStr">
        <is>
          <t>NABS Datazone Private Limited (the ‘NABS’)</t>
        </is>
      </c>
      <c r="B36" s="22" t="inlineStr">
        <is>
          <t>Karnataka Solar - II</t>
        </is>
      </c>
      <c r="C36" s="20" t="inlineStr">
        <is>
          <t>Solar</t>
        </is>
      </c>
      <c r="D36" s="20" t="inlineStr">
        <is>
          <t>Chitradurga, Karnataka</t>
        </is>
      </c>
      <c r="E36" s="21" t="inlineStr">
        <is>
          <t>Nanivala Challakare</t>
        </is>
      </c>
      <c r="F36" s="21" t="n"/>
      <c r="G36" s="23" t="inlineStr">
        <is>
          <t>Taluk Nanivala Challakare, District: Chitradurga, Karnataka</t>
        </is>
      </c>
      <c r="H36" s="24" t="n"/>
      <c r="I36" s="25" t="n"/>
      <c r="J36" s="25" t="n"/>
      <c r="K36" s="26" t="n"/>
      <c r="L36" s="26" t="n"/>
      <c r="M36" s="25" t="n"/>
      <c r="N36" s="25" t="n"/>
      <c r="O36" s="26">
        <f>IF(OR(M36="",N36="",N36=0),"",M36/N36-1)</f>
        <v/>
      </c>
      <c r="P36" s="25" t="n"/>
      <c r="Q36" s="24" t="n"/>
      <c r="R36" s="26" t="n"/>
      <c r="S36" s="26" t="n">
        <v>0.1225</v>
      </c>
      <c r="T36" s="27" t="n">
        <v>109.3</v>
      </c>
      <c r="U36" s="27">
        <f>IF(OR(T36="",H36="",H36=0),"",T36*10000000/H36)</f>
        <v/>
      </c>
      <c r="V36" s="23" t="inlineStr">
        <is>
          <t>Property Management Fee 3.0% of Facility Rentals (below NOI line)</t>
        </is>
      </c>
      <c r="W36" s="23" t="n"/>
      <c r="X36" s="23" t="inlineStr">
        <is>
          <t>Detailed sec 39 (pdf p.634); Valuation Certificate sec 6; Value Summary sec 4 (pdf p.55-56)</t>
        </is>
      </c>
    </row>
    <row r="37" ht="15" customHeight="1" s="18">
      <c r="A37" s="29" t="inlineStr">
        <is>
          <t>TOTAL / weighted</t>
        </is>
      </c>
      <c r="H37" s="31">
        <f>SUM(H4:H36)</f>
        <v/>
      </c>
      <c r="I37" s="32">
        <f>SUM(I4:I36)</f>
        <v/>
      </c>
      <c r="M37" s="32">
        <f>IFERROR(AVERAGE(M4:M36),"")</f>
        <v/>
      </c>
      <c r="N37" s="32">
        <f>IFERROR(AVERAGE(N4:N36),"")</f>
        <v/>
      </c>
      <c r="T37" s="33">
        <f>SUM(T4:T36)</f>
        <v/>
      </c>
      <c r="U37" s="33">
        <f>IFERROR(T37*10000000/H37,"")</f>
        <v/>
      </c>
    </row>
  </sheetData>
  <autoFilter ref="A3:X36"/>
  <hyperlinks>
    <hyperlink xmlns:r="http://schemas.openxmlformats.org/officeDocument/2006/relationships" ref="B4" location="page=157" display="Sattva Knowledge City" r:id="rId1"/>
    <hyperlink xmlns:r="http://schemas.openxmlformats.org/officeDocument/2006/relationships" ref="B5" location="page=176" display="Sattva Knowledge Park" r:id="rId2"/>
    <hyperlink xmlns:r="http://schemas.openxmlformats.org/officeDocument/2006/relationships" ref="B6" location="page=191" display="Sattva Knowledge Capital" r:id="rId3"/>
    <hyperlink xmlns:r="http://schemas.openxmlformats.org/officeDocument/2006/relationships" ref="B7" location="page=206" display="One BKC" r:id="rId4"/>
    <hyperlink xmlns:r="http://schemas.openxmlformats.org/officeDocument/2006/relationships" ref="B8" location="page=222" display="One World Center" r:id="rId5"/>
    <hyperlink xmlns:r="http://schemas.openxmlformats.org/officeDocument/2006/relationships" ref="B9" location="page=238" display="One International Center" r:id="rId6"/>
    <hyperlink xmlns:r="http://schemas.openxmlformats.org/officeDocument/2006/relationships" ref="B10" location="page=254" display="One Unity Center" r:id="rId7"/>
    <hyperlink xmlns:r="http://schemas.openxmlformats.org/officeDocument/2006/relationships" ref="B11" location="page=270" display="Prima Bay" r:id="rId8"/>
    <hyperlink xmlns:r="http://schemas.openxmlformats.org/officeDocument/2006/relationships" ref="B12" location="page=286" display="Cessna Business Park" r:id="rId9"/>
    <hyperlink xmlns:r="http://schemas.openxmlformats.org/officeDocument/2006/relationships" ref="B13" location="page=305" display="Exora Business Park" r:id="rId10"/>
    <hyperlink xmlns:r="http://schemas.openxmlformats.org/officeDocument/2006/relationships" ref="B14" location="page=321" display="Sattva Global City" r:id="rId11"/>
    <hyperlink xmlns:r="http://schemas.openxmlformats.org/officeDocument/2006/relationships" ref="B15" location="page=340" display="Sattva Softzone" r:id="rId12"/>
    <hyperlink xmlns:r="http://schemas.openxmlformats.org/officeDocument/2006/relationships" ref="B16" location="page=357" display="Sattva Knowledge Court" r:id="rId13"/>
    <hyperlink xmlns:r="http://schemas.openxmlformats.org/officeDocument/2006/relationships" ref="B17" location="page=373" display="Sattva Techpoint" r:id="rId14"/>
    <hyperlink xmlns:r="http://schemas.openxmlformats.org/officeDocument/2006/relationships" ref="B18" location="page=389" display="One Trade Tower" r:id="rId15"/>
    <hyperlink xmlns:r="http://schemas.openxmlformats.org/officeDocument/2006/relationships" ref="B19" location="page=403" display="Sattva Horizon" r:id="rId16"/>
    <hyperlink xmlns:r="http://schemas.openxmlformats.org/officeDocument/2006/relationships" ref="B20" location="page=416" display="Sattva Touchstone" r:id="rId17"/>
    <hyperlink xmlns:r="http://schemas.openxmlformats.org/officeDocument/2006/relationships" ref="B21" location="page=432" display="Sattva Infozone" r:id="rId18"/>
    <hyperlink xmlns:r="http://schemas.openxmlformats.org/officeDocument/2006/relationships" ref="B22" location="page=448" display="Sattva Magnificia (I &amp; II)" r:id="rId19"/>
    <hyperlink xmlns:r="http://schemas.openxmlformats.org/officeDocument/2006/relationships" ref="B23" location="page=467" display="Sattva South Avenue" r:id="rId20"/>
    <hyperlink xmlns:r="http://schemas.openxmlformats.org/officeDocument/2006/relationships" ref="B24" location="page=482" display="Sattva Eminence" r:id="rId21"/>
    <hyperlink xmlns:r="http://schemas.openxmlformats.org/officeDocument/2006/relationships" ref="B25" location="page=497" display="Sattva Cosmo Lavelle" r:id="rId22"/>
    <hyperlink xmlns:r="http://schemas.openxmlformats.org/officeDocument/2006/relationships" ref="B26" location="page=512" display="Sattva Premia" r:id="rId23"/>
    <hyperlink xmlns:r="http://schemas.openxmlformats.org/officeDocument/2006/relationships" ref="B27" location="page=526" display="Sattva Supreme" r:id="rId24"/>
    <hyperlink xmlns:r="http://schemas.openxmlformats.org/officeDocument/2006/relationships" ref="B28" location="page=541" display="Sattva Endeavour" r:id="rId25"/>
    <hyperlink xmlns:r="http://schemas.openxmlformats.org/officeDocument/2006/relationships" ref="B29" location="page=554" display="Sattva Spectrum" r:id="rId26"/>
    <hyperlink xmlns:r="http://schemas.openxmlformats.org/officeDocument/2006/relationships" ref="B30" location="page=567" display="Kosmo One" r:id="rId27"/>
    <hyperlink xmlns:r="http://schemas.openxmlformats.org/officeDocument/2006/relationships" ref="B31" location="page=582" display="One Qube" r:id="rId28"/>
    <hyperlink xmlns:r="http://schemas.openxmlformats.org/officeDocument/2006/relationships" ref="B32" location="page=597" display="Fintech One" r:id="rId29"/>
    <hyperlink xmlns:r="http://schemas.openxmlformats.org/officeDocument/2006/relationships" ref="B33" location="page=612" display="One BKC Solar" r:id="rId30"/>
    <hyperlink xmlns:r="http://schemas.openxmlformats.org/officeDocument/2006/relationships" ref="B34" location="page=619" display="Prima Bay Solar" r:id="rId31"/>
    <hyperlink xmlns:r="http://schemas.openxmlformats.org/officeDocument/2006/relationships" ref="B35" location="page=626" display="Karnataka Solar I" r:id="rId32"/>
    <hyperlink xmlns:r="http://schemas.openxmlformats.org/officeDocument/2006/relationships" ref="B36" location="page=634" display="Karnataka Solar - II" r:id="rId3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X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0546875" defaultRowHeight="15" customHeight="0" zeroHeight="0" outlineLevelRow="0"/>
  <cols>
    <col width="30" customWidth="1" style="17" min="1" max="1"/>
    <col width="26" customWidth="1" style="17" min="2" max="2"/>
    <col width="9" customWidth="1" style="17" min="3" max="3"/>
    <col width="13" customWidth="1" style="17" min="4" max="4"/>
    <col width="22" customWidth="1" style="17" min="5" max="5"/>
    <col width="24" customWidth="1" style="17" min="6" max="6"/>
    <col width="30" customWidth="1" style="17" min="7" max="7"/>
    <col width="12" customWidth="1" style="17" min="8" max="8"/>
    <col width="11" customWidth="1" style="17" min="9" max="10"/>
    <col width="10" customWidth="1" style="17" min="11" max="12"/>
    <col width="12" customWidth="1" style="17" min="13" max="14"/>
    <col width="11" customWidth="1" style="17" min="15" max="15"/>
    <col width="9" customWidth="1" style="17" min="16" max="16"/>
    <col width="8" customWidth="1" style="17" min="17" max="18"/>
    <col width="9" customWidth="1" style="17" min="19" max="19"/>
    <col width="13" customWidth="1" style="17" min="20" max="20"/>
    <col width="12" customWidth="1" style="17" min="21" max="21"/>
    <col width="30" customWidth="1" style="17" min="22" max="22"/>
    <col width="26" customWidth="1" style="17" min="23" max="23"/>
    <col width="46" customWidth="1" style="17" min="24" max="24"/>
  </cols>
  <sheetData>
    <row r="1" ht="15" customHeight="1" s="18">
      <c r="A1" s="30" t="inlineStr">
        <is>
          <t>Bagmane - Asset-level detail  (valuation 31 Mar 2026 - proforma per RHP;  9 assets)</t>
        </is>
      </c>
    </row>
    <row r="3" ht="30" customHeight="1" s="18">
      <c r="A3" s="19" t="inlineStr">
        <is>
          <t>SPV / Holding entity</t>
        </is>
      </c>
      <c r="B3" s="19" t="inlineStr">
        <is>
          <t>Property / Asset</t>
        </is>
      </c>
      <c r="C3" s="19" t="inlineStr">
        <is>
          <t>Type</t>
        </is>
      </c>
      <c r="D3" s="19" t="inlineStr">
        <is>
          <t>City</t>
        </is>
      </c>
      <c r="E3" s="19" t="inlineStr">
        <is>
          <t>Locality / Area</t>
        </is>
      </c>
      <c r="F3" s="19" t="inlineStr">
        <is>
          <t>Micro-market (valuer)</t>
        </is>
      </c>
      <c r="G3" s="19" t="inlineStr">
        <is>
          <t>Address</t>
        </is>
      </c>
      <c r="H3" s="19" t="inlineStr">
        <is>
          <t>Leasable (sq ft)</t>
        </is>
      </c>
      <c r="I3" s="19" t="inlineStr">
        <is>
          <t>Leasable (msf)</t>
        </is>
      </c>
      <c r="J3" s="19" t="inlineStr">
        <is>
          <t>Completed (msf)</t>
        </is>
      </c>
      <c r="K3" s="19" t="inlineStr">
        <is>
          <t>Committed occ.</t>
        </is>
      </c>
      <c r="L3" s="19" t="inlineStr">
        <is>
          <t>In-place occ.</t>
        </is>
      </c>
      <c r="M3" s="19" t="inlineStr">
        <is>
          <t>Market rent /sqft/mo</t>
        </is>
      </c>
      <c r="N3" s="19" t="inlineStr">
        <is>
          <t>In-place rent /sqft/mo</t>
        </is>
      </c>
      <c r="O3" s="19" t="inlineStr">
        <is>
          <t>Rent reversion</t>
        </is>
      </c>
      <c r="P3" s="19" t="inlineStr">
        <is>
          <t>WALE (yrs)</t>
        </is>
      </c>
      <c r="Q3" s="19" t="inlineStr">
        <is>
          <t>Tenants</t>
        </is>
      </c>
      <c r="R3" s="19" t="inlineStr">
        <is>
          <t>Cap rate</t>
        </is>
      </c>
      <c r="S3" s="19" t="inlineStr">
        <is>
          <t>Discount rate</t>
        </is>
      </c>
      <c r="T3" s="19" t="inlineStr">
        <is>
          <t>Market value (INR cr)</t>
        </is>
      </c>
      <c r="U3" s="19" t="inlineStr">
        <is>
          <t>Value/sqft (INR)</t>
        </is>
      </c>
      <c r="V3" s="19" t="inlineStr">
        <is>
          <t>Mgmt fee (valuation DCF)</t>
        </is>
      </c>
      <c r="W3" s="19" t="inlineStr">
        <is>
          <t>Insurance (valuation DCF)</t>
        </is>
      </c>
      <c r="X3" s="19" t="inlineStr">
        <is>
          <t>Notes / source</t>
        </is>
      </c>
    </row>
    <row r="4" ht="65.3" customHeight="1" s="18">
      <c r="A4" s="21" t="inlineStr">
        <is>
          <t>Bagmane Developers Private Limited (HoldCo/BDPL)</t>
        </is>
      </c>
      <c r="B4" s="22" t="inlineStr">
        <is>
          <t>Bagmane World Technology Centre (BWTC)</t>
        </is>
      </c>
      <c r="C4" s="20" t="inlineStr">
        <is>
          <t>Office</t>
        </is>
      </c>
      <c r="D4" s="20" t="inlineStr">
        <is>
          <t>Bengaluru</t>
        </is>
      </c>
      <c r="E4" s="21" t="inlineStr">
        <is>
          <t>Outer Ring Road (Mahadevapura)</t>
        </is>
      </c>
      <c r="F4" s="21" t="inlineStr">
        <is>
          <t>Outer Ring Road (ORR Southeast)</t>
        </is>
      </c>
      <c r="G4" s="23" t="inlineStr">
        <is>
          <t>Ferns City, Mahadevapura Village, Bengaluru, Karnataka, India</t>
        </is>
      </c>
      <c r="H4" s="24" t="n">
        <v>4545298.8</v>
      </c>
      <c r="I4" s="25" t="n">
        <v>4.5</v>
      </c>
      <c r="J4" s="25" t="n">
        <v>4.5</v>
      </c>
      <c r="K4" s="26" t="n">
        <v>0.98</v>
      </c>
      <c r="L4" s="26" t="n">
        <v>0.95</v>
      </c>
      <c r="M4" s="25" t="n">
        <v>103</v>
      </c>
      <c r="N4" s="25" t="n">
        <v>91.7</v>
      </c>
      <c r="O4" s="26">
        <f>IF(OR(M4="",N4="",N4=0),"",M4/N4-1)</f>
        <v/>
      </c>
      <c r="P4" s="25" t="n">
        <v>8.4</v>
      </c>
      <c r="Q4" s="24" t="n">
        <v>19</v>
      </c>
      <c r="R4" s="26" t="n">
        <v>0.08</v>
      </c>
      <c r="S4" s="26" t="n">
        <v>0.12</v>
      </c>
      <c r="T4" s="27" t="n">
        <v>8568.08</v>
      </c>
      <c r="U4" s="27">
        <f>IF(OR(T4="",H4="",H4=0),"",T4*10000000/H4)</f>
        <v/>
      </c>
      <c r="V4" s="23" t="n"/>
      <c r="W4" s="23" t="n"/>
      <c r="X4" s="23" t="inlineStr">
        <is>
          <t>WACC (operational) 11.5%; cap rate 8.0% (terminal). Valuation report occupancy: committed 98.2%, in-place 94.9%. Includes 2 under-construction hotels (607 keys) valued separately. Remaining capex INR 278.1mn; expected completion Q1 FY29. Land 39.3 acres. RHP master table WALE 8.4y. Valuation report pp.628-631.</t>
        </is>
      </c>
    </row>
    <row r="5" ht="54.65" customHeight="1" s="18">
      <c r="A5" s="21" t="inlineStr">
        <is>
          <t>Bagmane Developers Private Limited (HoldCo/BDPL)</t>
        </is>
      </c>
      <c r="B5" s="22" t="inlineStr">
        <is>
          <t>Bagmane Constellation Business Park (BCBP)</t>
        </is>
      </c>
      <c r="C5" s="20" t="inlineStr">
        <is>
          <t>Office</t>
        </is>
      </c>
      <c r="D5" s="20" t="inlineStr">
        <is>
          <t>Bengaluru</t>
        </is>
      </c>
      <c r="E5" s="21" t="inlineStr">
        <is>
          <t>Outer Ring Road (Mahadevapura)</t>
        </is>
      </c>
      <c r="F5" s="21" t="inlineStr">
        <is>
          <t>Outer Ring Road (ORR Southeast)</t>
        </is>
      </c>
      <c r="G5" s="23" t="inlineStr">
        <is>
          <t>Doddanekundi Village, K.R. Puram Hobli, Bengaluru East Taluk, Bengaluru Urban District, Karnataka 560 048</t>
        </is>
      </c>
      <c r="H5" s="24" t="n">
        <v>4950438.9</v>
      </c>
      <c r="I5" s="25" t="n">
        <v>4.9</v>
      </c>
      <c r="J5" s="25" t="n">
        <v>5</v>
      </c>
      <c r="K5" s="26" t="n">
        <v>1</v>
      </c>
      <c r="L5" s="26" t="n">
        <v>1</v>
      </c>
      <c r="M5" s="25" t="n">
        <v>105</v>
      </c>
      <c r="N5" s="25" t="n">
        <v>91.5</v>
      </c>
      <c r="O5" s="26">
        <f>IF(OR(M5="",N5="",N5=0),"",M5/N5-1)</f>
        <v/>
      </c>
      <c r="P5" s="25" t="n">
        <v>6</v>
      </c>
      <c r="Q5" s="24" t="n">
        <v>14</v>
      </c>
      <c r="R5" s="26" t="n">
        <v>0.08</v>
      </c>
      <c r="S5" s="26" t="n">
        <v>0.12</v>
      </c>
      <c r="T5" s="27" t="n">
        <v>8924.139999999999</v>
      </c>
      <c r="U5" s="27">
        <f>IF(OR(T5="",H5="",H5=0),"",T5*10000000/H5)</f>
        <v/>
      </c>
      <c r="V5" s="23" t="n"/>
      <c r="W5" s="23" t="n"/>
      <c r="X5" s="23" t="inlineStr">
        <is>
          <t>WACC 11.5%; cap rate 8.0%. Valuation report occupancy: committed 100%, in-place 99.5%. RHP master table leasable 5.0 msf (valuation 4.9 msf / 4,950,438.9 sqft). Amazon key tenant (~2.2 msf). Remaining capex INR 107.4mn. Land 36.4 acres. Valuation report pp.632-636.</t>
        </is>
      </c>
    </row>
    <row r="6" ht="54.65" customHeight="1" s="18">
      <c r="A6" s="21" t="inlineStr">
        <is>
          <t>Bagmane Rio Private Limited (BRPL)</t>
        </is>
      </c>
      <c r="B6" s="22" t="inlineStr">
        <is>
          <t>Bagmane Rio Business Park</t>
        </is>
      </c>
      <c r="C6" s="20" t="inlineStr">
        <is>
          <t>Office</t>
        </is>
      </c>
      <c r="D6" s="20" t="inlineStr">
        <is>
          <t>Bengaluru</t>
        </is>
      </c>
      <c r="E6" s="21" t="inlineStr">
        <is>
          <t>Outer Ring Road (Mahadevapura)</t>
        </is>
      </c>
      <c r="F6" s="21" t="inlineStr">
        <is>
          <t>Outer Ring Road (ORR Southeast)</t>
        </is>
      </c>
      <c r="G6" s="23" t="inlineStr">
        <is>
          <t>Doddanekundi Village, K.R. Puram Hobli, Bengaluru East Taluk, Bengaluru Urban District, Karnataka</t>
        </is>
      </c>
      <c r="H6" s="24" t="n">
        <v>1105898.6</v>
      </c>
      <c r="I6" s="25" t="n">
        <v>1.1</v>
      </c>
      <c r="J6" s="25" t="n">
        <v>1.1</v>
      </c>
      <c r="K6" s="26" t="n">
        <v>1</v>
      </c>
      <c r="L6" s="26" t="n">
        <v>1</v>
      </c>
      <c r="M6" s="25" t="n">
        <v>115</v>
      </c>
      <c r="N6" s="25" t="n">
        <v>97.8</v>
      </c>
      <c r="O6" s="26">
        <f>IF(OR(M6="",N6="",N6=0),"",M6/N6-1)</f>
        <v/>
      </c>
      <c r="P6" s="25" t="n">
        <v>11</v>
      </c>
      <c r="Q6" s="24" t="n">
        <v>1</v>
      </c>
      <c r="R6" s="26" t="n">
        <v>0.08</v>
      </c>
      <c r="S6" s="26" t="n">
        <v>0.12</v>
      </c>
      <c r="T6" s="27" t="n">
        <v>1773.01</v>
      </c>
      <c r="U6" s="27">
        <f>IF(OR(T6="",H6="",H6=0),"",T6*10000000/H6)</f>
        <v/>
      </c>
      <c r="V6" s="23" t="n"/>
      <c r="W6" s="23" t="n"/>
      <c r="X6" s="23" t="inlineStr">
        <is>
          <t>REIT holds 93% interest; MV of 93% = INR 17,730.1mn, 100% = INR 19,064.7mn. Cap rate 7.75% (single-tenant premium). WACC 11.5%. Single tenant (Google - largest standalone building outside USA). No remaining capex. Land 9.0 acres. Valuation report pp.637-640.</t>
        </is>
      </c>
    </row>
    <row r="7" ht="65.3" customHeight="1" s="18">
      <c r="A7" s="21" t="inlineStr">
        <is>
          <t>Bagmane Constructions Private Limited (BCPL) - carve-in asset</t>
        </is>
      </c>
      <c r="B7" s="22" t="inlineStr">
        <is>
          <t>Luxor @ Bagmane Capital Tech Park</t>
        </is>
      </c>
      <c r="C7" s="20" t="inlineStr">
        <is>
          <t>Office</t>
        </is>
      </c>
      <c r="D7" s="20" t="inlineStr">
        <is>
          <t>Bengaluru</t>
        </is>
      </c>
      <c r="E7" s="21" t="inlineStr">
        <is>
          <t>Outer Ring Road (Mahadevapura)</t>
        </is>
      </c>
      <c r="F7" s="21" t="inlineStr">
        <is>
          <t>Outer Ring Road (ORR Southeast)</t>
        </is>
      </c>
      <c r="G7" s="23" t="inlineStr">
        <is>
          <t>Doddanekundi Village, Marathahalli Hobli, Bengaluru East Taluk, Bengaluru Urban District, Karnataka 560 048</t>
        </is>
      </c>
      <c r="H7" s="24" t="n">
        <v>1044731.7</v>
      </c>
      <c r="I7" s="25" t="n">
        <v>1</v>
      </c>
      <c r="J7" s="25" t="n">
        <v>1</v>
      </c>
      <c r="K7" s="26" t="n">
        <v>1</v>
      </c>
      <c r="L7" s="26" t="n">
        <v>0.9399999999999999</v>
      </c>
      <c r="M7" s="25" t="n">
        <v>110</v>
      </c>
      <c r="N7" s="25" t="n">
        <v>100.3</v>
      </c>
      <c r="O7" s="26">
        <f>IF(OR(M7="",N7="",N7=0),"",M7/N7-1)</f>
        <v/>
      </c>
      <c r="P7" s="25" t="n">
        <v>8.800000000000001</v>
      </c>
      <c r="Q7" s="24" t="n">
        <v>6</v>
      </c>
      <c r="R7" s="26" t="n">
        <v>0.08</v>
      </c>
      <c r="S7" s="26" t="n">
        <v>0.12</v>
      </c>
      <c r="T7" s="27" t="n">
        <v>2016.47</v>
      </c>
      <c r="U7" s="27">
        <f>IF(OR(T7="",H7="",H7=0),"",T7*10000000/H7)</f>
        <v/>
      </c>
      <c r="V7" s="23" t="n"/>
      <c r="W7" s="23" t="n"/>
      <c r="X7" s="23" t="inlineStr">
        <is>
          <t>Carve-in asset, 100% owned by BCPL w.e.f. 1 Dec 2025 (previously JD 83.39% BCPL / 16.61% third parties). Cap rate 8.0%; WACC 11.5%. Valuation occupancy: committed 100%, in-place 93.7%. Part of larger 9.0 msf Bagmane Capital Tech Park. Land 50.1 acres. Valuation report pp.641-644.</t>
        </is>
      </c>
    </row>
    <row r="8" ht="65.3" customHeight="1" s="18">
      <c r="A8" s="21" t="inlineStr">
        <is>
          <t>Bagmane Developers Private Limited (HoldCo/BDPL)</t>
        </is>
      </c>
      <c r="B8" s="22" t="inlineStr">
        <is>
          <t>Bagmane Tech Park (BTP)</t>
        </is>
      </c>
      <c r="C8" s="20" t="inlineStr">
        <is>
          <t>Office</t>
        </is>
      </c>
      <c r="D8" s="20" t="inlineStr">
        <is>
          <t>Bengaluru</t>
        </is>
      </c>
      <c r="E8" s="21" t="inlineStr">
        <is>
          <t>Byrasandra (CV Raman Nagar)</t>
        </is>
      </c>
      <c r="F8" s="21" t="inlineStr">
        <is>
          <t>SBD City</t>
        </is>
      </c>
      <c r="G8" s="23" t="inlineStr">
        <is>
          <t>Byrasandra Village, Krishnarajapuram Hobli, Bengaluru East Taluk, Bengaluru Urban District, Karnataka 560 093</t>
        </is>
      </c>
      <c r="H8" s="24" t="n">
        <v>4377174.7</v>
      </c>
      <c r="I8" s="25" t="n">
        <v>4.4</v>
      </c>
      <c r="J8" s="25" t="n">
        <v>3.9</v>
      </c>
      <c r="K8" s="26" t="n">
        <v>0.99</v>
      </c>
      <c r="L8" s="26" t="n">
        <v>0.99</v>
      </c>
      <c r="M8" s="25" t="n">
        <v>152</v>
      </c>
      <c r="N8" s="25" t="n">
        <v>143.9</v>
      </c>
      <c r="O8" s="26">
        <f>IF(OR(M8="",N8="",N8=0),"",M8/N8-1)</f>
        <v/>
      </c>
      <c r="P8" s="25" t="n">
        <v>5.7</v>
      </c>
      <c r="Q8" s="24" t="n">
        <v>32</v>
      </c>
      <c r="R8" s="26" t="n">
        <v>0.08</v>
      </c>
      <c r="S8" s="26" t="n">
        <v>0.12</v>
      </c>
      <c r="T8" s="27" t="n">
        <v>11123.9</v>
      </c>
      <c r="U8" s="27">
        <f>IF(OR(T8="",H8="",H8=0),"",T8*10000000/H8)</f>
        <v/>
      </c>
      <c r="V8" s="23" t="n"/>
      <c r="W8" s="23" t="n"/>
      <c r="X8" s="23" t="inlineStr">
        <is>
          <t>Cap rate 7.75% (SBD City premium); WACC operational 11.5%, UC/future 12.75%. Committed &amp; in-place occupancy 98.7% (completed area). Includes 0.5 msf future dev. MV split: completed INR 105,725.5mn + UC/future INR 5,513.5mn = 111,239.0mn. Volvo key tenant. Land 40.6 acres. Valuation report pp.645-648.</t>
        </is>
      </c>
    </row>
    <row r="9" ht="86.65000000000001" customHeight="1" s="18">
      <c r="A9" s="21" t="inlineStr">
        <is>
          <t>Bagmane Developers Private Limited (HoldCo/BDPL)</t>
        </is>
      </c>
      <c r="B9" s="22" t="inlineStr">
        <is>
          <t>Bagmane Cosmos Business Park</t>
        </is>
      </c>
      <c r="C9" s="20" t="inlineStr">
        <is>
          <t>Office</t>
        </is>
      </c>
      <c r="D9" s="20" t="inlineStr">
        <is>
          <t>Bengaluru</t>
        </is>
      </c>
      <c r="E9" s="21" t="inlineStr">
        <is>
          <t>Byrasandra (CV Raman Nagar)</t>
        </is>
      </c>
      <c r="F9" s="21" t="inlineStr">
        <is>
          <t>SBD City</t>
        </is>
      </c>
      <c r="G9" s="23" t="inlineStr">
        <is>
          <t>Bairasandra Village, Marathahalli Hobli, Bengaluru East Taluk, Bengaluru Urban District, Karnataka 560 093</t>
        </is>
      </c>
      <c r="H9" s="24" t="n"/>
      <c r="I9" s="25" t="n">
        <v>3.6</v>
      </c>
      <c r="J9" s="25" t="n">
        <v>1</v>
      </c>
      <c r="K9" s="26" t="n">
        <v>0.9399999999999999</v>
      </c>
      <c r="L9" s="26" t="n">
        <v>0.68</v>
      </c>
      <c r="M9" s="25" t="n">
        <v>156</v>
      </c>
      <c r="N9" s="25" t="n">
        <v>142.5</v>
      </c>
      <c r="O9" s="26">
        <f>IF(OR(M9="",N9="",N9=0),"",M9/N9-1)</f>
        <v/>
      </c>
      <c r="P9" s="25" t="n">
        <v>12</v>
      </c>
      <c r="Q9" s="24" t="n">
        <v>3</v>
      </c>
      <c r="R9" s="26" t="n">
        <v>0.08</v>
      </c>
      <c r="S9" s="26" t="n">
        <v>0.12</v>
      </c>
      <c r="T9" s="27" t="n">
        <v>6560.84</v>
      </c>
      <c r="U9" s="27">
        <f>IF(OR(T9="",H9="",H9=0),"",T9*10000000/H9)</f>
        <v/>
      </c>
      <c r="V9" s="23" t="n"/>
      <c r="W9" s="23" t="n"/>
      <c r="X9" s="23" t="inlineStr">
        <is>
          <t>Cap rate 7.75% (SBD City premium); WACC operational 11.5%, UC/future 12.75%. Occupancy on completed 1.0 msf: committed 94.2%, in-place 67.8%. 1.0 msf under-construction + 1.5 msf future. MV split: completed INR 26,053.3mn + UC/future INR 39,555.0mn = 65,608.4mn. Texas Instruments key tenant upon completion. Remaining capex incl land INR 514.6mn. Land 22.4 acres. Valuation report pp.649-658.</t>
        </is>
      </c>
    </row>
    <row r="10" ht="44" customHeight="1" s="18">
      <c r="A10" s="21" t="inlineStr">
        <is>
          <t>Bagmane Developers Private Limited (HoldCo/BDPL)</t>
        </is>
      </c>
      <c r="B10" s="22" t="inlineStr">
        <is>
          <t>Under Construction Luxury Hotel at Bagmane World Technology Centre</t>
        </is>
      </c>
      <c r="C10" s="20" t="inlineStr">
        <is>
          <t>Hotel</t>
        </is>
      </c>
      <c r="D10" s="20" t="inlineStr">
        <is>
          <t>Bengaluru</t>
        </is>
      </c>
      <c r="E10" s="21" t="inlineStr">
        <is>
          <t>Outer Ring Road (Mahadevapura)</t>
        </is>
      </c>
      <c r="F10" s="21" t="inlineStr">
        <is>
          <t>Outer Ring Road (ORR Southeast)</t>
        </is>
      </c>
      <c r="G10" s="23" t="inlineStr">
        <is>
          <t>Mahadevapura Village, K.R. Puram Hobli, Bengaluru East Taluk, Bengaluru Urban District, Karnataka 560 048</t>
        </is>
      </c>
      <c r="H10" s="24" t="n"/>
      <c r="I10" s="25" t="n"/>
      <c r="J10" s="25" t="n"/>
      <c r="K10" s="26" t="n"/>
      <c r="L10" s="26" t="n"/>
      <c r="M10" s="25" t="n"/>
      <c r="N10" s="25" t="n"/>
      <c r="O10" s="26">
        <f>IF(OR(M10="",N10="",N10=0),"",M10/N10-1)</f>
        <v/>
      </c>
      <c r="P10" s="25" t="n"/>
      <c r="Q10" s="24" t="n"/>
      <c r="R10" s="26" t="n">
        <v>0.07000000000000001</v>
      </c>
      <c r="S10" s="26" t="n">
        <v>0.13</v>
      </c>
      <c r="T10" s="27" t="n">
        <v>192.85</v>
      </c>
      <c r="U10" s="27">
        <f>IF(OR(T10="",H10="",H10=0),"",T10*10000000/H10)</f>
        <v/>
      </c>
      <c r="V10" s="23" t="n"/>
      <c r="W10" s="23" t="n"/>
      <c r="X10" s="23" t="inlineStr">
        <is>
          <t>207 keys, under construction within BWTC. Cap rate 7.14%; WACC (UC/future) 13.00%. Part of 607-key hotel program. Valuation report pp.659-660 (Section 4.7).</t>
        </is>
      </c>
    </row>
    <row r="11" ht="44" customHeight="1" s="18">
      <c r="A11" s="21" t="inlineStr">
        <is>
          <t>Bagmane Developers Private Limited (HoldCo/BDPL)</t>
        </is>
      </c>
      <c r="B11" s="22" t="inlineStr">
        <is>
          <t>Under Construction Upscale Hotel at Bagmane World Technology Centre</t>
        </is>
      </c>
      <c r="C11" s="20" t="inlineStr">
        <is>
          <t>Hotel</t>
        </is>
      </c>
      <c r="D11" s="20" t="inlineStr">
        <is>
          <t>Bengaluru</t>
        </is>
      </c>
      <c r="E11" s="21" t="inlineStr">
        <is>
          <t>Outer Ring Road (Mahadevapura)</t>
        </is>
      </c>
      <c r="F11" s="21" t="inlineStr">
        <is>
          <t>Outer Ring Road (ORR Southeast)</t>
        </is>
      </c>
      <c r="G11" s="23" t="inlineStr">
        <is>
          <t>Mahadevapura Village, K.R. Puram Hobli, Bengaluru East Taluk, Bengaluru Urban District, Karnataka 560 048</t>
        </is>
      </c>
      <c r="H11" s="24" t="n"/>
      <c r="I11" s="25" t="n"/>
      <c r="J11" s="25" t="n"/>
      <c r="K11" s="26" t="n"/>
      <c r="L11" s="26" t="n"/>
      <c r="M11" s="25" t="n"/>
      <c r="N11" s="25" t="n"/>
      <c r="O11" s="26">
        <f>IF(OR(M11="",N11="",N11=0),"",M11/N11-1)</f>
        <v/>
      </c>
      <c r="P11" s="25" t="n"/>
      <c r="Q11" s="24" t="n"/>
      <c r="R11" s="26" t="n">
        <v>0.07000000000000001</v>
      </c>
      <c r="S11" s="26" t="n">
        <v>0.13</v>
      </c>
      <c r="T11" s="27" t="n">
        <v>342.42</v>
      </c>
      <c r="U11" s="27">
        <f>IF(OR(T11="",H11="",H11=0),"",T11*10000000/H11)</f>
        <v/>
      </c>
      <c r="V11" s="23" t="n"/>
      <c r="W11" s="23" t="n"/>
      <c r="X11" s="23" t="inlineStr">
        <is>
          <t>400 keys, under construction within BWTC. Cap rate 7.14%; WACC (UC/future) 13.00%. Part of 607-key hotel program. Valuation report pp.660-662 (Section 4.8).</t>
        </is>
      </c>
    </row>
    <row r="12" ht="86.65000000000001" customHeight="1" s="18">
      <c r="A12" s="21" t="inlineStr">
        <is>
          <t>Bagmane Green Power LLP (BGP)</t>
        </is>
      </c>
      <c r="B12" s="22" t="inlineStr">
        <is>
          <t>Solar Assets (Chikkodi, Sedam, Yadgir operational; Chitradurga under construction)</t>
        </is>
      </c>
      <c r="C12" s="20" t="inlineStr">
        <is>
          <t>Solar</t>
        </is>
      </c>
      <c r="D12" s="20" t="inlineStr">
        <is>
          <t>Karnataka (Chikkodi, Sedam, Yadgir, Chitradurga)</t>
        </is>
      </c>
      <c r="E12" s="21" t="inlineStr">
        <is>
          <t>Chikkodi</t>
        </is>
      </c>
      <c r="F12" s="21" t="n"/>
      <c r="G12" s="23" t="inlineStr">
        <is>
          <t>Chikkodi, Sedam, Yadgir and Chitradurga, Karnataka, India</t>
        </is>
      </c>
      <c r="H12" s="24" t="n"/>
      <c r="I12" s="25" t="n"/>
      <c r="J12" s="25" t="n"/>
      <c r="K12" s="26" t="n"/>
      <c r="L12" s="26" t="n"/>
      <c r="M12" s="25" t="n"/>
      <c r="N12" s="25" t="n"/>
      <c r="O12" s="26">
        <f>IF(OR(M12="",N12="",N12=0),"",M12/N12-1)</f>
        <v/>
      </c>
      <c r="P12" s="25" t="n"/>
      <c r="Q12" s="24" t="n"/>
      <c r="R12" s="26" t="n"/>
      <c r="S12" s="26" t="n"/>
      <c r="T12" s="27" t="n">
        <v>761.79</v>
      </c>
      <c r="U12" s="27">
        <f>IF(OR(T12="",H12="",H12=0),"",T12*10000000/H12)</f>
        <v/>
      </c>
      <c r="V12" s="23" t="n"/>
      <c r="W12" s="23" t="n"/>
      <c r="X12" s="23" t="inlineStr">
        <is>
          <t>Held by SPV Bagmane Green Power LLP. WACC operational 11.5%, UC/future 12.75%. Components: Chikkodi 28.0 MW DC = INR 1,613.5mn; Sedam 46.4 MW DC = INR 2,695.0mn; Yadgir 17.5 MW DC = INR 880.2mn (all operational); Chitradurga 72.5 MW DC = INR 2,429.2mn (under construction). Total 164.4 MW DC = INR 7,617.9mn. Supplies renewable power to portfolio. Valuation report pp.663-667 (Section 4.9).</t>
        </is>
      </c>
    </row>
    <row r="13" ht="15" customHeight="1" s="18">
      <c r="A13" s="29" t="inlineStr">
        <is>
          <t>TOTAL / weighted</t>
        </is>
      </c>
      <c r="H13" s="31">
        <f>SUM(H4:H12)</f>
        <v/>
      </c>
      <c r="I13" s="32">
        <f>SUM(I4:I12)</f>
        <v/>
      </c>
      <c r="M13" s="32">
        <f>IFERROR(AVERAGE(M4:M12),"")</f>
        <v/>
      </c>
      <c r="N13" s="32">
        <f>IFERROR(AVERAGE(N4:N12),"")</f>
        <v/>
      </c>
      <c r="T13" s="33">
        <f>SUM(T4:T12)</f>
        <v/>
      </c>
      <c r="U13" s="33">
        <f>IFERROR(T13*10000000/H13,"")</f>
        <v/>
      </c>
    </row>
  </sheetData>
  <autoFilter ref="A3:X12"/>
  <hyperlinks>
    <hyperlink xmlns:r="http://schemas.openxmlformats.org/officeDocument/2006/relationships" ref="B4" location="page=628" display="Bagmane World Technology Centre (BWTC)" r:id="rId1"/>
    <hyperlink xmlns:r="http://schemas.openxmlformats.org/officeDocument/2006/relationships" ref="B5" location="page=632" display="Bagmane Constellation Business Park (BCBP)" r:id="rId2"/>
    <hyperlink xmlns:r="http://schemas.openxmlformats.org/officeDocument/2006/relationships" ref="B6" location="page=637" display="Bagmane Rio Business Park" r:id="rId3"/>
    <hyperlink xmlns:r="http://schemas.openxmlformats.org/officeDocument/2006/relationships" ref="B7" location="page=641" display="Luxor @ Bagmane Capital Tech Park" r:id="rId4"/>
    <hyperlink xmlns:r="http://schemas.openxmlformats.org/officeDocument/2006/relationships" ref="B8" location="page=645" display="Bagmane Tech Park (BTP)" r:id="rId5"/>
    <hyperlink xmlns:r="http://schemas.openxmlformats.org/officeDocument/2006/relationships" ref="B9" location="page=649" display="Bagmane Cosmos Business Park" r:id="rId6"/>
    <hyperlink xmlns:r="http://schemas.openxmlformats.org/officeDocument/2006/relationships" ref="B10" location="page=659" display="Under Construction Luxury Hotel at Bagmane World Technology Centre" r:id="rId7"/>
    <hyperlink xmlns:r="http://schemas.openxmlformats.org/officeDocument/2006/relationships" ref="B11" location="page=660" display="Under Construction Upscale Hotel at Bagmane World Technology Centre" r:id="rId8"/>
    <hyperlink xmlns:r="http://schemas.openxmlformats.org/officeDocument/2006/relationships" ref="B12" location="page=663" display="Solar Assets (Chikkodi, Sedam, Yadgir operational; Chitradurga under construction)" r:id="rId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2" activeCellId="0" sqref="B42"/>
    </sheetView>
  </sheetViews>
  <sheetFormatPr baseColWidth="8" defaultColWidth="8.60546875" defaultRowHeight="15" customHeight="0" zeroHeight="0" outlineLevelRow="0"/>
  <cols>
    <col width="22" customWidth="1" style="17" min="1" max="1"/>
    <col width="110" customWidth="1" style="17" min="2" max="2"/>
  </cols>
  <sheetData>
    <row r="1" ht="15" customHeight="1" s="18">
      <c r="A1" s="34" t="inlineStr">
        <is>
          <t>Indian REITs - SPV / Asset Register</t>
        </is>
      </c>
      <c r="B1" s="23" t="n"/>
    </row>
    <row r="2" ht="15" customHeight="1" s="18">
      <c r="A2" s="29" t="n"/>
      <c r="B2" s="23" t="n"/>
    </row>
    <row r="3" ht="22.65" customHeight="1" s="18">
      <c r="A3" s="29" t="inlineStr">
        <is>
          <t>Purpose</t>
        </is>
      </c>
      <c r="B3" s="23" t="inlineStr">
        <is>
          <t>Track every SPV and the property it holds across the six listed Indian REITs, to compare how areas are priced (market vs in-place rent, value per sq ft, cap rate).</t>
        </is>
      </c>
    </row>
    <row r="4" ht="15" customHeight="1" s="18">
      <c r="A4" s="29" t="inlineStr">
        <is>
          <t>Valuation date</t>
        </is>
      </c>
      <c r="B4" s="23" t="inlineStr">
        <is>
          <t>31 March 2026 (independent valuer reports). Bagmane is proforma/combined per its RHP (Trust listed May 2026).</t>
        </is>
      </c>
    </row>
    <row r="5" ht="15" customHeight="1" s="18">
      <c r="A5" s="29" t="inlineStr">
        <is>
          <t>Coverage</t>
        </is>
      </c>
      <c r="B5" s="23" t="inlineStr">
        <is>
          <t>108 assets: Embassy 16, Mindspace 17, Brookfield 13, Nexus 20 (retail), KRT 33, Bagmane 9.</t>
        </is>
      </c>
    </row>
    <row r="6" ht="15" customHeight="1" s="18">
      <c r="A6" s="29" t="n"/>
      <c r="B6" s="23" t="n"/>
    </row>
    <row r="7" ht="15" customHeight="1" s="18">
      <c r="A7" s="29" t="inlineStr">
        <is>
          <t>Column</t>
        </is>
      </c>
      <c r="B7" s="23" t="inlineStr">
        <is>
          <t>Definition</t>
        </is>
      </c>
    </row>
    <row r="8" ht="15" customHeight="1" s="18">
      <c r="A8" s="29" t="inlineStr">
        <is>
          <t>Locality / Area</t>
        </is>
      </c>
      <c r="B8" s="23" t="inlineStr">
        <is>
          <t>Specific neighbourhood (e.g. Saket, Nariman Point, Madhapur, Powai). Where the valuer only gave a broad submarket, the submarket is shown.</t>
        </is>
      </c>
    </row>
    <row r="9" ht="15" customHeight="1" s="18">
      <c r="A9" s="29" t="inlineStr">
        <is>
          <t>Micro-market (valuer)</t>
        </is>
      </c>
      <c r="B9" s="23" t="inlineStr">
        <is>
          <t>The independent valuer's submarket designation, verbatim.</t>
        </is>
      </c>
    </row>
    <row r="10" ht="15" customHeight="1" s="18">
      <c r="A10" s="29" t="inlineStr">
        <is>
          <t>Market rent</t>
        </is>
      </c>
      <c r="B10" s="23" t="inlineStr">
        <is>
          <t>Valuer's assessed market/marginal rent (warm-shell), INR per sq ft per month.</t>
        </is>
      </c>
    </row>
    <row r="11" ht="15" customHeight="1" s="18">
      <c r="A11" s="29" t="inlineStr">
        <is>
          <t>In-place rent</t>
        </is>
      </c>
      <c r="B11" s="23" t="inlineStr">
        <is>
          <t>Current contracted / in-place rent on leased area, INR per sq ft per month. For retail (Nexus) = minimum-guarantee rent.</t>
        </is>
      </c>
    </row>
    <row r="12" ht="15" customHeight="1" s="18">
      <c r="A12" s="29" t="inlineStr">
        <is>
          <t>Rent reversion</t>
        </is>
      </c>
      <c r="B12" s="23" t="inlineStr">
        <is>
          <t>Market rent / In-place rent - 1. Positive = under-rented (renewal upside); negative = over-rented.</t>
        </is>
      </c>
    </row>
    <row r="13" ht="15" customHeight="1" s="18">
      <c r="A13" s="29" t="inlineStr">
        <is>
          <t>Value per sq ft</t>
        </is>
      </c>
      <c r="B13" s="23" t="inlineStr">
        <is>
          <t>Asset market value / leasable sq ft - the core 'how is this area priced' metric.</t>
        </is>
      </c>
    </row>
    <row r="14" ht="15" customHeight="1" s="18">
      <c r="A14" s="29" t="inlineStr">
        <is>
          <t>Cap rate / Discount rate</t>
        </is>
      </c>
      <c r="B14" s="23" t="inlineStr">
        <is>
          <t>Capitalisation rate &amp; WACC adopted by the valuer.</t>
        </is>
      </c>
    </row>
    <row r="15" ht="15" customHeight="1" s="18">
      <c r="A15" s="29" t="inlineStr">
        <is>
          <t>Mgmt fee / Insurance</t>
        </is>
      </c>
      <c r="B15" s="23" t="inlineStr">
        <is>
          <t>Assumptions in the valuation DCF. Embassy &amp; KRT disclose per asset; Mindspace, Brookfield, Nexus, Bagmane do not (blank).</t>
        </is>
      </c>
    </row>
    <row r="16" ht="15" customHeight="1" s="18">
      <c r="A16" s="29" t="n"/>
      <c r="B16" s="23" t="n"/>
    </row>
    <row r="17" ht="15" customHeight="1" s="18">
      <c r="A17" s="29" t="inlineStr">
        <is>
          <t>Caveats</t>
        </is>
      </c>
      <c r="B17" s="23" t="n"/>
    </row>
    <row r="18" ht="15" customHeight="1" s="18">
      <c r="A18" s="29" t="inlineStr">
        <is>
          <t>Tenants</t>
        </is>
      </c>
      <c r="B18" s="23" t="inlineStr">
        <is>
          <t>Office valuers usually give only a top-10 tenant table, so counts are blank for Embassy/Brookfield/KRT; Mindspace &amp; Nexus disclose counts.</t>
        </is>
      </c>
    </row>
    <row r="19" ht="22.65" customHeight="1" s="18">
      <c r="A19" s="29" t="inlineStr">
        <is>
          <t>JV / stake</t>
        </is>
      </c>
      <c r="B19" s="23" t="inlineStr">
        <is>
          <t>Values are on a 100% asset basis unless a row's Notes says otherwise (Embassy GolfLinks, Brookfield North portfolio, several Nexus malls held at economic share).</t>
        </is>
      </c>
    </row>
    <row r="20" ht="22.65" customHeight="1" s="18">
      <c r="A20" s="29" t="inlineStr">
        <is>
          <t>Source</t>
        </is>
      </c>
      <c r="B20" s="23" t="inlineStr">
        <is>
          <t>Every figure is from the REIT's independent valuation report (or Bagmane RHP); each row's Notes cites the page(s), and the Property name links to the PDF.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en-CA</dc:language>
  <dcterms:created xmlns:dcterms="http://purl.org/dc/terms/" xmlns:xsi="http://www.w3.org/2001/XMLSchema-instance" xsi:type="dcterms:W3CDTF">2026-07-01T13:09:58Z</dcterms:created>
  <dcterms:modified xmlns:dcterms="http://purl.org/dc/terms/" xmlns:xsi="http://www.w3.org/2001/XMLSchema-instance" xsi:type="dcterms:W3CDTF">2026-07-08T15:07:22Z</dcterms:modified>
  <cp:revision>0</cp:revision>
</cp:coreProperties>
</file>